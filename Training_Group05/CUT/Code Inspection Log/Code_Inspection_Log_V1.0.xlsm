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08" codeName="{00000000-0000-0000-0000-000000000000}"/>
  <workbookPr codeName="ThisWorkbook"/>
  <xr:revisionPtr revIDLastSave="0" documentId="11_98206508C2AD55EF78B6A74B7A7163A7D8DA9F86" xr6:coauthVersionLast="47" xr6:coauthVersionMax="47" xr10:uidLastSave="{00000000-0000-0000-0000-000000000000}"/>
  <bookViews>
    <workbookView xWindow="0" yWindow="0" windowWidth="22368" windowHeight="8892" tabRatio="819" firstSheet="1" activeTab="1" xr2:uid="{00000000-000D-0000-FFFF-FFFF00000000}"/>
  </bookViews>
  <sheets>
    <sheet name="Inspection Details" sheetId="1" state="hidden" r:id="rId1"/>
    <sheet name="Review Log" sheetId="2" r:id="rId2"/>
    <sheet name="Sheet1" sheetId="9" r:id="rId3"/>
    <sheet name="Disposition" sheetId="3" state="hidden" r:id="rId4"/>
    <sheet name="Defect Type" sheetId="7" state="hidden" r:id="rId5"/>
    <sheet name="2X2 Target Update" sheetId="8" state="veryHidden" r:id="rId6"/>
    <sheet name="Revision History" sheetId="6" state="hidden" r:id="rId7"/>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80" i="3" l="1"/>
  <c r="X580" i="3"/>
  <c r="W580" i="3"/>
  <c r="V580" i="3"/>
  <c r="U580" i="3"/>
  <c r="Y579" i="3"/>
  <c r="X579" i="3"/>
  <c r="W579" i="3"/>
  <c r="V579" i="3"/>
  <c r="U579" i="3"/>
  <c r="Y578" i="3"/>
  <c r="X578" i="3"/>
  <c r="W578" i="3"/>
  <c r="V578" i="3"/>
  <c r="U578" i="3"/>
  <c r="Y577" i="3"/>
  <c r="X577" i="3"/>
  <c r="W577" i="3"/>
  <c r="V577" i="3"/>
  <c r="U577" i="3"/>
  <c r="Y576" i="3"/>
  <c r="X576" i="3"/>
  <c r="W576" i="3"/>
  <c r="V576" i="3"/>
  <c r="U576" i="3"/>
  <c r="Y575" i="3"/>
  <c r="X575" i="3"/>
  <c r="W575" i="3"/>
  <c r="V575" i="3"/>
  <c r="U575" i="3"/>
  <c r="Y574" i="3"/>
  <c r="X574" i="3"/>
  <c r="W574" i="3"/>
  <c r="V574" i="3"/>
  <c r="U574" i="3"/>
  <c r="Y573" i="3"/>
  <c r="X573" i="3"/>
  <c r="W573" i="3"/>
  <c r="V573" i="3"/>
  <c r="U573" i="3"/>
  <c r="Y572" i="3"/>
  <c r="X572" i="3"/>
  <c r="W572" i="3"/>
  <c r="V572" i="3"/>
  <c r="U572" i="3"/>
  <c r="Y571" i="3"/>
  <c r="X571" i="3"/>
  <c r="W571" i="3"/>
  <c r="V571" i="3"/>
  <c r="U571" i="3"/>
  <c r="Y570" i="3"/>
  <c r="X570" i="3"/>
  <c r="W570" i="3"/>
  <c r="V570" i="3"/>
  <c r="U570" i="3"/>
  <c r="Y569" i="3"/>
  <c r="X569" i="3"/>
  <c r="W569" i="3"/>
  <c r="V569" i="3"/>
  <c r="U569" i="3"/>
  <c r="Y568" i="3"/>
  <c r="X568" i="3"/>
  <c r="W568" i="3"/>
  <c r="V568" i="3"/>
  <c r="U568" i="3"/>
  <c r="Y567" i="3"/>
  <c r="X567" i="3"/>
  <c r="W567" i="3"/>
  <c r="V567" i="3"/>
  <c r="U567" i="3"/>
  <c r="Y566" i="3"/>
  <c r="X566" i="3"/>
  <c r="W566" i="3"/>
  <c r="V566" i="3"/>
  <c r="U566" i="3"/>
  <c r="Y565" i="3"/>
  <c r="X565" i="3"/>
  <c r="W565" i="3"/>
  <c r="V565" i="3"/>
  <c r="U565" i="3"/>
  <c r="Y564" i="3"/>
  <c r="X564" i="3"/>
  <c r="W564" i="3"/>
  <c r="V564" i="3"/>
  <c r="U564" i="3"/>
  <c r="Y563" i="3"/>
  <c r="X563" i="3"/>
  <c r="W563" i="3"/>
  <c r="V563" i="3"/>
  <c r="U563" i="3"/>
  <c r="Y562" i="3"/>
  <c r="X562" i="3"/>
  <c r="W562" i="3"/>
  <c r="V562" i="3"/>
  <c r="U562" i="3"/>
  <c r="Y561" i="3"/>
  <c r="X561" i="3"/>
  <c r="W561" i="3"/>
  <c r="V561" i="3"/>
  <c r="U561" i="3"/>
  <c r="Y560" i="3"/>
  <c r="X560" i="3"/>
  <c r="W560" i="3"/>
  <c r="V560" i="3"/>
  <c r="U560" i="3"/>
  <c r="Y559" i="3"/>
  <c r="X559" i="3"/>
  <c r="W559" i="3"/>
  <c r="V559" i="3"/>
  <c r="U559" i="3"/>
  <c r="Y558" i="3"/>
  <c r="X558" i="3"/>
  <c r="W558" i="3"/>
  <c r="V558" i="3"/>
  <c r="U558" i="3"/>
  <c r="Y557" i="3"/>
  <c r="X557" i="3"/>
  <c r="W557" i="3"/>
  <c r="V557" i="3"/>
  <c r="U557" i="3"/>
  <c r="Y556" i="3"/>
  <c r="X556" i="3"/>
  <c r="W556" i="3"/>
  <c r="V556" i="3"/>
  <c r="U556" i="3"/>
  <c r="Y555" i="3"/>
  <c r="X555" i="3"/>
  <c r="W555" i="3"/>
  <c r="V555" i="3"/>
  <c r="U555" i="3"/>
  <c r="Y554" i="3"/>
  <c r="X554" i="3"/>
  <c r="W554" i="3"/>
  <c r="V554" i="3"/>
  <c r="U554" i="3"/>
  <c r="Y553" i="3"/>
  <c r="X553" i="3"/>
  <c r="W553" i="3"/>
  <c r="V553" i="3"/>
  <c r="U553" i="3"/>
  <c r="Y552" i="3"/>
  <c r="X552" i="3"/>
  <c r="W552" i="3"/>
  <c r="V552" i="3"/>
  <c r="U552" i="3"/>
  <c r="Y551" i="3"/>
  <c r="X551" i="3"/>
  <c r="W551" i="3"/>
  <c r="V551" i="3"/>
  <c r="U551" i="3"/>
  <c r="Y550" i="3"/>
  <c r="X550" i="3"/>
  <c r="W550" i="3"/>
  <c r="V550" i="3"/>
  <c r="U550" i="3"/>
  <c r="Y549" i="3"/>
  <c r="X549" i="3"/>
  <c r="W549" i="3"/>
  <c r="V549" i="3"/>
  <c r="U549" i="3"/>
  <c r="Y548" i="3"/>
  <c r="X548" i="3"/>
  <c r="W548" i="3"/>
  <c r="V548" i="3"/>
  <c r="U548" i="3"/>
  <c r="Y547" i="3"/>
  <c r="X547" i="3"/>
  <c r="W547" i="3"/>
  <c r="V547" i="3"/>
  <c r="U547" i="3"/>
  <c r="Y546" i="3"/>
  <c r="X546" i="3"/>
  <c r="W546" i="3"/>
  <c r="V546" i="3"/>
  <c r="U546" i="3"/>
  <c r="Y545" i="3"/>
  <c r="X545" i="3"/>
  <c r="W545" i="3"/>
  <c r="V545" i="3"/>
  <c r="U545" i="3"/>
  <c r="Y544" i="3"/>
  <c r="X544" i="3"/>
  <c r="W544" i="3"/>
  <c r="V544" i="3"/>
  <c r="U544" i="3"/>
  <c r="Y543" i="3"/>
  <c r="X543" i="3"/>
  <c r="W543" i="3"/>
  <c r="V543" i="3"/>
  <c r="U543" i="3"/>
  <c r="Y542" i="3"/>
  <c r="X542" i="3"/>
  <c r="W542" i="3"/>
  <c r="V542" i="3"/>
  <c r="U542" i="3"/>
  <c r="Y541" i="3"/>
  <c r="X541" i="3"/>
  <c r="W541" i="3"/>
  <c r="V541" i="3"/>
  <c r="U541" i="3"/>
  <c r="Y540" i="3"/>
  <c r="X540" i="3"/>
  <c r="W540" i="3"/>
  <c r="V540" i="3"/>
  <c r="U540" i="3"/>
  <c r="Y539" i="3"/>
  <c r="X539" i="3"/>
  <c r="W539" i="3"/>
  <c r="V539" i="3"/>
  <c r="U539" i="3"/>
  <c r="Y538" i="3"/>
  <c r="X538" i="3"/>
  <c r="W538" i="3"/>
  <c r="V538" i="3"/>
  <c r="U538" i="3"/>
  <c r="Y537" i="3"/>
  <c r="X537" i="3"/>
  <c r="W537" i="3"/>
  <c r="V537" i="3"/>
  <c r="U537" i="3"/>
  <c r="Y536" i="3"/>
  <c r="X536" i="3"/>
  <c r="W536" i="3"/>
  <c r="V536" i="3"/>
  <c r="U536" i="3"/>
  <c r="Y535" i="3"/>
  <c r="X535" i="3"/>
  <c r="W535" i="3"/>
  <c r="V535" i="3"/>
  <c r="U535" i="3"/>
  <c r="Y534" i="3"/>
  <c r="X534" i="3"/>
  <c r="W534" i="3"/>
  <c r="V534" i="3"/>
  <c r="U534" i="3"/>
  <c r="Y533" i="3"/>
  <c r="X533" i="3"/>
  <c r="W533" i="3"/>
  <c r="V533" i="3"/>
  <c r="U533" i="3"/>
  <c r="T533" i="3"/>
  <c r="S533" i="3"/>
  <c r="R533" i="3"/>
  <c r="Q533" i="3"/>
  <c r="P533" i="3"/>
  <c r="Y532" i="3"/>
  <c r="X532" i="3"/>
  <c r="W532" i="3"/>
  <c r="V532" i="3"/>
  <c r="U532" i="3"/>
  <c r="T532" i="3"/>
  <c r="S532" i="3"/>
  <c r="R532" i="3"/>
  <c r="Q532" i="3"/>
  <c r="P532" i="3"/>
  <c r="Y531" i="3"/>
  <c r="X531" i="3"/>
  <c r="W531" i="3"/>
  <c r="V531" i="3"/>
  <c r="U531" i="3"/>
  <c r="T531" i="3"/>
  <c r="S531" i="3"/>
  <c r="R531" i="3"/>
  <c r="Q531" i="3"/>
  <c r="P531" i="3"/>
  <c r="Y530" i="3"/>
  <c r="X530" i="3"/>
  <c r="W530" i="3"/>
  <c r="V530" i="3"/>
  <c r="U530" i="3"/>
  <c r="T530" i="3"/>
  <c r="S530" i="3"/>
  <c r="R530" i="3"/>
  <c r="Q530" i="3"/>
  <c r="P530" i="3"/>
  <c r="Y529" i="3"/>
  <c r="X529" i="3"/>
  <c r="W529" i="3"/>
  <c r="V529" i="3"/>
  <c r="U529" i="3"/>
  <c r="T529" i="3"/>
  <c r="S529" i="3"/>
  <c r="R529" i="3"/>
  <c r="Q529" i="3"/>
  <c r="P529" i="3"/>
  <c r="Y528" i="3"/>
  <c r="X528" i="3"/>
  <c r="W528" i="3"/>
  <c r="V528" i="3"/>
  <c r="U528" i="3"/>
  <c r="T528" i="3"/>
  <c r="S528" i="3"/>
  <c r="R528" i="3"/>
  <c r="Q528" i="3"/>
  <c r="P528" i="3"/>
  <c r="Y527" i="3"/>
  <c r="X527" i="3"/>
  <c r="W527" i="3"/>
  <c r="V527" i="3"/>
  <c r="U527" i="3"/>
  <c r="T527" i="3"/>
  <c r="S527" i="3"/>
  <c r="R527" i="3"/>
  <c r="Q527" i="3"/>
  <c r="P527" i="3"/>
  <c r="Y526" i="3"/>
  <c r="X526" i="3"/>
  <c r="W526" i="3"/>
  <c r="V526" i="3"/>
  <c r="U526" i="3"/>
  <c r="T526" i="3"/>
  <c r="S526" i="3"/>
  <c r="R526" i="3"/>
  <c r="Q526" i="3"/>
  <c r="P526" i="3"/>
  <c r="Y525" i="3"/>
  <c r="X525" i="3"/>
  <c r="W525" i="3"/>
  <c r="V525" i="3"/>
  <c r="U525" i="3"/>
  <c r="T525" i="3"/>
  <c r="S525" i="3"/>
  <c r="R525" i="3"/>
  <c r="Q525" i="3"/>
  <c r="P525" i="3"/>
  <c r="Y524" i="3"/>
  <c r="X524" i="3"/>
  <c r="W524" i="3"/>
  <c r="V524" i="3"/>
  <c r="U524" i="3"/>
  <c r="T524" i="3"/>
  <c r="S524" i="3"/>
  <c r="R524" i="3"/>
  <c r="Q524" i="3"/>
  <c r="P524" i="3"/>
  <c r="Y523" i="3"/>
  <c r="X523" i="3"/>
  <c r="W523" i="3"/>
  <c r="V523" i="3"/>
  <c r="U523" i="3"/>
  <c r="T523" i="3"/>
  <c r="S523" i="3"/>
  <c r="R523" i="3"/>
  <c r="Q523" i="3"/>
  <c r="P523" i="3"/>
  <c r="Y522" i="3"/>
  <c r="X522" i="3"/>
  <c r="W522" i="3"/>
  <c r="V522" i="3"/>
  <c r="U522" i="3"/>
  <c r="T522" i="3"/>
  <c r="S522" i="3"/>
  <c r="R522" i="3"/>
  <c r="Q522" i="3"/>
  <c r="P522" i="3"/>
  <c r="Y521" i="3"/>
  <c r="X521" i="3"/>
  <c r="W521" i="3"/>
  <c r="V521" i="3"/>
  <c r="U521" i="3"/>
  <c r="T521" i="3"/>
  <c r="S521" i="3"/>
  <c r="R521" i="3"/>
  <c r="Q521" i="3"/>
  <c r="P521" i="3"/>
  <c r="Y520" i="3"/>
  <c r="X520" i="3"/>
  <c r="W520" i="3"/>
  <c r="V520" i="3"/>
  <c r="U520" i="3"/>
  <c r="T520" i="3"/>
  <c r="S520" i="3"/>
  <c r="R520" i="3"/>
  <c r="Q520" i="3"/>
  <c r="P520" i="3"/>
  <c r="Y519" i="3"/>
  <c r="X519" i="3"/>
  <c r="W519" i="3"/>
  <c r="V519" i="3"/>
  <c r="U519" i="3"/>
  <c r="T519" i="3"/>
  <c r="S519" i="3"/>
  <c r="R519" i="3"/>
  <c r="Q519" i="3"/>
  <c r="P519" i="3"/>
  <c r="Y518" i="3"/>
  <c r="X518" i="3"/>
  <c r="W518" i="3"/>
  <c r="V518" i="3"/>
  <c r="U518" i="3"/>
  <c r="T518" i="3"/>
  <c r="S518" i="3"/>
  <c r="R518" i="3"/>
  <c r="Q518" i="3"/>
  <c r="P518" i="3"/>
  <c r="Y517" i="3"/>
  <c r="X517" i="3"/>
  <c r="W517" i="3"/>
  <c r="V517" i="3"/>
  <c r="U517" i="3"/>
  <c r="T517" i="3"/>
  <c r="S517" i="3"/>
  <c r="R517" i="3"/>
  <c r="Q517" i="3"/>
  <c r="P517" i="3"/>
  <c r="Y516" i="3"/>
  <c r="X516" i="3"/>
  <c r="W516" i="3"/>
  <c r="V516" i="3"/>
  <c r="U516" i="3"/>
  <c r="T516" i="3"/>
  <c r="S516" i="3"/>
  <c r="R516" i="3"/>
  <c r="Q516" i="3"/>
  <c r="P516" i="3"/>
  <c r="Y515" i="3"/>
  <c r="X515" i="3"/>
  <c r="W515" i="3"/>
  <c r="V515" i="3"/>
  <c r="U515" i="3"/>
  <c r="T515" i="3"/>
  <c r="S515" i="3"/>
  <c r="R515" i="3"/>
  <c r="Q515" i="3"/>
  <c r="P515" i="3"/>
  <c r="Y514" i="3"/>
  <c r="X514" i="3"/>
  <c r="W514" i="3"/>
  <c r="V514" i="3"/>
  <c r="U514" i="3"/>
  <c r="T514" i="3"/>
  <c r="S514" i="3"/>
  <c r="R514" i="3"/>
  <c r="Q514" i="3"/>
  <c r="P514" i="3"/>
  <c r="Y513" i="3"/>
  <c r="X513" i="3"/>
  <c r="W513" i="3"/>
  <c r="V513" i="3"/>
  <c r="U513" i="3"/>
  <c r="T513" i="3"/>
  <c r="S513" i="3"/>
  <c r="R513" i="3"/>
  <c r="Q513" i="3"/>
  <c r="P513" i="3"/>
  <c r="Y512" i="3"/>
  <c r="X512" i="3"/>
  <c r="W512" i="3"/>
  <c r="V512" i="3"/>
  <c r="U512" i="3"/>
  <c r="T512" i="3"/>
  <c r="S512" i="3"/>
  <c r="R512" i="3"/>
  <c r="Q512" i="3"/>
  <c r="P512" i="3"/>
  <c r="Y511" i="3"/>
  <c r="X511" i="3"/>
  <c r="W511" i="3"/>
  <c r="V511" i="3"/>
  <c r="U511" i="3"/>
  <c r="T511" i="3"/>
  <c r="S511" i="3"/>
  <c r="R511" i="3"/>
  <c r="Q511" i="3"/>
  <c r="P511" i="3"/>
  <c r="Y510" i="3"/>
  <c r="X510" i="3"/>
  <c r="W510" i="3"/>
  <c r="V510" i="3"/>
  <c r="U510" i="3"/>
  <c r="T510" i="3"/>
  <c r="S510" i="3"/>
  <c r="R510" i="3"/>
  <c r="Q510" i="3"/>
  <c r="P510" i="3"/>
  <c r="Y509" i="3"/>
  <c r="X509" i="3"/>
  <c r="W509" i="3"/>
  <c r="V509" i="3"/>
  <c r="U509" i="3"/>
  <c r="T509" i="3"/>
  <c r="S509" i="3"/>
  <c r="R509" i="3"/>
  <c r="Q509" i="3"/>
  <c r="P509" i="3"/>
  <c r="Y508" i="3"/>
  <c r="X508" i="3"/>
  <c r="W508" i="3"/>
  <c r="V508" i="3"/>
  <c r="U508" i="3"/>
  <c r="T508" i="3"/>
  <c r="S508" i="3"/>
  <c r="R508" i="3"/>
  <c r="Q508" i="3"/>
  <c r="P508" i="3"/>
  <c r="Y507" i="3"/>
  <c r="X507" i="3"/>
  <c r="W507" i="3"/>
  <c r="V507" i="3"/>
  <c r="U507" i="3"/>
  <c r="T507" i="3"/>
  <c r="S507" i="3"/>
  <c r="R507" i="3"/>
  <c r="Q507" i="3"/>
  <c r="P507" i="3"/>
  <c r="Y506" i="3"/>
  <c r="X506" i="3"/>
  <c r="W506" i="3"/>
  <c r="V506" i="3"/>
  <c r="U506" i="3"/>
  <c r="T506" i="3"/>
  <c r="S506" i="3"/>
  <c r="R506" i="3"/>
  <c r="Q506" i="3"/>
  <c r="P506" i="3"/>
  <c r="Y505" i="3"/>
  <c r="X505" i="3"/>
  <c r="W505" i="3"/>
  <c r="V505" i="3"/>
  <c r="U505" i="3"/>
  <c r="T505" i="3"/>
  <c r="S505" i="3"/>
  <c r="R505" i="3"/>
  <c r="Q505" i="3"/>
  <c r="P505" i="3"/>
  <c r="Y504" i="3"/>
  <c r="X504" i="3"/>
  <c r="W504" i="3"/>
  <c r="V504" i="3"/>
  <c r="U504" i="3"/>
  <c r="T504" i="3"/>
  <c r="S504" i="3"/>
  <c r="R504" i="3"/>
  <c r="Q504" i="3"/>
  <c r="P504" i="3"/>
  <c r="Y503" i="3"/>
  <c r="X503" i="3"/>
  <c r="W503" i="3"/>
  <c r="V503" i="3"/>
  <c r="U503" i="3"/>
  <c r="T503" i="3"/>
  <c r="S503" i="3"/>
  <c r="R503" i="3"/>
  <c r="Q503" i="3"/>
  <c r="P503" i="3"/>
  <c r="Y502" i="3"/>
  <c r="X502" i="3"/>
  <c r="W502" i="3"/>
  <c r="V502" i="3"/>
  <c r="U502" i="3"/>
  <c r="T502" i="3"/>
  <c r="S502" i="3"/>
  <c r="R502" i="3"/>
  <c r="Q502" i="3"/>
  <c r="P502" i="3"/>
  <c r="Y501" i="3"/>
  <c r="X501" i="3"/>
  <c r="W501" i="3"/>
  <c r="V501" i="3"/>
  <c r="U501" i="3"/>
  <c r="T501" i="3"/>
  <c r="S501" i="3"/>
  <c r="R501" i="3"/>
  <c r="Q501" i="3"/>
  <c r="P501" i="3"/>
  <c r="Y500" i="3"/>
  <c r="X500" i="3"/>
  <c r="W500" i="3"/>
  <c r="V500" i="3"/>
  <c r="U500" i="3"/>
  <c r="T500" i="3"/>
  <c r="S500" i="3"/>
  <c r="R500" i="3"/>
  <c r="Q500" i="3"/>
  <c r="P500" i="3"/>
  <c r="Y499" i="3"/>
  <c r="X499" i="3"/>
  <c r="W499" i="3"/>
  <c r="V499" i="3"/>
  <c r="U499" i="3"/>
  <c r="T499" i="3"/>
  <c r="S499" i="3"/>
  <c r="R499" i="3"/>
  <c r="Q499" i="3"/>
  <c r="P499" i="3"/>
  <c r="Y498" i="3"/>
  <c r="X498" i="3"/>
  <c r="W498" i="3"/>
  <c r="V498" i="3"/>
  <c r="U498" i="3"/>
  <c r="T498" i="3"/>
  <c r="S498" i="3"/>
  <c r="R498" i="3"/>
  <c r="Q498" i="3"/>
  <c r="P498" i="3"/>
  <c r="Y497" i="3"/>
  <c r="X497" i="3"/>
  <c r="W497" i="3"/>
  <c r="V497" i="3"/>
  <c r="U497" i="3"/>
  <c r="T497" i="3"/>
  <c r="S497" i="3"/>
  <c r="R497" i="3"/>
  <c r="Q497" i="3"/>
  <c r="P497" i="3"/>
  <c r="Y496" i="3"/>
  <c r="X496" i="3"/>
  <c r="W496" i="3"/>
  <c r="V496" i="3"/>
  <c r="U496" i="3"/>
  <c r="T496" i="3"/>
  <c r="S496" i="3"/>
  <c r="R496" i="3"/>
  <c r="Q496" i="3"/>
  <c r="P496" i="3"/>
  <c r="Y495" i="3"/>
  <c r="X495" i="3"/>
  <c r="W495" i="3"/>
  <c r="V495" i="3"/>
  <c r="U495" i="3"/>
  <c r="T495" i="3"/>
  <c r="S495" i="3"/>
  <c r="R495" i="3"/>
  <c r="Q495" i="3"/>
  <c r="P495" i="3"/>
  <c r="Y494" i="3"/>
  <c r="X494" i="3"/>
  <c r="W494" i="3"/>
  <c r="V494" i="3"/>
  <c r="U494" i="3"/>
  <c r="T494" i="3"/>
  <c r="S494" i="3"/>
  <c r="R494" i="3"/>
  <c r="Q494" i="3"/>
  <c r="P494" i="3"/>
  <c r="Y493" i="3"/>
  <c r="X493" i="3"/>
  <c r="W493" i="3"/>
  <c r="V493" i="3"/>
  <c r="U493" i="3"/>
  <c r="T493" i="3"/>
  <c r="S493" i="3"/>
  <c r="R493" i="3"/>
  <c r="Q493" i="3"/>
  <c r="P493" i="3"/>
  <c r="Y492" i="3"/>
  <c r="X492" i="3"/>
  <c r="W492" i="3"/>
  <c r="V492" i="3"/>
  <c r="U492" i="3"/>
  <c r="T492" i="3"/>
  <c r="S492" i="3"/>
  <c r="R492" i="3"/>
  <c r="Q492" i="3"/>
  <c r="P492" i="3"/>
  <c r="Y491" i="3"/>
  <c r="X491" i="3"/>
  <c r="W491" i="3"/>
  <c r="V491" i="3"/>
  <c r="U491" i="3"/>
  <c r="T491" i="3"/>
  <c r="S491" i="3"/>
  <c r="R491" i="3"/>
  <c r="Q491" i="3"/>
  <c r="P491" i="3"/>
  <c r="Y490" i="3"/>
  <c r="X490" i="3"/>
  <c r="W490" i="3"/>
  <c r="V490" i="3"/>
  <c r="U490" i="3"/>
  <c r="T490" i="3"/>
  <c r="S490" i="3"/>
  <c r="R490" i="3"/>
  <c r="Q490" i="3"/>
  <c r="P490" i="3"/>
  <c r="Y489" i="3"/>
  <c r="X489" i="3"/>
  <c r="W489" i="3"/>
  <c r="V489" i="3"/>
  <c r="U489" i="3"/>
  <c r="T489" i="3"/>
  <c r="S489" i="3"/>
  <c r="R489" i="3"/>
  <c r="Q489" i="3"/>
  <c r="P489" i="3"/>
  <c r="Y488" i="3"/>
  <c r="X488" i="3"/>
  <c r="W488" i="3"/>
  <c r="V488" i="3"/>
  <c r="U488" i="3"/>
  <c r="T488" i="3"/>
  <c r="S488" i="3"/>
  <c r="R488" i="3"/>
  <c r="Q488" i="3"/>
  <c r="P488" i="3"/>
  <c r="Y487" i="3"/>
  <c r="X487" i="3"/>
  <c r="W487" i="3"/>
  <c r="V487" i="3"/>
  <c r="U487" i="3"/>
  <c r="T487" i="3"/>
  <c r="S487" i="3"/>
  <c r="R487" i="3"/>
  <c r="Q487" i="3"/>
  <c r="P487" i="3"/>
  <c r="Y486" i="3"/>
  <c r="X486" i="3"/>
  <c r="W486" i="3"/>
  <c r="V486" i="3"/>
  <c r="U486" i="3"/>
  <c r="T486" i="3"/>
  <c r="S486" i="3"/>
  <c r="R486" i="3"/>
  <c r="Q486" i="3"/>
  <c r="P486" i="3"/>
  <c r="Y485" i="3"/>
  <c r="X485" i="3"/>
  <c r="W485" i="3"/>
  <c r="V485" i="3"/>
  <c r="U485" i="3"/>
  <c r="T485" i="3"/>
  <c r="S485" i="3"/>
  <c r="R485" i="3"/>
  <c r="Q485" i="3"/>
  <c r="P485" i="3"/>
  <c r="Y484" i="3"/>
  <c r="X484" i="3"/>
  <c r="W484" i="3"/>
  <c r="V484" i="3"/>
  <c r="U484" i="3"/>
  <c r="T484" i="3"/>
  <c r="S484" i="3"/>
  <c r="R484" i="3"/>
  <c r="Q484" i="3"/>
  <c r="P484" i="3"/>
  <c r="Y483" i="3"/>
  <c r="X483" i="3"/>
  <c r="W483" i="3"/>
  <c r="V483" i="3"/>
  <c r="U483" i="3"/>
  <c r="T483" i="3"/>
  <c r="S483" i="3"/>
  <c r="R483" i="3"/>
  <c r="Q483" i="3"/>
  <c r="P483" i="3"/>
  <c r="Y482" i="3"/>
  <c r="X482" i="3"/>
  <c r="W482" i="3"/>
  <c r="V482" i="3"/>
  <c r="U482" i="3"/>
  <c r="T482" i="3"/>
  <c r="S482" i="3"/>
  <c r="R482" i="3"/>
  <c r="Q482" i="3"/>
  <c r="P482" i="3"/>
  <c r="Y481" i="3"/>
  <c r="X481" i="3"/>
  <c r="W481" i="3"/>
  <c r="V481" i="3"/>
  <c r="U481" i="3"/>
  <c r="T481" i="3"/>
  <c r="S481" i="3"/>
  <c r="R481" i="3"/>
  <c r="Q481" i="3"/>
  <c r="P481" i="3"/>
  <c r="Y480" i="3"/>
  <c r="X480" i="3"/>
  <c r="W480" i="3"/>
  <c r="V480" i="3"/>
  <c r="U480" i="3"/>
  <c r="T480" i="3"/>
  <c r="S480" i="3"/>
  <c r="R480" i="3"/>
  <c r="Q480" i="3"/>
  <c r="P480" i="3"/>
  <c r="Y479" i="3"/>
  <c r="X479" i="3"/>
  <c r="W479" i="3"/>
  <c r="V479" i="3"/>
  <c r="U479" i="3"/>
  <c r="T479" i="3"/>
  <c r="S479" i="3"/>
  <c r="R479" i="3"/>
  <c r="Q479" i="3"/>
  <c r="P479" i="3"/>
  <c r="Y478" i="3"/>
  <c r="X478" i="3"/>
  <c r="W478" i="3"/>
  <c r="V478" i="3"/>
  <c r="U478" i="3"/>
  <c r="T478" i="3"/>
  <c r="S478" i="3"/>
  <c r="R478" i="3"/>
  <c r="Q478" i="3"/>
  <c r="P478" i="3"/>
  <c r="Y477" i="3"/>
  <c r="X477" i="3"/>
  <c r="W477" i="3"/>
  <c r="V477" i="3"/>
  <c r="U477" i="3"/>
  <c r="T477" i="3"/>
  <c r="S477" i="3"/>
  <c r="R477" i="3"/>
  <c r="Q477" i="3"/>
  <c r="P477" i="3"/>
  <c r="Y476" i="3"/>
  <c r="X476" i="3"/>
  <c r="W476" i="3"/>
  <c r="V476" i="3"/>
  <c r="U476" i="3"/>
  <c r="T476" i="3"/>
  <c r="S476" i="3"/>
  <c r="R476" i="3"/>
  <c r="Q476" i="3"/>
  <c r="P476" i="3"/>
  <c r="Y475" i="3"/>
  <c r="X475" i="3"/>
  <c r="W475" i="3"/>
  <c r="V475" i="3"/>
  <c r="U475" i="3"/>
  <c r="T475" i="3"/>
  <c r="S475" i="3"/>
  <c r="R475" i="3"/>
  <c r="Q475" i="3"/>
  <c r="P475" i="3"/>
  <c r="Y474" i="3"/>
  <c r="X474" i="3"/>
  <c r="W474" i="3"/>
  <c r="V474" i="3"/>
  <c r="U474" i="3"/>
  <c r="T474" i="3"/>
  <c r="S474" i="3"/>
  <c r="R474" i="3"/>
  <c r="Q474" i="3"/>
  <c r="P474" i="3"/>
  <c r="Y473" i="3"/>
  <c r="X473" i="3"/>
  <c r="W473" i="3"/>
  <c r="V473" i="3"/>
  <c r="U473" i="3"/>
  <c r="T473" i="3"/>
  <c r="S473" i="3"/>
  <c r="R473" i="3"/>
  <c r="Q473" i="3"/>
  <c r="P473" i="3"/>
  <c r="Y472" i="3"/>
  <c r="X472" i="3"/>
  <c r="W472" i="3"/>
  <c r="V472" i="3"/>
  <c r="U472" i="3"/>
  <c r="T472" i="3"/>
  <c r="S472" i="3"/>
  <c r="R472" i="3"/>
  <c r="Q472" i="3"/>
  <c r="P472" i="3"/>
  <c r="Y471" i="3"/>
  <c r="X471" i="3"/>
  <c r="W471" i="3"/>
  <c r="V471" i="3"/>
  <c r="U471" i="3"/>
  <c r="T471" i="3"/>
  <c r="S471" i="3"/>
  <c r="R471" i="3"/>
  <c r="Q471" i="3"/>
  <c r="P471" i="3"/>
  <c r="Y470" i="3"/>
  <c r="X470" i="3"/>
  <c r="W470" i="3"/>
  <c r="V470" i="3"/>
  <c r="U470" i="3"/>
  <c r="T470" i="3"/>
  <c r="S470" i="3"/>
  <c r="R470" i="3"/>
  <c r="Q470" i="3"/>
  <c r="P470" i="3"/>
  <c r="Y469" i="3"/>
  <c r="X469" i="3"/>
  <c r="W469" i="3"/>
  <c r="V469" i="3"/>
  <c r="U469" i="3"/>
  <c r="T469" i="3"/>
  <c r="S469" i="3"/>
  <c r="R469" i="3"/>
  <c r="Q469" i="3"/>
  <c r="P469" i="3"/>
  <c r="Y468" i="3"/>
  <c r="X468" i="3"/>
  <c r="W468" i="3"/>
  <c r="V468" i="3"/>
  <c r="U468" i="3"/>
  <c r="T468" i="3"/>
  <c r="S468" i="3"/>
  <c r="R468" i="3"/>
  <c r="Q468" i="3"/>
  <c r="P468" i="3"/>
  <c r="Y467" i="3"/>
  <c r="X467" i="3"/>
  <c r="W467" i="3"/>
  <c r="V467" i="3"/>
  <c r="U467" i="3"/>
  <c r="T467" i="3"/>
  <c r="S467" i="3"/>
  <c r="R467" i="3"/>
  <c r="Q467" i="3"/>
  <c r="P467" i="3"/>
  <c r="Y466" i="3"/>
  <c r="X466" i="3"/>
  <c r="W466" i="3"/>
  <c r="V466" i="3"/>
  <c r="U466" i="3"/>
  <c r="T466" i="3"/>
  <c r="S466" i="3"/>
  <c r="R466" i="3"/>
  <c r="Q466" i="3"/>
  <c r="P466" i="3"/>
  <c r="Y465" i="3"/>
  <c r="X465" i="3"/>
  <c r="W465" i="3"/>
  <c r="V465" i="3"/>
  <c r="U465" i="3"/>
  <c r="T465" i="3"/>
  <c r="S465" i="3"/>
  <c r="R465" i="3"/>
  <c r="Q465" i="3"/>
  <c r="P465" i="3"/>
  <c r="Y464" i="3"/>
  <c r="X464" i="3"/>
  <c r="W464" i="3"/>
  <c r="V464" i="3"/>
  <c r="U464" i="3"/>
  <c r="T464" i="3"/>
  <c r="S464" i="3"/>
  <c r="R464" i="3"/>
  <c r="Q464" i="3"/>
  <c r="P464" i="3"/>
  <c r="Y463" i="3"/>
  <c r="X463" i="3"/>
  <c r="W463" i="3"/>
  <c r="V463" i="3"/>
  <c r="U463" i="3"/>
  <c r="T463" i="3"/>
  <c r="S463" i="3"/>
  <c r="R463" i="3"/>
  <c r="Q463" i="3"/>
  <c r="P463" i="3"/>
  <c r="Y462" i="3"/>
  <c r="X462" i="3"/>
  <c r="W462" i="3"/>
  <c r="V462" i="3"/>
  <c r="U462" i="3"/>
  <c r="T462" i="3"/>
  <c r="S462" i="3"/>
  <c r="R462" i="3"/>
  <c r="Q462" i="3"/>
  <c r="P462" i="3"/>
  <c r="Y461" i="3"/>
  <c r="X461" i="3"/>
  <c r="W461" i="3"/>
  <c r="V461" i="3"/>
  <c r="U461" i="3"/>
  <c r="T461" i="3"/>
  <c r="S461" i="3"/>
  <c r="R461" i="3"/>
  <c r="Q461" i="3"/>
  <c r="P461" i="3"/>
  <c r="Y460" i="3"/>
  <c r="X460" i="3"/>
  <c r="W460" i="3"/>
  <c r="V460" i="3"/>
  <c r="U460" i="3"/>
  <c r="T460" i="3"/>
  <c r="S460" i="3"/>
  <c r="R460" i="3"/>
  <c r="Q460" i="3"/>
  <c r="P460" i="3"/>
  <c r="Y459" i="3"/>
  <c r="X459" i="3"/>
  <c r="W459" i="3"/>
  <c r="V459" i="3"/>
  <c r="U459" i="3"/>
  <c r="T459" i="3"/>
  <c r="S459" i="3"/>
  <c r="R459" i="3"/>
  <c r="Q459" i="3"/>
  <c r="P459" i="3"/>
  <c r="Y458" i="3"/>
  <c r="X458" i="3"/>
  <c r="W458" i="3"/>
  <c r="V458" i="3"/>
  <c r="U458" i="3"/>
  <c r="T458" i="3"/>
  <c r="S458" i="3"/>
  <c r="R458" i="3"/>
  <c r="Q458" i="3"/>
  <c r="P458" i="3"/>
  <c r="Y457" i="3"/>
  <c r="X457" i="3"/>
  <c r="W457" i="3"/>
  <c r="V457" i="3"/>
  <c r="U457" i="3"/>
  <c r="T457" i="3"/>
  <c r="S457" i="3"/>
  <c r="R457" i="3"/>
  <c r="Q457" i="3"/>
  <c r="P457" i="3"/>
  <c r="Y456" i="3"/>
  <c r="X456" i="3"/>
  <c r="W456" i="3"/>
  <c r="V456" i="3"/>
  <c r="U456" i="3"/>
  <c r="T456" i="3"/>
  <c r="S456" i="3"/>
  <c r="R456" i="3"/>
  <c r="Q456" i="3"/>
  <c r="P456" i="3"/>
  <c r="Y455" i="3"/>
  <c r="X455" i="3"/>
  <c r="W455" i="3"/>
  <c r="V455" i="3"/>
  <c r="U455" i="3"/>
  <c r="T455" i="3"/>
  <c r="S455" i="3"/>
  <c r="R455" i="3"/>
  <c r="Q455" i="3"/>
  <c r="P455" i="3"/>
  <c r="Y454" i="3"/>
  <c r="X454" i="3"/>
  <c r="W454" i="3"/>
  <c r="V454" i="3"/>
  <c r="U454" i="3"/>
  <c r="T454" i="3"/>
  <c r="S454" i="3"/>
  <c r="R454" i="3"/>
  <c r="Q454" i="3"/>
  <c r="P454" i="3"/>
  <c r="Y453" i="3"/>
  <c r="X453" i="3"/>
  <c r="W453" i="3"/>
  <c r="V453" i="3"/>
  <c r="U453" i="3"/>
  <c r="T453" i="3"/>
  <c r="S453" i="3"/>
  <c r="R453" i="3"/>
  <c r="Q453" i="3"/>
  <c r="P453" i="3"/>
  <c r="Y452" i="3"/>
  <c r="X452" i="3"/>
  <c r="W452" i="3"/>
  <c r="V452" i="3"/>
  <c r="U452" i="3"/>
  <c r="T452" i="3"/>
  <c r="S452" i="3"/>
  <c r="R452" i="3"/>
  <c r="Q452" i="3"/>
  <c r="P452" i="3"/>
  <c r="Y451" i="3"/>
  <c r="X451" i="3"/>
  <c r="W451" i="3"/>
  <c r="V451" i="3"/>
  <c r="U451" i="3"/>
  <c r="T451" i="3"/>
  <c r="S451" i="3"/>
  <c r="R451" i="3"/>
  <c r="Q451" i="3"/>
  <c r="P451" i="3"/>
  <c r="Y450" i="3"/>
  <c r="X450" i="3"/>
  <c r="W450" i="3"/>
  <c r="V450" i="3"/>
  <c r="U450" i="3"/>
  <c r="T450" i="3"/>
  <c r="S450" i="3"/>
  <c r="R450" i="3"/>
  <c r="Q450" i="3"/>
  <c r="P450" i="3"/>
  <c r="Y449" i="3"/>
  <c r="X449" i="3"/>
  <c r="W449" i="3"/>
  <c r="V449" i="3"/>
  <c r="U449" i="3"/>
  <c r="T449" i="3"/>
  <c r="S449" i="3"/>
  <c r="R449" i="3"/>
  <c r="Q449" i="3"/>
  <c r="P449" i="3"/>
  <c r="Y448" i="3"/>
  <c r="X448" i="3"/>
  <c r="W448" i="3"/>
  <c r="V448" i="3"/>
  <c r="U448" i="3"/>
  <c r="T448" i="3"/>
  <c r="S448" i="3"/>
  <c r="R448" i="3"/>
  <c r="Q448" i="3"/>
  <c r="P448" i="3"/>
  <c r="Y447" i="3"/>
  <c r="X447" i="3"/>
  <c r="W447" i="3"/>
  <c r="V447" i="3"/>
  <c r="U447" i="3"/>
  <c r="T447" i="3"/>
  <c r="S447" i="3"/>
  <c r="R447" i="3"/>
  <c r="Q447" i="3"/>
  <c r="P447" i="3"/>
  <c r="Y446" i="3"/>
  <c r="X446" i="3"/>
  <c r="W446" i="3"/>
  <c r="V446" i="3"/>
  <c r="U446" i="3"/>
  <c r="T446" i="3"/>
  <c r="S446" i="3"/>
  <c r="R446" i="3"/>
  <c r="Q446" i="3"/>
  <c r="P446" i="3"/>
  <c r="Y445" i="3"/>
  <c r="X445" i="3"/>
  <c r="W445" i="3"/>
  <c r="V445" i="3"/>
  <c r="U445" i="3"/>
  <c r="T445" i="3"/>
  <c r="S445" i="3"/>
  <c r="R445" i="3"/>
  <c r="Q445" i="3"/>
  <c r="P445" i="3"/>
  <c r="Y444" i="3"/>
  <c r="X444" i="3"/>
  <c r="W444" i="3"/>
  <c r="V444" i="3"/>
  <c r="U444" i="3"/>
  <c r="T444" i="3"/>
  <c r="S444" i="3"/>
  <c r="R444" i="3"/>
  <c r="Q444" i="3"/>
  <c r="P444" i="3"/>
  <c r="Y443" i="3"/>
  <c r="X443" i="3"/>
  <c r="W443" i="3"/>
  <c r="V443" i="3"/>
  <c r="U443" i="3"/>
  <c r="T443" i="3"/>
  <c r="S443" i="3"/>
  <c r="R443" i="3"/>
  <c r="Q443" i="3"/>
  <c r="P443" i="3"/>
  <c r="Y442" i="3"/>
  <c r="X442" i="3"/>
  <c r="W442" i="3"/>
  <c r="V442" i="3"/>
  <c r="U442" i="3"/>
  <c r="T442" i="3"/>
  <c r="S442" i="3"/>
  <c r="R442" i="3"/>
  <c r="Q442" i="3"/>
  <c r="P442" i="3"/>
  <c r="Y441" i="3"/>
  <c r="X441" i="3"/>
  <c r="W441" i="3"/>
  <c r="V441" i="3"/>
  <c r="U441" i="3"/>
  <c r="T441" i="3"/>
  <c r="S441" i="3"/>
  <c r="R441" i="3"/>
  <c r="Q441" i="3"/>
  <c r="P441" i="3"/>
  <c r="Y440" i="3"/>
  <c r="X440" i="3"/>
  <c r="W440" i="3"/>
  <c r="V440" i="3"/>
  <c r="U440" i="3"/>
  <c r="T440" i="3"/>
  <c r="S440" i="3"/>
  <c r="R440" i="3"/>
  <c r="Q440" i="3"/>
  <c r="P440" i="3"/>
  <c r="Y439" i="3"/>
  <c r="X439" i="3"/>
  <c r="W439" i="3"/>
  <c r="V439" i="3"/>
  <c r="U439" i="3"/>
  <c r="T439" i="3"/>
  <c r="S439" i="3"/>
  <c r="R439" i="3"/>
  <c r="Q439" i="3"/>
  <c r="P439" i="3"/>
  <c r="Y438" i="3"/>
  <c r="X438" i="3"/>
  <c r="W438" i="3"/>
  <c r="V438" i="3"/>
  <c r="U438" i="3"/>
  <c r="T438" i="3"/>
  <c r="S438" i="3"/>
  <c r="R438" i="3"/>
  <c r="Q438" i="3"/>
  <c r="P438" i="3"/>
  <c r="Y437" i="3"/>
  <c r="X437" i="3"/>
  <c r="W437" i="3"/>
  <c r="V437" i="3"/>
  <c r="U437" i="3"/>
  <c r="T437" i="3"/>
  <c r="S437" i="3"/>
  <c r="R437" i="3"/>
  <c r="Q437" i="3"/>
  <c r="P437" i="3"/>
  <c r="Y436" i="3"/>
  <c r="X436" i="3"/>
  <c r="W436" i="3"/>
  <c r="V436" i="3"/>
  <c r="U436" i="3"/>
  <c r="T436" i="3"/>
  <c r="S436" i="3"/>
  <c r="R436" i="3"/>
  <c r="Q436" i="3"/>
  <c r="P436" i="3"/>
  <c r="Y435" i="3"/>
  <c r="X435" i="3"/>
  <c r="W435" i="3"/>
  <c r="V435" i="3"/>
  <c r="U435" i="3"/>
  <c r="T435" i="3"/>
  <c r="S435" i="3"/>
  <c r="R435" i="3"/>
  <c r="Q435" i="3"/>
  <c r="P435" i="3"/>
  <c r="Y434" i="3"/>
  <c r="X434" i="3"/>
  <c r="W434" i="3"/>
  <c r="V434" i="3"/>
  <c r="U434" i="3"/>
  <c r="T434" i="3"/>
  <c r="S434" i="3"/>
  <c r="R434" i="3"/>
  <c r="Q434" i="3"/>
  <c r="P434" i="3"/>
  <c r="Y433" i="3"/>
  <c r="X433" i="3"/>
  <c r="W433" i="3"/>
  <c r="V433" i="3"/>
  <c r="U433" i="3"/>
  <c r="T433" i="3"/>
  <c r="S433" i="3"/>
  <c r="R433" i="3"/>
  <c r="Q433" i="3"/>
  <c r="P433" i="3"/>
  <c r="Y432" i="3"/>
  <c r="X432" i="3"/>
  <c r="W432" i="3"/>
  <c r="V432" i="3"/>
  <c r="U432" i="3"/>
  <c r="T432" i="3"/>
  <c r="S432" i="3"/>
  <c r="R432" i="3"/>
  <c r="Q432" i="3"/>
  <c r="P432" i="3"/>
  <c r="Y431" i="3"/>
  <c r="X431" i="3"/>
  <c r="W431" i="3"/>
  <c r="V431" i="3"/>
  <c r="U431" i="3"/>
  <c r="T431" i="3"/>
  <c r="S431" i="3"/>
  <c r="R431" i="3"/>
  <c r="Q431" i="3"/>
  <c r="P431" i="3"/>
  <c r="Y430" i="3"/>
  <c r="X430" i="3"/>
  <c r="W430" i="3"/>
  <c r="V430" i="3"/>
  <c r="U430" i="3"/>
  <c r="T430" i="3"/>
  <c r="S430" i="3"/>
  <c r="R430" i="3"/>
  <c r="Q430" i="3"/>
  <c r="P430" i="3"/>
  <c r="Y429" i="3"/>
  <c r="X429" i="3"/>
  <c r="W429" i="3"/>
  <c r="V429" i="3"/>
  <c r="U429" i="3"/>
  <c r="T429" i="3"/>
  <c r="S429" i="3"/>
  <c r="R429" i="3"/>
  <c r="Q429" i="3"/>
  <c r="P429" i="3"/>
  <c r="Y428" i="3"/>
  <c r="X428" i="3"/>
  <c r="W428" i="3"/>
  <c r="V428" i="3"/>
  <c r="U428" i="3"/>
  <c r="T428" i="3"/>
  <c r="S428" i="3"/>
  <c r="R428" i="3"/>
  <c r="Q428" i="3"/>
  <c r="P428" i="3"/>
  <c r="Y427" i="3"/>
  <c r="X427" i="3"/>
  <c r="W427" i="3"/>
  <c r="V427" i="3"/>
  <c r="U427" i="3"/>
  <c r="T427" i="3"/>
  <c r="S427" i="3"/>
  <c r="R427" i="3"/>
  <c r="Q427" i="3"/>
  <c r="P427" i="3"/>
  <c r="Y426" i="3"/>
  <c r="X426" i="3"/>
  <c r="W426" i="3"/>
  <c r="V426" i="3"/>
  <c r="U426" i="3"/>
  <c r="T426" i="3"/>
  <c r="S426" i="3"/>
  <c r="R426" i="3"/>
  <c r="Q426" i="3"/>
  <c r="P426" i="3"/>
  <c r="Y425" i="3"/>
  <c r="X425" i="3"/>
  <c r="W425" i="3"/>
  <c r="V425" i="3"/>
  <c r="U425" i="3"/>
  <c r="T425" i="3"/>
  <c r="S425" i="3"/>
  <c r="R425" i="3"/>
  <c r="Q425" i="3"/>
  <c r="P425" i="3"/>
  <c r="Y424" i="3"/>
  <c r="X424" i="3"/>
  <c r="W424" i="3"/>
  <c r="V424" i="3"/>
  <c r="U424" i="3"/>
  <c r="T424" i="3"/>
  <c r="S424" i="3"/>
  <c r="R424" i="3"/>
  <c r="Q424" i="3"/>
  <c r="P424" i="3"/>
  <c r="Y423" i="3"/>
  <c r="X423" i="3"/>
  <c r="W423" i="3"/>
  <c r="V423" i="3"/>
  <c r="U423" i="3"/>
  <c r="T423" i="3"/>
  <c r="S423" i="3"/>
  <c r="R423" i="3"/>
  <c r="Q423" i="3"/>
  <c r="P423" i="3"/>
  <c r="Y422" i="3"/>
  <c r="X422" i="3"/>
  <c r="W422" i="3"/>
  <c r="V422" i="3"/>
  <c r="U422" i="3"/>
  <c r="T422" i="3"/>
  <c r="S422" i="3"/>
  <c r="R422" i="3"/>
  <c r="Q422" i="3"/>
  <c r="P422" i="3"/>
  <c r="Y421" i="3"/>
  <c r="X421" i="3"/>
  <c r="W421" i="3"/>
  <c r="V421" i="3"/>
  <c r="U421" i="3"/>
  <c r="T421" i="3"/>
  <c r="S421" i="3"/>
  <c r="R421" i="3"/>
  <c r="Q421" i="3"/>
  <c r="P421" i="3"/>
  <c r="Y420" i="3"/>
  <c r="X420" i="3"/>
  <c r="W420" i="3"/>
  <c r="V420" i="3"/>
  <c r="U420" i="3"/>
  <c r="T420" i="3"/>
  <c r="S420" i="3"/>
  <c r="R420" i="3"/>
  <c r="Q420" i="3"/>
  <c r="P420" i="3"/>
  <c r="Y419" i="3"/>
  <c r="X419" i="3"/>
  <c r="W419" i="3"/>
  <c r="V419" i="3"/>
  <c r="U419" i="3"/>
  <c r="T419" i="3"/>
  <c r="S419" i="3"/>
  <c r="R419" i="3"/>
  <c r="Q419" i="3"/>
  <c r="P419" i="3"/>
  <c r="Y418" i="3"/>
  <c r="X418" i="3"/>
  <c r="W418" i="3"/>
  <c r="V418" i="3"/>
  <c r="U418" i="3"/>
  <c r="T418" i="3"/>
  <c r="S418" i="3"/>
  <c r="R418" i="3"/>
  <c r="Q418" i="3"/>
  <c r="P418" i="3"/>
  <c r="Y417" i="3"/>
  <c r="X417" i="3"/>
  <c r="W417" i="3"/>
  <c r="V417" i="3"/>
  <c r="U417" i="3"/>
  <c r="T417" i="3"/>
  <c r="S417" i="3"/>
  <c r="R417" i="3"/>
  <c r="Q417" i="3"/>
  <c r="P417" i="3"/>
  <c r="Y416" i="3"/>
  <c r="X416" i="3"/>
  <c r="W416" i="3"/>
  <c r="V416" i="3"/>
  <c r="U416" i="3"/>
  <c r="T416" i="3"/>
  <c r="S416" i="3"/>
  <c r="R416" i="3"/>
  <c r="Q416" i="3"/>
  <c r="P416" i="3"/>
  <c r="Y415" i="3"/>
  <c r="X415" i="3"/>
  <c r="W415" i="3"/>
  <c r="V415" i="3"/>
  <c r="U415" i="3"/>
  <c r="T415" i="3"/>
  <c r="S415" i="3"/>
  <c r="R415" i="3"/>
  <c r="Q415" i="3"/>
  <c r="P415" i="3"/>
  <c r="Y414" i="3"/>
  <c r="X414" i="3"/>
  <c r="W414" i="3"/>
  <c r="V414" i="3"/>
  <c r="U414" i="3"/>
  <c r="T414" i="3"/>
  <c r="S414" i="3"/>
  <c r="R414" i="3"/>
  <c r="Q414" i="3"/>
  <c r="P414" i="3"/>
  <c r="Y413" i="3"/>
  <c r="X413" i="3"/>
  <c r="W413" i="3"/>
  <c r="V413" i="3"/>
  <c r="U413" i="3"/>
  <c r="T413" i="3"/>
  <c r="S413" i="3"/>
  <c r="R413" i="3"/>
  <c r="Q413" i="3"/>
  <c r="P413" i="3"/>
  <c r="Y412" i="3"/>
  <c r="X412" i="3"/>
  <c r="W412" i="3"/>
  <c r="V412" i="3"/>
  <c r="U412" i="3"/>
  <c r="T412" i="3"/>
  <c r="S412" i="3"/>
  <c r="R412" i="3"/>
  <c r="Q412" i="3"/>
  <c r="P412" i="3"/>
  <c r="Y411" i="3"/>
  <c r="X411" i="3"/>
  <c r="W411" i="3"/>
  <c r="V411" i="3"/>
  <c r="U411" i="3"/>
  <c r="T411" i="3"/>
  <c r="S411" i="3"/>
  <c r="R411" i="3"/>
  <c r="Q411" i="3"/>
  <c r="P411" i="3"/>
  <c r="Y410" i="3"/>
  <c r="X410" i="3"/>
  <c r="W410" i="3"/>
  <c r="V410" i="3"/>
  <c r="U410" i="3"/>
  <c r="T410" i="3"/>
  <c r="S410" i="3"/>
  <c r="R410" i="3"/>
  <c r="Q410" i="3"/>
  <c r="P410" i="3"/>
  <c r="Y409" i="3"/>
  <c r="X409" i="3"/>
  <c r="W409" i="3"/>
  <c r="V409" i="3"/>
  <c r="U409" i="3"/>
  <c r="T409" i="3"/>
  <c r="S409" i="3"/>
  <c r="R409" i="3"/>
  <c r="Q409" i="3"/>
  <c r="P409" i="3"/>
  <c r="Y408" i="3"/>
  <c r="X408" i="3"/>
  <c r="W408" i="3"/>
  <c r="V408" i="3"/>
  <c r="U408" i="3"/>
  <c r="T408" i="3"/>
  <c r="S408" i="3"/>
  <c r="R408" i="3"/>
  <c r="Q408" i="3"/>
  <c r="P408" i="3"/>
  <c r="Y407" i="3"/>
  <c r="X407" i="3"/>
  <c r="W407" i="3"/>
  <c r="V407" i="3"/>
  <c r="U407" i="3"/>
  <c r="T407" i="3"/>
  <c r="S407" i="3"/>
  <c r="R407" i="3"/>
  <c r="Q407" i="3"/>
  <c r="P407" i="3"/>
  <c r="Y406" i="3"/>
  <c r="X406" i="3"/>
  <c r="W406" i="3"/>
  <c r="V406" i="3"/>
  <c r="U406" i="3"/>
  <c r="T406" i="3"/>
  <c r="S406" i="3"/>
  <c r="R406" i="3"/>
  <c r="Q406" i="3"/>
  <c r="P406" i="3"/>
  <c r="Y405" i="3"/>
  <c r="X405" i="3"/>
  <c r="W405" i="3"/>
  <c r="V405" i="3"/>
  <c r="U405" i="3"/>
  <c r="T405" i="3"/>
  <c r="S405" i="3"/>
  <c r="R405" i="3"/>
  <c r="Q405" i="3"/>
  <c r="P405" i="3"/>
  <c r="Y404" i="3"/>
  <c r="X404" i="3"/>
  <c r="W404" i="3"/>
  <c r="V404" i="3"/>
  <c r="U404" i="3"/>
  <c r="T404" i="3"/>
  <c r="S404" i="3"/>
  <c r="R404" i="3"/>
  <c r="Q404" i="3"/>
  <c r="P404" i="3"/>
  <c r="Y403" i="3"/>
  <c r="X403" i="3"/>
  <c r="W403" i="3"/>
  <c r="V403" i="3"/>
  <c r="U403" i="3"/>
  <c r="T403" i="3"/>
  <c r="S403" i="3"/>
  <c r="R403" i="3"/>
  <c r="Q403" i="3"/>
  <c r="P403" i="3"/>
  <c r="Y402" i="3"/>
  <c r="X402" i="3"/>
  <c r="W402" i="3"/>
  <c r="V402" i="3"/>
  <c r="U402" i="3"/>
  <c r="T402" i="3"/>
  <c r="S402" i="3"/>
  <c r="R402" i="3"/>
  <c r="Q402" i="3"/>
  <c r="P402" i="3"/>
  <c r="Y401" i="3"/>
  <c r="X401" i="3"/>
  <c r="W401" i="3"/>
  <c r="V401" i="3"/>
  <c r="U401" i="3"/>
  <c r="T401" i="3"/>
  <c r="S401" i="3"/>
  <c r="R401" i="3"/>
  <c r="Q401" i="3"/>
  <c r="P401" i="3"/>
  <c r="Y400" i="3"/>
  <c r="X400" i="3"/>
  <c r="W400" i="3"/>
  <c r="V400" i="3"/>
  <c r="U400" i="3"/>
  <c r="T400" i="3"/>
  <c r="S400" i="3"/>
  <c r="R400" i="3"/>
  <c r="Q400" i="3"/>
  <c r="P400" i="3"/>
  <c r="Y399" i="3"/>
  <c r="X399" i="3"/>
  <c r="W399" i="3"/>
  <c r="V399" i="3"/>
  <c r="U399" i="3"/>
  <c r="T399" i="3"/>
  <c r="S399" i="3"/>
  <c r="R399" i="3"/>
  <c r="Q399" i="3"/>
  <c r="P399" i="3"/>
  <c r="Y398" i="3"/>
  <c r="X398" i="3"/>
  <c r="W398" i="3"/>
  <c r="V398" i="3"/>
  <c r="U398" i="3"/>
  <c r="T398" i="3"/>
  <c r="S398" i="3"/>
  <c r="R398" i="3"/>
  <c r="Q398" i="3"/>
  <c r="P398" i="3"/>
  <c r="Y397" i="3"/>
  <c r="X397" i="3"/>
  <c r="W397" i="3"/>
  <c r="V397" i="3"/>
  <c r="U397" i="3"/>
  <c r="T397" i="3"/>
  <c r="S397" i="3"/>
  <c r="R397" i="3"/>
  <c r="Q397" i="3"/>
  <c r="P397" i="3"/>
  <c r="Y396" i="3"/>
  <c r="X396" i="3"/>
  <c r="W396" i="3"/>
  <c r="V396" i="3"/>
  <c r="U396" i="3"/>
  <c r="T396" i="3"/>
  <c r="S396" i="3"/>
  <c r="R396" i="3"/>
  <c r="Q396" i="3"/>
  <c r="P396" i="3"/>
  <c r="Y395" i="3"/>
  <c r="X395" i="3"/>
  <c r="W395" i="3"/>
  <c r="V395" i="3"/>
  <c r="U395" i="3"/>
  <c r="T395" i="3"/>
  <c r="S395" i="3"/>
  <c r="R395" i="3"/>
  <c r="Q395" i="3"/>
  <c r="P395" i="3"/>
  <c r="Y394" i="3"/>
  <c r="X394" i="3"/>
  <c r="W394" i="3"/>
  <c r="V394" i="3"/>
  <c r="U394" i="3"/>
  <c r="T394" i="3"/>
  <c r="S394" i="3"/>
  <c r="R394" i="3"/>
  <c r="Q394" i="3"/>
  <c r="P394" i="3"/>
  <c r="Y393" i="3"/>
  <c r="X393" i="3"/>
  <c r="W393" i="3"/>
  <c r="V393" i="3"/>
  <c r="U393" i="3"/>
  <c r="T393" i="3"/>
  <c r="S393" i="3"/>
  <c r="R393" i="3"/>
  <c r="Q393" i="3"/>
  <c r="P393" i="3"/>
  <c r="Y392" i="3"/>
  <c r="X392" i="3"/>
  <c r="W392" i="3"/>
  <c r="V392" i="3"/>
  <c r="U392" i="3"/>
  <c r="T392" i="3"/>
  <c r="S392" i="3"/>
  <c r="R392" i="3"/>
  <c r="Q392" i="3"/>
  <c r="P392" i="3"/>
  <c r="Y391" i="3"/>
  <c r="X391" i="3"/>
  <c r="W391" i="3"/>
  <c r="V391" i="3"/>
  <c r="U391" i="3"/>
  <c r="T391" i="3"/>
  <c r="S391" i="3"/>
  <c r="R391" i="3"/>
  <c r="Q391" i="3"/>
  <c r="P391" i="3"/>
  <c r="Y390" i="3"/>
  <c r="X390" i="3"/>
  <c r="W390" i="3"/>
  <c r="V390" i="3"/>
  <c r="U390" i="3"/>
  <c r="T390" i="3"/>
  <c r="S390" i="3"/>
  <c r="R390" i="3"/>
  <c r="Q390" i="3"/>
  <c r="P390" i="3"/>
  <c r="Y389" i="3"/>
  <c r="X389" i="3"/>
  <c r="W389" i="3"/>
  <c r="V389" i="3"/>
  <c r="U389" i="3"/>
  <c r="T389" i="3"/>
  <c r="S389" i="3"/>
  <c r="R389" i="3"/>
  <c r="Q389" i="3"/>
  <c r="P389" i="3"/>
  <c r="Y388" i="3"/>
  <c r="X388" i="3"/>
  <c r="W388" i="3"/>
  <c r="V388" i="3"/>
  <c r="U388" i="3"/>
  <c r="T388" i="3"/>
  <c r="S388" i="3"/>
  <c r="R388" i="3"/>
  <c r="Q388" i="3"/>
  <c r="P388" i="3"/>
  <c r="Y387" i="3"/>
  <c r="X387" i="3"/>
  <c r="W387" i="3"/>
  <c r="V387" i="3"/>
  <c r="U387" i="3"/>
  <c r="T387" i="3"/>
  <c r="S387" i="3"/>
  <c r="R387" i="3"/>
  <c r="Q387" i="3"/>
  <c r="P387" i="3"/>
  <c r="Y386" i="3"/>
  <c r="X386" i="3"/>
  <c r="W386" i="3"/>
  <c r="V386" i="3"/>
  <c r="U386" i="3"/>
  <c r="T386" i="3"/>
  <c r="S386" i="3"/>
  <c r="R386" i="3"/>
  <c r="Q386" i="3"/>
  <c r="P386" i="3"/>
  <c r="Y385" i="3"/>
  <c r="X385" i="3"/>
  <c r="W385" i="3"/>
  <c r="V385" i="3"/>
  <c r="U385" i="3"/>
  <c r="T385" i="3"/>
  <c r="S385" i="3"/>
  <c r="R385" i="3"/>
  <c r="Q385" i="3"/>
  <c r="P385" i="3"/>
  <c r="Y384" i="3"/>
  <c r="X384" i="3"/>
  <c r="W384" i="3"/>
  <c r="V384" i="3"/>
  <c r="U384" i="3"/>
  <c r="T384" i="3"/>
  <c r="S384" i="3"/>
  <c r="R384" i="3"/>
  <c r="Q384" i="3"/>
  <c r="P384" i="3"/>
  <c r="Y383" i="3"/>
  <c r="X383" i="3"/>
  <c r="W383" i="3"/>
  <c r="V383" i="3"/>
  <c r="U383" i="3"/>
  <c r="T383" i="3"/>
  <c r="S383" i="3"/>
  <c r="R383" i="3"/>
  <c r="Q383" i="3"/>
  <c r="P383" i="3"/>
  <c r="Y382" i="3"/>
  <c r="X382" i="3"/>
  <c r="W382" i="3"/>
  <c r="V382" i="3"/>
  <c r="U382" i="3"/>
  <c r="T382" i="3"/>
  <c r="S382" i="3"/>
  <c r="R382" i="3"/>
  <c r="Q382" i="3"/>
  <c r="P382" i="3"/>
  <c r="Y381" i="3"/>
  <c r="X381" i="3"/>
  <c r="W381" i="3"/>
  <c r="V381" i="3"/>
  <c r="U381" i="3"/>
  <c r="T381" i="3"/>
  <c r="S381" i="3"/>
  <c r="R381" i="3"/>
  <c r="Q381" i="3"/>
  <c r="P381" i="3"/>
  <c r="Y380" i="3"/>
  <c r="X380" i="3"/>
  <c r="W380" i="3"/>
  <c r="V380" i="3"/>
  <c r="U380" i="3"/>
  <c r="T380" i="3"/>
  <c r="S380" i="3"/>
  <c r="R380" i="3"/>
  <c r="Q380" i="3"/>
  <c r="P380" i="3"/>
  <c r="Y379" i="3"/>
  <c r="X379" i="3"/>
  <c r="W379" i="3"/>
  <c r="V379" i="3"/>
  <c r="U379" i="3"/>
  <c r="T379" i="3"/>
  <c r="S379" i="3"/>
  <c r="R379" i="3"/>
  <c r="Q379" i="3"/>
  <c r="P379" i="3"/>
  <c r="Y378" i="3"/>
  <c r="X378" i="3"/>
  <c r="W378" i="3"/>
  <c r="V378" i="3"/>
  <c r="U378" i="3"/>
  <c r="T378" i="3"/>
  <c r="S378" i="3"/>
  <c r="R378" i="3"/>
  <c r="Q378" i="3"/>
  <c r="P378" i="3"/>
  <c r="Y377" i="3"/>
  <c r="X377" i="3"/>
  <c r="W377" i="3"/>
  <c r="V377" i="3"/>
  <c r="U377" i="3"/>
  <c r="T377" i="3"/>
  <c r="S377" i="3"/>
  <c r="R377" i="3"/>
  <c r="Q377" i="3"/>
  <c r="P377" i="3"/>
  <c r="Y376" i="3"/>
  <c r="X376" i="3"/>
  <c r="W376" i="3"/>
  <c r="V376" i="3"/>
  <c r="U376" i="3"/>
  <c r="T376" i="3"/>
  <c r="S376" i="3"/>
  <c r="R376" i="3"/>
  <c r="Q376" i="3"/>
  <c r="P376" i="3"/>
  <c r="Y375" i="3"/>
  <c r="X375" i="3"/>
  <c r="W375" i="3"/>
  <c r="V375" i="3"/>
  <c r="U375" i="3"/>
  <c r="T375" i="3"/>
  <c r="S375" i="3"/>
  <c r="R375" i="3"/>
  <c r="Q375" i="3"/>
  <c r="P375" i="3"/>
  <c r="Y374" i="3"/>
  <c r="X374" i="3"/>
  <c r="W374" i="3"/>
  <c r="V374" i="3"/>
  <c r="U374" i="3"/>
  <c r="T374" i="3"/>
  <c r="S374" i="3"/>
  <c r="R374" i="3"/>
  <c r="Q374" i="3"/>
  <c r="P374" i="3"/>
  <c r="Y373" i="3"/>
  <c r="X373" i="3"/>
  <c r="W373" i="3"/>
  <c r="V373" i="3"/>
  <c r="U373" i="3"/>
  <c r="T373" i="3"/>
  <c r="S373" i="3"/>
  <c r="R373" i="3"/>
  <c r="Q373" i="3"/>
  <c r="P373" i="3"/>
  <c r="Y372" i="3"/>
  <c r="X372" i="3"/>
  <c r="W372" i="3"/>
  <c r="V372" i="3"/>
  <c r="U372" i="3"/>
  <c r="T372" i="3"/>
  <c r="S372" i="3"/>
  <c r="R372" i="3"/>
  <c r="Q372" i="3"/>
  <c r="P372" i="3"/>
  <c r="Y371" i="3"/>
  <c r="X371" i="3"/>
  <c r="W371" i="3"/>
  <c r="V371" i="3"/>
  <c r="U371" i="3"/>
  <c r="T371" i="3"/>
  <c r="S371" i="3"/>
  <c r="R371" i="3"/>
  <c r="Q371" i="3"/>
  <c r="P371" i="3"/>
  <c r="Y370" i="3"/>
  <c r="X370" i="3"/>
  <c r="W370" i="3"/>
  <c r="V370" i="3"/>
  <c r="U370" i="3"/>
  <c r="T370" i="3"/>
  <c r="S370" i="3"/>
  <c r="R370" i="3"/>
  <c r="Q370" i="3"/>
  <c r="P370" i="3"/>
  <c r="Y369" i="3"/>
  <c r="X369" i="3"/>
  <c r="W369" i="3"/>
  <c r="V369" i="3"/>
  <c r="U369" i="3"/>
  <c r="T369" i="3"/>
  <c r="S369" i="3"/>
  <c r="R369" i="3"/>
  <c r="Q369" i="3"/>
  <c r="P369" i="3"/>
  <c r="Y368" i="3"/>
  <c r="X368" i="3"/>
  <c r="W368" i="3"/>
  <c r="V368" i="3"/>
  <c r="U368" i="3"/>
  <c r="T368" i="3"/>
  <c r="S368" i="3"/>
  <c r="R368" i="3"/>
  <c r="Q368" i="3"/>
  <c r="P368" i="3"/>
  <c r="Y367" i="3"/>
  <c r="X367" i="3"/>
  <c r="W367" i="3"/>
  <c r="V367" i="3"/>
  <c r="U367" i="3"/>
  <c r="T367" i="3"/>
  <c r="S367" i="3"/>
  <c r="R367" i="3"/>
  <c r="Q367" i="3"/>
  <c r="P367" i="3"/>
  <c r="Y366" i="3"/>
  <c r="X366" i="3"/>
  <c r="W366" i="3"/>
  <c r="V366" i="3"/>
  <c r="U366" i="3"/>
  <c r="T366" i="3"/>
  <c r="S366" i="3"/>
  <c r="R366" i="3"/>
  <c r="Q366" i="3"/>
  <c r="P366" i="3"/>
  <c r="Y365" i="3"/>
  <c r="X365" i="3"/>
  <c r="W365" i="3"/>
  <c r="V365" i="3"/>
  <c r="U365" i="3"/>
  <c r="T365" i="3"/>
  <c r="S365" i="3"/>
  <c r="R365" i="3"/>
  <c r="Q365" i="3"/>
  <c r="P365" i="3"/>
  <c r="Y364" i="3"/>
  <c r="X364" i="3"/>
  <c r="W364" i="3"/>
  <c r="V364" i="3"/>
  <c r="U364" i="3"/>
  <c r="T364" i="3"/>
  <c r="S364" i="3"/>
  <c r="R364" i="3"/>
  <c r="Q364" i="3"/>
  <c r="P364" i="3"/>
  <c r="Y363" i="3"/>
  <c r="X363" i="3"/>
  <c r="W363" i="3"/>
  <c r="V363" i="3"/>
  <c r="U363" i="3"/>
  <c r="T363" i="3"/>
  <c r="S363" i="3"/>
  <c r="R363" i="3"/>
  <c r="Q363" i="3"/>
  <c r="P363" i="3"/>
  <c r="Y362" i="3"/>
  <c r="X362" i="3"/>
  <c r="W362" i="3"/>
  <c r="V362" i="3"/>
  <c r="U362" i="3"/>
  <c r="T362" i="3"/>
  <c r="S362" i="3"/>
  <c r="R362" i="3"/>
  <c r="Q362" i="3"/>
  <c r="P362" i="3"/>
  <c r="Y361" i="3"/>
  <c r="X361" i="3"/>
  <c r="W361" i="3"/>
  <c r="V361" i="3"/>
  <c r="U361" i="3"/>
  <c r="T361" i="3"/>
  <c r="S361" i="3"/>
  <c r="R361" i="3"/>
  <c r="Q361" i="3"/>
  <c r="P361" i="3"/>
  <c r="Y360" i="3"/>
  <c r="X360" i="3"/>
  <c r="W360" i="3"/>
  <c r="V360" i="3"/>
  <c r="U360" i="3"/>
  <c r="T360" i="3"/>
  <c r="S360" i="3"/>
  <c r="R360" i="3"/>
  <c r="Q360" i="3"/>
  <c r="P360" i="3"/>
  <c r="Y359" i="3"/>
  <c r="X359" i="3"/>
  <c r="W359" i="3"/>
  <c r="V359" i="3"/>
  <c r="U359" i="3"/>
  <c r="T359" i="3"/>
  <c r="S359" i="3"/>
  <c r="R359" i="3"/>
  <c r="Q359" i="3"/>
  <c r="P359" i="3"/>
  <c r="Y358" i="3"/>
  <c r="X358" i="3"/>
  <c r="W358" i="3"/>
  <c r="V358" i="3"/>
  <c r="U358" i="3"/>
  <c r="T358" i="3"/>
  <c r="S358" i="3"/>
  <c r="R358" i="3"/>
  <c r="Q358" i="3"/>
  <c r="P358" i="3"/>
  <c r="Y357" i="3"/>
  <c r="X357" i="3"/>
  <c r="W357" i="3"/>
  <c r="V357" i="3"/>
  <c r="U357" i="3"/>
  <c r="T357" i="3"/>
  <c r="S357" i="3"/>
  <c r="R357" i="3"/>
  <c r="Q357" i="3"/>
  <c r="P357" i="3"/>
  <c r="Y356" i="3"/>
  <c r="X356" i="3"/>
  <c r="W356" i="3"/>
  <c r="V356" i="3"/>
  <c r="U356" i="3"/>
  <c r="T356" i="3"/>
  <c r="S356" i="3"/>
  <c r="R356" i="3"/>
  <c r="Q356" i="3"/>
  <c r="P356" i="3"/>
  <c r="Y355" i="3"/>
  <c r="X355" i="3"/>
  <c r="W355" i="3"/>
  <c r="V355" i="3"/>
  <c r="U355" i="3"/>
  <c r="T355" i="3"/>
  <c r="S355" i="3"/>
  <c r="R355" i="3"/>
  <c r="Q355" i="3"/>
  <c r="P355" i="3"/>
  <c r="Y354" i="3"/>
  <c r="X354" i="3"/>
  <c r="W354" i="3"/>
  <c r="V354" i="3"/>
  <c r="U354" i="3"/>
  <c r="T354" i="3"/>
  <c r="S354" i="3"/>
  <c r="R354" i="3"/>
  <c r="Q354" i="3"/>
  <c r="P354" i="3"/>
  <c r="Y353" i="3"/>
  <c r="X353" i="3"/>
  <c r="W353" i="3"/>
  <c r="V353" i="3"/>
  <c r="U353" i="3"/>
  <c r="T353" i="3"/>
  <c r="S353" i="3"/>
  <c r="R353" i="3"/>
  <c r="Q353" i="3"/>
  <c r="P353" i="3"/>
  <c r="Y352" i="3"/>
  <c r="X352" i="3"/>
  <c r="W352" i="3"/>
  <c r="V352" i="3"/>
  <c r="U352" i="3"/>
  <c r="T352" i="3"/>
  <c r="S352" i="3"/>
  <c r="R352" i="3"/>
  <c r="Q352" i="3"/>
  <c r="P352" i="3"/>
  <c r="Y351" i="3"/>
  <c r="X351" i="3"/>
  <c r="W351" i="3"/>
  <c r="V351" i="3"/>
  <c r="U351" i="3"/>
  <c r="T351" i="3"/>
  <c r="S351" i="3"/>
  <c r="R351" i="3"/>
  <c r="Q351" i="3"/>
  <c r="P351" i="3"/>
  <c r="Y350" i="3"/>
  <c r="X350" i="3"/>
  <c r="W350" i="3"/>
  <c r="V350" i="3"/>
  <c r="U350" i="3"/>
  <c r="T350" i="3"/>
  <c r="S350" i="3"/>
  <c r="R350" i="3"/>
  <c r="Q350" i="3"/>
  <c r="P350" i="3"/>
  <c r="Y349" i="3"/>
  <c r="X349" i="3"/>
  <c r="W349" i="3"/>
  <c r="V349" i="3"/>
  <c r="U349" i="3"/>
  <c r="T349" i="3"/>
  <c r="S349" i="3"/>
  <c r="R349" i="3"/>
  <c r="Q349" i="3"/>
  <c r="P349" i="3"/>
  <c r="Y348" i="3"/>
  <c r="X348" i="3"/>
  <c r="W348" i="3"/>
  <c r="V348" i="3"/>
  <c r="U348" i="3"/>
  <c r="T348" i="3"/>
  <c r="S348" i="3"/>
  <c r="R348" i="3"/>
  <c r="Q348" i="3"/>
  <c r="P348" i="3"/>
  <c r="Y347" i="3"/>
  <c r="X347" i="3"/>
  <c r="W347" i="3"/>
  <c r="V347" i="3"/>
  <c r="U347" i="3"/>
  <c r="T347" i="3"/>
  <c r="S347" i="3"/>
  <c r="R347" i="3"/>
  <c r="Q347" i="3"/>
  <c r="P347" i="3"/>
  <c r="Y346" i="3"/>
  <c r="X346" i="3"/>
  <c r="W346" i="3"/>
  <c r="V346" i="3"/>
  <c r="U346" i="3"/>
  <c r="T346" i="3"/>
  <c r="S346" i="3"/>
  <c r="R346" i="3"/>
  <c r="Q346" i="3"/>
  <c r="P346" i="3"/>
  <c r="Y345" i="3"/>
  <c r="X345" i="3"/>
  <c r="W345" i="3"/>
  <c r="V345" i="3"/>
  <c r="U345" i="3"/>
  <c r="T345" i="3"/>
  <c r="S345" i="3"/>
  <c r="R345" i="3"/>
  <c r="Q345" i="3"/>
  <c r="P345" i="3"/>
  <c r="Y344" i="3"/>
  <c r="X344" i="3"/>
  <c r="W344" i="3"/>
  <c r="V344" i="3"/>
  <c r="U344" i="3"/>
  <c r="T344" i="3"/>
  <c r="S344" i="3"/>
  <c r="R344" i="3"/>
  <c r="Q344" i="3"/>
  <c r="P344" i="3"/>
  <c r="Y343" i="3"/>
  <c r="X343" i="3"/>
  <c r="W343" i="3"/>
  <c r="V343" i="3"/>
  <c r="U343" i="3"/>
  <c r="T343" i="3"/>
  <c r="S343" i="3"/>
  <c r="R343" i="3"/>
  <c r="Q343" i="3"/>
  <c r="P343" i="3"/>
  <c r="Y342" i="3"/>
  <c r="X342" i="3"/>
  <c r="W342" i="3"/>
  <c r="V342" i="3"/>
  <c r="U342" i="3"/>
  <c r="T342" i="3"/>
  <c r="S342" i="3"/>
  <c r="R342" i="3"/>
  <c r="Q342" i="3"/>
  <c r="P342" i="3"/>
  <c r="Y341" i="3"/>
  <c r="X341" i="3"/>
  <c r="W341" i="3"/>
  <c r="V341" i="3"/>
  <c r="U341" i="3"/>
  <c r="T341" i="3"/>
  <c r="S341" i="3"/>
  <c r="R341" i="3"/>
  <c r="Q341" i="3"/>
  <c r="P341" i="3"/>
  <c r="Y340" i="3"/>
  <c r="X340" i="3"/>
  <c r="W340" i="3"/>
  <c r="V340" i="3"/>
  <c r="U340" i="3"/>
  <c r="T340" i="3"/>
  <c r="S340" i="3"/>
  <c r="R340" i="3"/>
  <c r="Q340" i="3"/>
  <c r="P340" i="3"/>
  <c r="Y339" i="3"/>
  <c r="X339" i="3"/>
  <c r="W339" i="3"/>
  <c r="V339" i="3"/>
  <c r="U339" i="3"/>
  <c r="T339" i="3"/>
  <c r="S339" i="3"/>
  <c r="R339" i="3"/>
  <c r="Q339" i="3"/>
  <c r="P339" i="3"/>
  <c r="Y338" i="3"/>
  <c r="X338" i="3"/>
  <c r="W338" i="3"/>
  <c r="V338" i="3"/>
  <c r="U338" i="3"/>
  <c r="T338" i="3"/>
  <c r="S338" i="3"/>
  <c r="R338" i="3"/>
  <c r="Q338" i="3"/>
  <c r="P338" i="3"/>
  <c r="Y337" i="3"/>
  <c r="X337" i="3"/>
  <c r="W337" i="3"/>
  <c r="V337" i="3"/>
  <c r="U337" i="3"/>
  <c r="T337" i="3"/>
  <c r="S337" i="3"/>
  <c r="R337" i="3"/>
  <c r="Q337" i="3"/>
  <c r="P337" i="3"/>
  <c r="Y336" i="3"/>
  <c r="X336" i="3"/>
  <c r="W336" i="3"/>
  <c r="V336" i="3"/>
  <c r="U336" i="3"/>
  <c r="T336" i="3"/>
  <c r="S336" i="3"/>
  <c r="R336" i="3"/>
  <c r="Q336" i="3"/>
  <c r="P336" i="3"/>
  <c r="Y335" i="3"/>
  <c r="X335" i="3"/>
  <c r="W335" i="3"/>
  <c r="V335" i="3"/>
  <c r="U335" i="3"/>
  <c r="T335" i="3"/>
  <c r="S335" i="3"/>
  <c r="R335" i="3"/>
  <c r="Q335" i="3"/>
  <c r="P335" i="3"/>
  <c r="Y334" i="3"/>
  <c r="X334" i="3"/>
  <c r="W334" i="3"/>
  <c r="V334" i="3"/>
  <c r="U334" i="3"/>
  <c r="T334" i="3"/>
  <c r="S334" i="3"/>
  <c r="R334" i="3"/>
  <c r="Q334" i="3"/>
  <c r="P334" i="3"/>
  <c r="Y333" i="3"/>
  <c r="X333" i="3"/>
  <c r="W333" i="3"/>
  <c r="V333" i="3"/>
  <c r="U333" i="3"/>
  <c r="T333" i="3"/>
  <c r="S333" i="3"/>
  <c r="R333" i="3"/>
  <c r="Q333" i="3"/>
  <c r="P333" i="3"/>
  <c r="Y332" i="3"/>
  <c r="X332" i="3"/>
  <c r="W332" i="3"/>
  <c r="V332" i="3"/>
  <c r="U332" i="3"/>
  <c r="T332" i="3"/>
  <c r="S332" i="3"/>
  <c r="R332" i="3"/>
  <c r="Q332" i="3"/>
  <c r="P332" i="3"/>
  <c r="Y331" i="3"/>
  <c r="X331" i="3"/>
  <c r="W331" i="3"/>
  <c r="V331" i="3"/>
  <c r="U331" i="3"/>
  <c r="T331" i="3"/>
  <c r="S331" i="3"/>
  <c r="R331" i="3"/>
  <c r="Q331" i="3"/>
  <c r="P331" i="3"/>
  <c r="Y330" i="3"/>
  <c r="X330" i="3"/>
  <c r="W330" i="3"/>
  <c r="V330" i="3"/>
  <c r="U330" i="3"/>
  <c r="T330" i="3"/>
  <c r="S330" i="3"/>
  <c r="R330" i="3"/>
  <c r="Q330" i="3"/>
  <c r="P330" i="3"/>
  <c r="Y329" i="3"/>
  <c r="X329" i="3"/>
  <c r="W329" i="3"/>
  <c r="V329" i="3"/>
  <c r="U329" i="3"/>
  <c r="T329" i="3"/>
  <c r="S329" i="3"/>
  <c r="R329" i="3"/>
  <c r="Q329" i="3"/>
  <c r="P329" i="3"/>
  <c r="Y328" i="3"/>
  <c r="X328" i="3"/>
  <c r="W328" i="3"/>
  <c r="V328" i="3"/>
  <c r="U328" i="3"/>
  <c r="T328" i="3"/>
  <c r="S328" i="3"/>
  <c r="R328" i="3"/>
  <c r="Q328" i="3"/>
  <c r="P328" i="3"/>
  <c r="Y327" i="3"/>
  <c r="X327" i="3"/>
  <c r="W327" i="3"/>
  <c r="V327" i="3"/>
  <c r="U327" i="3"/>
  <c r="T327" i="3"/>
  <c r="S327" i="3"/>
  <c r="R327" i="3"/>
  <c r="Q327" i="3"/>
  <c r="P327" i="3"/>
  <c r="Y326" i="3"/>
  <c r="X326" i="3"/>
  <c r="W326" i="3"/>
  <c r="V326" i="3"/>
  <c r="U326" i="3"/>
  <c r="T326" i="3"/>
  <c r="S326" i="3"/>
  <c r="R326" i="3"/>
  <c r="Q326" i="3"/>
  <c r="P326" i="3"/>
  <c r="Y325" i="3"/>
  <c r="X325" i="3"/>
  <c r="W325" i="3"/>
  <c r="V325" i="3"/>
  <c r="U325" i="3"/>
  <c r="T325" i="3"/>
  <c r="S325" i="3"/>
  <c r="R325" i="3"/>
  <c r="Q325" i="3"/>
  <c r="P325" i="3"/>
  <c r="Y324" i="3"/>
  <c r="X324" i="3"/>
  <c r="W324" i="3"/>
  <c r="V324" i="3"/>
  <c r="U324" i="3"/>
  <c r="T324" i="3"/>
  <c r="S324" i="3"/>
  <c r="R324" i="3"/>
  <c r="Q324" i="3"/>
  <c r="P324" i="3"/>
  <c r="Y323" i="3"/>
  <c r="X323" i="3"/>
  <c r="W323" i="3"/>
  <c r="V323" i="3"/>
  <c r="U323" i="3"/>
  <c r="T323" i="3"/>
  <c r="S323" i="3"/>
  <c r="R323" i="3"/>
  <c r="Q323" i="3"/>
  <c r="P323" i="3"/>
  <c r="Y322" i="3"/>
  <c r="X322" i="3"/>
  <c r="W322" i="3"/>
  <c r="V322" i="3"/>
  <c r="U322" i="3"/>
  <c r="T322" i="3"/>
  <c r="S322" i="3"/>
  <c r="R322" i="3"/>
  <c r="Q322" i="3"/>
  <c r="P322" i="3"/>
  <c r="Y321" i="3"/>
  <c r="X321" i="3"/>
  <c r="W321" i="3"/>
  <c r="V321" i="3"/>
  <c r="U321" i="3"/>
  <c r="T321" i="3"/>
  <c r="S321" i="3"/>
  <c r="R321" i="3"/>
  <c r="Q321" i="3"/>
  <c r="P321" i="3"/>
  <c r="Y320" i="3"/>
  <c r="X320" i="3"/>
  <c r="W320" i="3"/>
  <c r="V320" i="3"/>
  <c r="U320" i="3"/>
  <c r="T320" i="3"/>
  <c r="S320" i="3"/>
  <c r="R320" i="3"/>
  <c r="Q320" i="3"/>
  <c r="P320" i="3"/>
  <c r="Y319" i="3"/>
  <c r="X319" i="3"/>
  <c r="W319" i="3"/>
  <c r="V319" i="3"/>
  <c r="U319" i="3"/>
  <c r="T319" i="3"/>
  <c r="S319" i="3"/>
  <c r="R319" i="3"/>
  <c r="Q319" i="3"/>
  <c r="P319" i="3"/>
  <c r="Y318" i="3"/>
  <c r="X318" i="3"/>
  <c r="W318" i="3"/>
  <c r="V318" i="3"/>
  <c r="U318" i="3"/>
  <c r="T318" i="3"/>
  <c r="S318" i="3"/>
  <c r="R318" i="3"/>
  <c r="Q318" i="3"/>
  <c r="P318" i="3"/>
  <c r="Y317" i="3"/>
  <c r="X317" i="3"/>
  <c r="W317" i="3"/>
  <c r="V317" i="3"/>
  <c r="U317" i="3"/>
  <c r="T317" i="3"/>
  <c r="S317" i="3"/>
  <c r="R317" i="3"/>
  <c r="Q317" i="3"/>
  <c r="P317" i="3"/>
  <c r="Y316" i="3"/>
  <c r="X316" i="3"/>
  <c r="W316" i="3"/>
  <c r="V316" i="3"/>
  <c r="U316" i="3"/>
  <c r="T316" i="3"/>
  <c r="S316" i="3"/>
  <c r="R316" i="3"/>
  <c r="Q316" i="3"/>
  <c r="P316" i="3"/>
  <c r="Y315" i="3"/>
  <c r="X315" i="3"/>
  <c r="W315" i="3"/>
  <c r="V315" i="3"/>
  <c r="U315" i="3"/>
  <c r="T315" i="3"/>
  <c r="S315" i="3"/>
  <c r="R315" i="3"/>
  <c r="Q315" i="3"/>
  <c r="P315" i="3"/>
  <c r="Y314" i="3"/>
  <c r="X314" i="3"/>
  <c r="W314" i="3"/>
  <c r="V314" i="3"/>
  <c r="U314" i="3"/>
  <c r="T314" i="3"/>
  <c r="S314" i="3"/>
  <c r="R314" i="3"/>
  <c r="Q314" i="3"/>
  <c r="P314" i="3"/>
  <c r="Y313" i="3"/>
  <c r="X313" i="3"/>
  <c r="W313" i="3"/>
  <c r="V313" i="3"/>
  <c r="U313" i="3"/>
  <c r="T313" i="3"/>
  <c r="S313" i="3"/>
  <c r="R313" i="3"/>
  <c r="Q313" i="3"/>
  <c r="P313" i="3"/>
  <c r="Y312" i="3"/>
  <c r="X312" i="3"/>
  <c r="W312" i="3"/>
  <c r="V312" i="3"/>
  <c r="U312" i="3"/>
  <c r="T312" i="3"/>
  <c r="S312" i="3"/>
  <c r="R312" i="3"/>
  <c r="Q312" i="3"/>
  <c r="P312" i="3"/>
  <c r="Y311" i="3"/>
  <c r="X311" i="3"/>
  <c r="W311" i="3"/>
  <c r="V311" i="3"/>
  <c r="U311" i="3"/>
  <c r="T311" i="3"/>
  <c r="S311" i="3"/>
  <c r="R311" i="3"/>
  <c r="Q311" i="3"/>
  <c r="P311" i="3"/>
  <c r="Y310" i="3"/>
  <c r="X310" i="3"/>
  <c r="W310" i="3"/>
  <c r="V310" i="3"/>
  <c r="U310" i="3"/>
  <c r="T310" i="3"/>
  <c r="S310" i="3"/>
  <c r="R310" i="3"/>
  <c r="Q310" i="3"/>
  <c r="P310" i="3"/>
  <c r="Y309" i="3"/>
  <c r="X309" i="3"/>
  <c r="W309" i="3"/>
  <c r="V309" i="3"/>
  <c r="U309" i="3"/>
  <c r="T309" i="3"/>
  <c r="S309" i="3"/>
  <c r="R309" i="3"/>
  <c r="Q309" i="3"/>
  <c r="P309" i="3"/>
  <c r="Y308" i="3"/>
  <c r="X308" i="3"/>
  <c r="W308" i="3"/>
  <c r="V308" i="3"/>
  <c r="U308" i="3"/>
  <c r="T308" i="3"/>
  <c r="S308" i="3"/>
  <c r="R308" i="3"/>
  <c r="Q308" i="3"/>
  <c r="P308" i="3"/>
  <c r="Y307" i="3"/>
  <c r="X307" i="3"/>
  <c r="W307" i="3"/>
  <c r="V307" i="3"/>
  <c r="U307" i="3"/>
  <c r="T307" i="3"/>
  <c r="S307" i="3"/>
  <c r="R307" i="3"/>
  <c r="Q307" i="3"/>
  <c r="P307" i="3"/>
  <c r="Y306" i="3"/>
  <c r="X306" i="3"/>
  <c r="W306" i="3"/>
  <c r="V306" i="3"/>
  <c r="U306" i="3"/>
  <c r="T306" i="3"/>
  <c r="S306" i="3"/>
  <c r="R306" i="3"/>
  <c r="Q306" i="3"/>
  <c r="P306" i="3"/>
  <c r="Y305" i="3"/>
  <c r="X305" i="3"/>
  <c r="W305" i="3"/>
  <c r="V305" i="3"/>
  <c r="U305" i="3"/>
  <c r="T305" i="3"/>
  <c r="S305" i="3"/>
  <c r="R305" i="3"/>
  <c r="Q305" i="3"/>
  <c r="P305" i="3"/>
  <c r="Y304" i="3"/>
  <c r="X304" i="3"/>
  <c r="W304" i="3"/>
  <c r="V304" i="3"/>
  <c r="U304" i="3"/>
  <c r="T304" i="3"/>
  <c r="S304" i="3"/>
  <c r="R304" i="3"/>
  <c r="Q304" i="3"/>
  <c r="P304" i="3"/>
  <c r="Y303" i="3"/>
  <c r="X303" i="3"/>
  <c r="W303" i="3"/>
  <c r="V303" i="3"/>
  <c r="U303" i="3"/>
  <c r="T303" i="3"/>
  <c r="S303" i="3"/>
  <c r="R303" i="3"/>
  <c r="Q303" i="3"/>
  <c r="P303" i="3"/>
  <c r="Y302" i="3"/>
  <c r="X302" i="3"/>
  <c r="W302" i="3"/>
  <c r="V302" i="3"/>
  <c r="U302" i="3"/>
  <c r="T302" i="3"/>
  <c r="S302" i="3"/>
  <c r="R302" i="3"/>
  <c r="Q302" i="3"/>
  <c r="P302" i="3"/>
  <c r="Y301" i="3"/>
  <c r="X301" i="3"/>
  <c r="W301" i="3"/>
  <c r="V301" i="3"/>
  <c r="U301" i="3"/>
  <c r="T301" i="3"/>
  <c r="S301" i="3"/>
  <c r="R301" i="3"/>
  <c r="Q301" i="3"/>
  <c r="P301" i="3"/>
  <c r="Y300" i="3"/>
  <c r="X300" i="3"/>
  <c r="W300" i="3"/>
  <c r="V300" i="3"/>
  <c r="U300" i="3"/>
  <c r="T300" i="3"/>
  <c r="S300" i="3"/>
  <c r="R300" i="3"/>
  <c r="Q300" i="3"/>
  <c r="P300" i="3"/>
  <c r="Y299" i="3"/>
  <c r="X299" i="3"/>
  <c r="W299" i="3"/>
  <c r="V299" i="3"/>
  <c r="U299" i="3"/>
  <c r="T299" i="3"/>
  <c r="S299" i="3"/>
  <c r="R299" i="3"/>
  <c r="Q299" i="3"/>
  <c r="P299" i="3"/>
  <c r="Y298" i="3"/>
  <c r="X298" i="3"/>
  <c r="W298" i="3"/>
  <c r="V298" i="3"/>
  <c r="U298" i="3"/>
  <c r="T298" i="3"/>
  <c r="S298" i="3"/>
  <c r="R298" i="3"/>
  <c r="Q298" i="3"/>
  <c r="P298" i="3"/>
  <c r="Y297" i="3"/>
  <c r="X297" i="3"/>
  <c r="W297" i="3"/>
  <c r="V297" i="3"/>
  <c r="U297" i="3"/>
  <c r="T297" i="3"/>
  <c r="S297" i="3"/>
  <c r="R297" i="3"/>
  <c r="Q297" i="3"/>
  <c r="P297" i="3"/>
  <c r="Y296" i="3"/>
  <c r="X296" i="3"/>
  <c r="W296" i="3"/>
  <c r="V296" i="3"/>
  <c r="U296" i="3"/>
  <c r="T296" i="3"/>
  <c r="S296" i="3"/>
  <c r="R296" i="3"/>
  <c r="Q296" i="3"/>
  <c r="P296" i="3"/>
  <c r="Y295" i="3"/>
  <c r="X295" i="3"/>
  <c r="W295" i="3"/>
  <c r="V295" i="3"/>
  <c r="U295" i="3"/>
  <c r="T295" i="3"/>
  <c r="S295" i="3"/>
  <c r="R295" i="3"/>
  <c r="Q295" i="3"/>
  <c r="P295" i="3"/>
  <c r="Y294" i="3"/>
  <c r="X294" i="3"/>
  <c r="W294" i="3"/>
  <c r="V294" i="3"/>
  <c r="U294" i="3"/>
  <c r="T294" i="3"/>
  <c r="S294" i="3"/>
  <c r="R294" i="3"/>
  <c r="Q294" i="3"/>
  <c r="P294" i="3"/>
  <c r="Y293" i="3"/>
  <c r="X293" i="3"/>
  <c r="W293" i="3"/>
  <c r="V293" i="3"/>
  <c r="U293" i="3"/>
  <c r="T293" i="3"/>
  <c r="S293" i="3"/>
  <c r="R293" i="3"/>
  <c r="Q293" i="3"/>
  <c r="P293" i="3"/>
  <c r="Y292" i="3"/>
  <c r="X292" i="3"/>
  <c r="W292" i="3"/>
  <c r="V292" i="3"/>
  <c r="U292" i="3"/>
  <c r="T292" i="3"/>
  <c r="S292" i="3"/>
  <c r="R292" i="3"/>
  <c r="Q292" i="3"/>
  <c r="P292" i="3"/>
  <c r="Y291" i="3"/>
  <c r="X291" i="3"/>
  <c r="W291" i="3"/>
  <c r="V291" i="3"/>
  <c r="U291" i="3"/>
  <c r="T291" i="3"/>
  <c r="S291" i="3"/>
  <c r="R291" i="3"/>
  <c r="Q291" i="3"/>
  <c r="P291" i="3"/>
  <c r="Y290" i="3"/>
  <c r="X290" i="3"/>
  <c r="W290" i="3"/>
  <c r="V290" i="3"/>
  <c r="U290" i="3"/>
  <c r="T290" i="3"/>
  <c r="S290" i="3"/>
  <c r="R290" i="3"/>
  <c r="Q290" i="3"/>
  <c r="P290" i="3"/>
  <c r="Y289" i="3"/>
  <c r="X289" i="3"/>
  <c r="W289" i="3"/>
  <c r="V289" i="3"/>
  <c r="U289" i="3"/>
  <c r="T289" i="3"/>
  <c r="S289" i="3"/>
  <c r="R289" i="3"/>
  <c r="Q289" i="3"/>
  <c r="P289" i="3"/>
  <c r="Y288" i="3"/>
  <c r="X288" i="3"/>
  <c r="W288" i="3"/>
  <c r="V288" i="3"/>
  <c r="U288" i="3"/>
  <c r="T288" i="3"/>
  <c r="S288" i="3"/>
  <c r="R288" i="3"/>
  <c r="Q288" i="3"/>
  <c r="P288" i="3"/>
  <c r="Y287" i="3"/>
  <c r="X287" i="3"/>
  <c r="W287" i="3"/>
  <c r="V287" i="3"/>
  <c r="U287" i="3"/>
  <c r="T287" i="3"/>
  <c r="S287" i="3"/>
  <c r="R287" i="3"/>
  <c r="Q287" i="3"/>
  <c r="P287" i="3"/>
  <c r="Y286" i="3"/>
  <c r="X286" i="3"/>
  <c r="W286" i="3"/>
  <c r="V286" i="3"/>
  <c r="U286" i="3"/>
  <c r="T286" i="3"/>
  <c r="S286" i="3"/>
  <c r="R286" i="3"/>
  <c r="Q286" i="3"/>
  <c r="P286" i="3"/>
  <c r="Y285" i="3"/>
  <c r="X285" i="3"/>
  <c r="W285" i="3"/>
  <c r="V285" i="3"/>
  <c r="U285" i="3"/>
  <c r="T285" i="3"/>
  <c r="S285" i="3"/>
  <c r="R285" i="3"/>
  <c r="Q285" i="3"/>
  <c r="P285" i="3"/>
  <c r="Y284" i="3"/>
  <c r="X284" i="3"/>
  <c r="W284" i="3"/>
  <c r="V284" i="3"/>
  <c r="U284" i="3"/>
  <c r="T284" i="3"/>
  <c r="S284" i="3"/>
  <c r="R284" i="3"/>
  <c r="Q284" i="3"/>
  <c r="P284" i="3"/>
  <c r="Y283" i="3"/>
  <c r="X283" i="3"/>
  <c r="W283" i="3"/>
  <c r="V283" i="3"/>
  <c r="U283" i="3"/>
  <c r="T283" i="3"/>
  <c r="S283" i="3"/>
  <c r="R283" i="3"/>
  <c r="Q283" i="3"/>
  <c r="P283" i="3"/>
  <c r="Y282" i="3"/>
  <c r="X282" i="3"/>
  <c r="W282" i="3"/>
  <c r="V282" i="3"/>
  <c r="U282" i="3"/>
  <c r="T282" i="3"/>
  <c r="S282" i="3"/>
  <c r="R282" i="3"/>
  <c r="Q282" i="3"/>
  <c r="P282" i="3"/>
  <c r="Y281" i="3"/>
  <c r="X281" i="3"/>
  <c r="W281" i="3"/>
  <c r="V281" i="3"/>
  <c r="U281" i="3"/>
  <c r="T281" i="3"/>
  <c r="S281" i="3"/>
  <c r="R281" i="3"/>
  <c r="Q281" i="3"/>
  <c r="P281" i="3"/>
  <c r="Y280" i="3"/>
  <c r="X280" i="3"/>
  <c r="W280" i="3"/>
  <c r="V280" i="3"/>
  <c r="U280" i="3"/>
  <c r="T280" i="3"/>
  <c r="S280" i="3"/>
  <c r="R280" i="3"/>
  <c r="Q280" i="3"/>
  <c r="P280" i="3"/>
  <c r="Y279" i="3"/>
  <c r="X279" i="3"/>
  <c r="W279" i="3"/>
  <c r="V279" i="3"/>
  <c r="U279" i="3"/>
  <c r="T279" i="3"/>
  <c r="S279" i="3"/>
  <c r="R279" i="3"/>
  <c r="Q279" i="3"/>
  <c r="P279" i="3"/>
  <c r="Y278" i="3"/>
  <c r="X278" i="3"/>
  <c r="W278" i="3"/>
  <c r="V278" i="3"/>
  <c r="U278" i="3"/>
  <c r="T278" i="3"/>
  <c r="S278" i="3"/>
  <c r="R278" i="3"/>
  <c r="Q278" i="3"/>
  <c r="P278" i="3"/>
  <c r="Y277" i="3"/>
  <c r="X277" i="3"/>
  <c r="W277" i="3"/>
  <c r="V277" i="3"/>
  <c r="U277" i="3"/>
  <c r="T277" i="3"/>
  <c r="S277" i="3"/>
  <c r="R277" i="3"/>
  <c r="Q277" i="3"/>
  <c r="P277" i="3"/>
  <c r="Y276" i="3"/>
  <c r="X276" i="3"/>
  <c r="W276" i="3"/>
  <c r="V276" i="3"/>
  <c r="U276" i="3"/>
  <c r="T276" i="3"/>
  <c r="S276" i="3"/>
  <c r="R276" i="3"/>
  <c r="Q276" i="3"/>
  <c r="P276" i="3"/>
  <c r="Y275" i="3"/>
  <c r="X275" i="3"/>
  <c r="W275" i="3"/>
  <c r="V275" i="3"/>
  <c r="U275" i="3"/>
  <c r="T275" i="3"/>
  <c r="S275" i="3"/>
  <c r="R275" i="3"/>
  <c r="Q275" i="3"/>
  <c r="P275" i="3"/>
  <c r="Y274" i="3"/>
  <c r="X274" i="3"/>
  <c r="W274" i="3"/>
  <c r="V274" i="3"/>
  <c r="U274" i="3"/>
  <c r="T274" i="3"/>
  <c r="S274" i="3"/>
  <c r="R274" i="3"/>
  <c r="Q274" i="3"/>
  <c r="P274" i="3"/>
  <c r="Y273" i="3"/>
  <c r="X273" i="3"/>
  <c r="W273" i="3"/>
  <c r="V273" i="3"/>
  <c r="U273" i="3"/>
  <c r="T273" i="3"/>
  <c r="S273" i="3"/>
  <c r="R273" i="3"/>
  <c r="Q273" i="3"/>
  <c r="P273" i="3"/>
  <c r="Y272" i="3"/>
  <c r="X272" i="3"/>
  <c r="W272" i="3"/>
  <c r="V272" i="3"/>
  <c r="U272" i="3"/>
  <c r="T272" i="3"/>
  <c r="S272" i="3"/>
  <c r="R272" i="3"/>
  <c r="Q272" i="3"/>
  <c r="P272" i="3"/>
  <c r="Y271" i="3"/>
  <c r="X271" i="3"/>
  <c r="W271" i="3"/>
  <c r="V271" i="3"/>
  <c r="U271" i="3"/>
  <c r="T271" i="3"/>
  <c r="S271" i="3"/>
  <c r="R271" i="3"/>
  <c r="Q271" i="3"/>
  <c r="P271" i="3"/>
  <c r="Y270" i="3"/>
  <c r="X270" i="3"/>
  <c r="W270" i="3"/>
  <c r="V270" i="3"/>
  <c r="U270" i="3"/>
  <c r="T270" i="3"/>
  <c r="S270" i="3"/>
  <c r="R270" i="3"/>
  <c r="Q270" i="3"/>
  <c r="P270" i="3"/>
  <c r="Y269" i="3"/>
  <c r="X269" i="3"/>
  <c r="W269" i="3"/>
  <c r="V269" i="3"/>
  <c r="U269" i="3"/>
  <c r="T269" i="3"/>
  <c r="S269" i="3"/>
  <c r="R269" i="3"/>
  <c r="Q269" i="3"/>
  <c r="P269" i="3"/>
  <c r="Y268" i="3"/>
  <c r="X268" i="3"/>
  <c r="W268" i="3"/>
  <c r="V268" i="3"/>
  <c r="U268" i="3"/>
  <c r="T268" i="3"/>
  <c r="S268" i="3"/>
  <c r="R268" i="3"/>
  <c r="Q268" i="3"/>
  <c r="P268" i="3"/>
  <c r="Y267" i="3"/>
  <c r="X267" i="3"/>
  <c r="W267" i="3"/>
  <c r="V267" i="3"/>
  <c r="U267" i="3"/>
  <c r="T267" i="3"/>
  <c r="S267" i="3"/>
  <c r="R267" i="3"/>
  <c r="Q267" i="3"/>
  <c r="P267" i="3"/>
  <c r="Y266" i="3"/>
  <c r="X266" i="3"/>
  <c r="W266" i="3"/>
  <c r="V266" i="3"/>
  <c r="U266" i="3"/>
  <c r="T266" i="3"/>
  <c r="S266" i="3"/>
  <c r="R266" i="3"/>
  <c r="Q266" i="3"/>
  <c r="P266" i="3"/>
  <c r="Y265" i="3"/>
  <c r="X265" i="3"/>
  <c r="W265" i="3"/>
  <c r="V265" i="3"/>
  <c r="U265" i="3"/>
  <c r="T265" i="3"/>
  <c r="S265" i="3"/>
  <c r="R265" i="3"/>
  <c r="Q265" i="3"/>
  <c r="P265" i="3"/>
  <c r="Y264" i="3"/>
  <c r="X264" i="3"/>
  <c r="W264" i="3"/>
  <c r="V264" i="3"/>
  <c r="U264" i="3"/>
  <c r="T264" i="3"/>
  <c r="S264" i="3"/>
  <c r="R264" i="3"/>
  <c r="Q264" i="3"/>
  <c r="P264" i="3"/>
  <c r="Y263" i="3"/>
  <c r="X263" i="3"/>
  <c r="W263" i="3"/>
  <c r="V263" i="3"/>
  <c r="U263" i="3"/>
  <c r="T263" i="3"/>
  <c r="S263" i="3"/>
  <c r="R263" i="3"/>
  <c r="Q263" i="3"/>
  <c r="P263" i="3"/>
  <c r="Y262" i="3"/>
  <c r="X262" i="3"/>
  <c r="W262" i="3"/>
  <c r="V262" i="3"/>
  <c r="U262" i="3"/>
  <c r="T262" i="3"/>
  <c r="S262" i="3"/>
  <c r="R262" i="3"/>
  <c r="Q262" i="3"/>
  <c r="P262" i="3"/>
  <c r="Y261" i="3"/>
  <c r="X261" i="3"/>
  <c r="W261" i="3"/>
  <c r="V261" i="3"/>
  <c r="U261" i="3"/>
  <c r="T261" i="3"/>
  <c r="S261" i="3"/>
  <c r="R261" i="3"/>
  <c r="Q261" i="3"/>
  <c r="P261" i="3"/>
  <c r="Y260" i="3"/>
  <c r="X260" i="3"/>
  <c r="W260" i="3"/>
  <c r="V260" i="3"/>
  <c r="U260" i="3"/>
  <c r="T260" i="3"/>
  <c r="S260" i="3"/>
  <c r="R260" i="3"/>
  <c r="Q260" i="3"/>
  <c r="P260" i="3"/>
  <c r="Y259" i="3"/>
  <c r="X259" i="3"/>
  <c r="W259" i="3"/>
  <c r="V259" i="3"/>
  <c r="U259" i="3"/>
  <c r="T259" i="3"/>
  <c r="S259" i="3"/>
  <c r="R259" i="3"/>
  <c r="Q259" i="3"/>
  <c r="P259" i="3"/>
  <c r="Y258" i="3"/>
  <c r="X258" i="3"/>
  <c r="W258" i="3"/>
  <c r="V258" i="3"/>
  <c r="U258" i="3"/>
  <c r="T258" i="3"/>
  <c r="S258" i="3"/>
  <c r="R258" i="3"/>
  <c r="Q258" i="3"/>
  <c r="P258" i="3"/>
  <c r="Y257" i="3"/>
  <c r="X257" i="3"/>
  <c r="W257" i="3"/>
  <c r="V257" i="3"/>
  <c r="U257" i="3"/>
  <c r="T257" i="3"/>
  <c r="S257" i="3"/>
  <c r="R257" i="3"/>
  <c r="Q257" i="3"/>
  <c r="P257" i="3"/>
  <c r="Y256" i="3"/>
  <c r="X256" i="3"/>
  <c r="W256" i="3"/>
  <c r="V256" i="3"/>
  <c r="U256" i="3"/>
  <c r="T256" i="3"/>
  <c r="S256" i="3"/>
  <c r="R256" i="3"/>
  <c r="Q256" i="3"/>
  <c r="P256" i="3"/>
  <c r="Y255" i="3"/>
  <c r="X255" i="3"/>
  <c r="W255" i="3"/>
  <c r="V255" i="3"/>
  <c r="U255" i="3"/>
  <c r="T255" i="3"/>
  <c r="S255" i="3"/>
  <c r="R255" i="3"/>
  <c r="Q255" i="3"/>
  <c r="P255" i="3"/>
  <c r="Y254" i="3"/>
  <c r="X254" i="3"/>
  <c r="W254" i="3"/>
  <c r="V254" i="3"/>
  <c r="U254" i="3"/>
  <c r="T254" i="3"/>
  <c r="S254" i="3"/>
  <c r="R254" i="3"/>
  <c r="Q254" i="3"/>
  <c r="P254" i="3"/>
  <c r="Y253" i="3"/>
  <c r="X253" i="3"/>
  <c r="W253" i="3"/>
  <c r="V253" i="3"/>
  <c r="U253" i="3"/>
  <c r="T253" i="3"/>
  <c r="S253" i="3"/>
  <c r="R253" i="3"/>
  <c r="Q253" i="3"/>
  <c r="P253" i="3"/>
  <c r="Y252" i="3"/>
  <c r="X252" i="3"/>
  <c r="W252" i="3"/>
  <c r="V252" i="3"/>
  <c r="U252" i="3"/>
  <c r="T252" i="3"/>
  <c r="S252" i="3"/>
  <c r="R252" i="3"/>
  <c r="Q252" i="3"/>
  <c r="P252" i="3"/>
  <c r="Y251" i="3"/>
  <c r="X251" i="3"/>
  <c r="W251" i="3"/>
  <c r="V251" i="3"/>
  <c r="U251" i="3"/>
  <c r="T251" i="3"/>
  <c r="S251" i="3"/>
  <c r="R251" i="3"/>
  <c r="Q251" i="3"/>
  <c r="P251" i="3"/>
  <c r="Y250" i="3"/>
  <c r="X250" i="3"/>
  <c r="W250" i="3"/>
  <c r="V250" i="3"/>
  <c r="U250" i="3"/>
  <c r="T250" i="3"/>
  <c r="S250" i="3"/>
  <c r="R250" i="3"/>
  <c r="Q250" i="3"/>
  <c r="P250" i="3"/>
  <c r="Y249" i="3"/>
  <c r="X249" i="3"/>
  <c r="W249" i="3"/>
  <c r="V249" i="3"/>
  <c r="U249" i="3"/>
  <c r="T249" i="3"/>
  <c r="S249" i="3"/>
  <c r="R249" i="3"/>
  <c r="Q249" i="3"/>
  <c r="P249" i="3"/>
  <c r="Y248" i="3"/>
  <c r="X248" i="3"/>
  <c r="W248" i="3"/>
  <c r="V248" i="3"/>
  <c r="U248" i="3"/>
  <c r="T248" i="3"/>
  <c r="S248" i="3"/>
  <c r="R248" i="3"/>
  <c r="Q248" i="3"/>
  <c r="P248" i="3"/>
  <c r="Y247" i="3"/>
  <c r="X247" i="3"/>
  <c r="W247" i="3"/>
  <c r="V247" i="3"/>
  <c r="U247" i="3"/>
  <c r="T247" i="3"/>
  <c r="S247" i="3"/>
  <c r="R247" i="3"/>
  <c r="Q247" i="3"/>
  <c r="P247" i="3"/>
  <c r="Y246" i="3"/>
  <c r="X246" i="3"/>
  <c r="W246" i="3"/>
  <c r="V246" i="3"/>
  <c r="U246" i="3"/>
  <c r="T246" i="3"/>
  <c r="S246" i="3"/>
  <c r="R246" i="3"/>
  <c r="Q246" i="3"/>
  <c r="P246" i="3"/>
  <c r="Y245" i="3"/>
  <c r="X245" i="3"/>
  <c r="W245" i="3"/>
  <c r="V245" i="3"/>
  <c r="U245" i="3"/>
  <c r="T245" i="3"/>
  <c r="S245" i="3"/>
  <c r="R245" i="3"/>
  <c r="Q245" i="3"/>
  <c r="P245" i="3"/>
  <c r="Y244" i="3"/>
  <c r="X244" i="3"/>
  <c r="W244" i="3"/>
  <c r="V244" i="3"/>
  <c r="U244" i="3"/>
  <c r="T244" i="3"/>
  <c r="S244" i="3"/>
  <c r="R244" i="3"/>
  <c r="Q244" i="3"/>
  <c r="P244" i="3"/>
  <c r="Y243" i="3"/>
  <c r="X243" i="3"/>
  <c r="W243" i="3"/>
  <c r="V243" i="3"/>
  <c r="U243" i="3"/>
  <c r="T243" i="3"/>
  <c r="S243" i="3"/>
  <c r="R243" i="3"/>
  <c r="Q243" i="3"/>
  <c r="P243" i="3"/>
  <c r="Y242" i="3"/>
  <c r="X242" i="3"/>
  <c r="W242" i="3"/>
  <c r="V242" i="3"/>
  <c r="U242" i="3"/>
  <c r="T242" i="3"/>
  <c r="S242" i="3"/>
  <c r="R242" i="3"/>
  <c r="Q242" i="3"/>
  <c r="P242" i="3"/>
  <c r="Y241" i="3"/>
  <c r="X241" i="3"/>
  <c r="W241" i="3"/>
  <c r="V241" i="3"/>
  <c r="U241" i="3"/>
  <c r="T241" i="3"/>
  <c r="S241" i="3"/>
  <c r="R241" i="3"/>
  <c r="Q241" i="3"/>
  <c r="P241" i="3"/>
  <c r="Y240" i="3"/>
  <c r="X240" i="3"/>
  <c r="W240" i="3"/>
  <c r="V240" i="3"/>
  <c r="U240" i="3"/>
  <c r="T240" i="3"/>
  <c r="S240" i="3"/>
  <c r="R240" i="3"/>
  <c r="Q240" i="3"/>
  <c r="P240" i="3"/>
  <c r="Y239" i="3"/>
  <c r="X239" i="3"/>
  <c r="W239" i="3"/>
  <c r="V239" i="3"/>
  <c r="U239" i="3"/>
  <c r="T239" i="3"/>
  <c r="S239" i="3"/>
  <c r="R239" i="3"/>
  <c r="Q239" i="3"/>
  <c r="P239" i="3"/>
  <c r="Y238" i="3"/>
  <c r="X238" i="3"/>
  <c r="W238" i="3"/>
  <c r="V238" i="3"/>
  <c r="U238" i="3"/>
  <c r="T238" i="3"/>
  <c r="S238" i="3"/>
  <c r="R238" i="3"/>
  <c r="Q238" i="3"/>
  <c r="P238" i="3"/>
  <c r="Y237" i="3"/>
  <c r="X237" i="3"/>
  <c r="W237" i="3"/>
  <c r="V237" i="3"/>
  <c r="U237" i="3"/>
  <c r="T237" i="3"/>
  <c r="S237" i="3"/>
  <c r="R237" i="3"/>
  <c r="Q237" i="3"/>
  <c r="P237" i="3"/>
  <c r="Y236" i="3"/>
  <c r="X236" i="3"/>
  <c r="W236" i="3"/>
  <c r="V236" i="3"/>
  <c r="U236" i="3"/>
  <c r="T236" i="3"/>
  <c r="S236" i="3"/>
  <c r="R236" i="3"/>
  <c r="Q236" i="3"/>
  <c r="P236" i="3"/>
  <c r="Y235" i="3"/>
  <c r="X235" i="3"/>
  <c r="W235" i="3"/>
  <c r="V235" i="3"/>
  <c r="U235" i="3"/>
  <c r="T235" i="3"/>
  <c r="S235" i="3"/>
  <c r="R235" i="3"/>
  <c r="Q235" i="3"/>
  <c r="P235" i="3"/>
  <c r="Y234" i="3"/>
  <c r="X234" i="3"/>
  <c r="W234" i="3"/>
  <c r="V234" i="3"/>
  <c r="U234" i="3"/>
  <c r="T234" i="3"/>
  <c r="S234" i="3"/>
  <c r="R234" i="3"/>
  <c r="Q234" i="3"/>
  <c r="P234" i="3"/>
  <c r="Y233" i="3"/>
  <c r="X233" i="3"/>
  <c r="W233" i="3"/>
  <c r="V233" i="3"/>
  <c r="U233" i="3"/>
  <c r="T233" i="3"/>
  <c r="S233" i="3"/>
  <c r="R233" i="3"/>
  <c r="Q233" i="3"/>
  <c r="P233" i="3"/>
  <c r="Y232" i="3"/>
  <c r="X232" i="3"/>
  <c r="W232" i="3"/>
  <c r="V232" i="3"/>
  <c r="U232" i="3"/>
  <c r="T232" i="3"/>
  <c r="S232" i="3"/>
  <c r="R232" i="3"/>
  <c r="Q232" i="3"/>
  <c r="P232" i="3"/>
  <c r="Y231" i="3"/>
  <c r="X231" i="3"/>
  <c r="W231" i="3"/>
  <c r="V231" i="3"/>
  <c r="U231" i="3"/>
  <c r="T231" i="3"/>
  <c r="S231" i="3"/>
  <c r="R231" i="3"/>
  <c r="Q231" i="3"/>
  <c r="P231" i="3"/>
  <c r="Y230" i="3"/>
  <c r="X230" i="3"/>
  <c r="W230" i="3"/>
  <c r="V230" i="3"/>
  <c r="U230" i="3"/>
  <c r="T230" i="3"/>
  <c r="S230" i="3"/>
  <c r="R230" i="3"/>
  <c r="Q230" i="3"/>
  <c r="P230" i="3"/>
  <c r="Y229" i="3"/>
  <c r="X229" i="3"/>
  <c r="W229" i="3"/>
  <c r="V229" i="3"/>
  <c r="U229" i="3"/>
  <c r="T229" i="3"/>
  <c r="S229" i="3"/>
  <c r="R229" i="3"/>
  <c r="Q229" i="3"/>
  <c r="P229" i="3"/>
  <c r="Y228" i="3"/>
  <c r="X228" i="3"/>
  <c r="W228" i="3"/>
  <c r="V228" i="3"/>
  <c r="U228" i="3"/>
  <c r="T228" i="3"/>
  <c r="S228" i="3"/>
  <c r="R228" i="3"/>
  <c r="Q228" i="3"/>
  <c r="P228" i="3"/>
  <c r="Y227" i="3"/>
  <c r="X227" i="3"/>
  <c r="W227" i="3"/>
  <c r="V227" i="3"/>
  <c r="U227" i="3"/>
  <c r="T227" i="3"/>
  <c r="S227" i="3"/>
  <c r="R227" i="3"/>
  <c r="Q227" i="3"/>
  <c r="P227" i="3"/>
  <c r="Y226" i="3"/>
  <c r="X226" i="3"/>
  <c r="W226" i="3"/>
  <c r="V226" i="3"/>
  <c r="U226" i="3"/>
  <c r="T226" i="3"/>
  <c r="S226" i="3"/>
  <c r="R226" i="3"/>
  <c r="Q226" i="3"/>
  <c r="P226" i="3"/>
  <c r="Y225" i="3"/>
  <c r="X225" i="3"/>
  <c r="W225" i="3"/>
  <c r="V225" i="3"/>
  <c r="U225" i="3"/>
  <c r="T225" i="3"/>
  <c r="S225" i="3"/>
  <c r="R225" i="3"/>
  <c r="Q225" i="3"/>
  <c r="P225" i="3"/>
  <c r="Y224" i="3"/>
  <c r="X224" i="3"/>
  <c r="W224" i="3"/>
  <c r="V224" i="3"/>
  <c r="U224" i="3"/>
  <c r="T224" i="3"/>
  <c r="S224" i="3"/>
  <c r="R224" i="3"/>
  <c r="Q224" i="3"/>
  <c r="P224" i="3"/>
  <c r="Y223" i="3"/>
  <c r="X223" i="3"/>
  <c r="W223" i="3"/>
  <c r="V223" i="3"/>
  <c r="U223" i="3"/>
  <c r="T223" i="3"/>
  <c r="S223" i="3"/>
  <c r="R223" i="3"/>
  <c r="Q223" i="3"/>
  <c r="P223" i="3"/>
  <c r="Y222" i="3"/>
  <c r="X222" i="3"/>
  <c r="W222" i="3"/>
  <c r="V222" i="3"/>
  <c r="U222" i="3"/>
  <c r="T222" i="3"/>
  <c r="S222" i="3"/>
  <c r="R222" i="3"/>
  <c r="Q222" i="3"/>
  <c r="P222" i="3"/>
  <c r="Y221" i="3"/>
  <c r="X221" i="3"/>
  <c r="W221" i="3"/>
  <c r="V221" i="3"/>
  <c r="U221" i="3"/>
  <c r="T221" i="3"/>
  <c r="S221" i="3"/>
  <c r="R221" i="3"/>
  <c r="Q221" i="3"/>
  <c r="P221" i="3"/>
  <c r="Y220" i="3"/>
  <c r="X220" i="3"/>
  <c r="W220" i="3"/>
  <c r="V220" i="3"/>
  <c r="U220" i="3"/>
  <c r="T220" i="3"/>
  <c r="S220" i="3"/>
  <c r="R220" i="3"/>
  <c r="Q220" i="3"/>
  <c r="P220" i="3"/>
  <c r="Y219" i="3"/>
  <c r="X219" i="3"/>
  <c r="W219" i="3"/>
  <c r="V219" i="3"/>
  <c r="U219" i="3"/>
  <c r="T219" i="3"/>
  <c r="S219" i="3"/>
  <c r="R219" i="3"/>
  <c r="Q219" i="3"/>
  <c r="P219" i="3"/>
  <c r="Y218" i="3"/>
  <c r="X218" i="3"/>
  <c r="W218" i="3"/>
  <c r="V218" i="3"/>
  <c r="U218" i="3"/>
  <c r="T218" i="3"/>
  <c r="S218" i="3"/>
  <c r="R218" i="3"/>
  <c r="Q218" i="3"/>
  <c r="P218" i="3"/>
  <c r="Y217" i="3"/>
  <c r="X217" i="3"/>
  <c r="W217" i="3"/>
  <c r="V217" i="3"/>
  <c r="U217" i="3"/>
  <c r="T217" i="3"/>
  <c r="S217" i="3"/>
  <c r="R217" i="3"/>
  <c r="Q217" i="3"/>
  <c r="P217" i="3"/>
  <c r="Y216" i="3"/>
  <c r="X216" i="3"/>
  <c r="W216" i="3"/>
  <c r="V216" i="3"/>
  <c r="U216" i="3"/>
  <c r="T216" i="3"/>
  <c r="S216" i="3"/>
  <c r="R216" i="3"/>
  <c r="Q216" i="3"/>
  <c r="P216" i="3"/>
  <c r="Y215" i="3"/>
  <c r="X215" i="3"/>
  <c r="W215" i="3"/>
  <c r="V215" i="3"/>
  <c r="U215" i="3"/>
  <c r="T215" i="3"/>
  <c r="S215" i="3"/>
  <c r="R215" i="3"/>
  <c r="Q215" i="3"/>
  <c r="P215" i="3"/>
  <c r="Y214" i="3"/>
  <c r="X214" i="3"/>
  <c r="W214" i="3"/>
  <c r="V214" i="3"/>
  <c r="U214" i="3"/>
  <c r="T214" i="3"/>
  <c r="S214" i="3"/>
  <c r="R214" i="3"/>
  <c r="Q214" i="3"/>
  <c r="P214" i="3"/>
  <c r="Y213" i="3"/>
  <c r="X213" i="3"/>
  <c r="W213" i="3"/>
  <c r="V213" i="3"/>
  <c r="U213" i="3"/>
  <c r="T213" i="3"/>
  <c r="S213" i="3"/>
  <c r="R213" i="3"/>
  <c r="Q213" i="3"/>
  <c r="P213" i="3"/>
  <c r="Y212" i="3"/>
  <c r="X212" i="3"/>
  <c r="W212" i="3"/>
  <c r="V212" i="3"/>
  <c r="U212" i="3"/>
  <c r="T212" i="3"/>
  <c r="S212" i="3"/>
  <c r="R212" i="3"/>
  <c r="Q212" i="3"/>
  <c r="P212" i="3"/>
  <c r="Y211" i="3"/>
  <c r="X211" i="3"/>
  <c r="W211" i="3"/>
  <c r="V211" i="3"/>
  <c r="U211" i="3"/>
  <c r="T211" i="3"/>
  <c r="S211" i="3"/>
  <c r="R211" i="3"/>
  <c r="Q211" i="3"/>
  <c r="P211" i="3"/>
  <c r="Y210" i="3"/>
  <c r="X210" i="3"/>
  <c r="W210" i="3"/>
  <c r="V210" i="3"/>
  <c r="U210" i="3"/>
  <c r="T210" i="3"/>
  <c r="S210" i="3"/>
  <c r="R210" i="3"/>
  <c r="Q210" i="3"/>
  <c r="P210" i="3"/>
  <c r="Y209" i="3"/>
  <c r="X209" i="3"/>
  <c r="W209" i="3"/>
  <c r="V209" i="3"/>
  <c r="U209" i="3"/>
  <c r="T209" i="3"/>
  <c r="S209" i="3"/>
  <c r="R209" i="3"/>
  <c r="Q209" i="3"/>
  <c r="P209" i="3"/>
  <c r="Y208" i="3"/>
  <c r="X208" i="3"/>
  <c r="W208" i="3"/>
  <c r="V208" i="3"/>
  <c r="U208" i="3"/>
  <c r="T208" i="3"/>
  <c r="S208" i="3"/>
  <c r="R208" i="3"/>
  <c r="Q208" i="3"/>
  <c r="P208" i="3"/>
  <c r="Y207" i="3"/>
  <c r="X207" i="3"/>
  <c r="W207" i="3"/>
  <c r="V207" i="3"/>
  <c r="U207" i="3"/>
  <c r="T207" i="3"/>
  <c r="S207" i="3"/>
  <c r="R207" i="3"/>
  <c r="Q207" i="3"/>
  <c r="P207" i="3"/>
  <c r="Y206" i="3"/>
  <c r="X206" i="3"/>
  <c r="W206" i="3"/>
  <c r="V206" i="3"/>
  <c r="U206" i="3"/>
  <c r="T206" i="3"/>
  <c r="S206" i="3"/>
  <c r="R206" i="3"/>
  <c r="Q206" i="3"/>
  <c r="P206" i="3"/>
  <c r="Y205" i="3"/>
  <c r="X205" i="3"/>
  <c r="W205" i="3"/>
  <c r="V205" i="3"/>
  <c r="U205" i="3"/>
  <c r="T205" i="3"/>
  <c r="S205" i="3"/>
  <c r="R205" i="3"/>
  <c r="Q205" i="3"/>
  <c r="P205" i="3"/>
  <c r="Y204" i="3"/>
  <c r="X204" i="3"/>
  <c r="W204" i="3"/>
  <c r="V204" i="3"/>
  <c r="U204" i="3"/>
  <c r="T204" i="3"/>
  <c r="S204" i="3"/>
  <c r="R204" i="3"/>
  <c r="Q204" i="3"/>
  <c r="P204" i="3"/>
  <c r="Y203" i="3"/>
  <c r="X203" i="3"/>
  <c r="W203" i="3"/>
  <c r="V203" i="3"/>
  <c r="U203" i="3"/>
  <c r="T203" i="3"/>
  <c r="S203" i="3"/>
  <c r="R203" i="3"/>
  <c r="Q203" i="3"/>
  <c r="P203" i="3"/>
  <c r="Y202" i="3"/>
  <c r="X202" i="3"/>
  <c r="W202" i="3"/>
  <c r="V202" i="3"/>
  <c r="U202" i="3"/>
  <c r="T202" i="3"/>
  <c r="S202" i="3"/>
  <c r="R202" i="3"/>
  <c r="Q202" i="3"/>
  <c r="P202" i="3"/>
  <c r="Y201" i="3"/>
  <c r="X201" i="3"/>
  <c r="W201" i="3"/>
  <c r="V201" i="3"/>
  <c r="U201" i="3"/>
  <c r="T201" i="3"/>
  <c r="S201" i="3"/>
  <c r="R201" i="3"/>
  <c r="Q201" i="3"/>
  <c r="P201" i="3"/>
  <c r="Y200" i="3"/>
  <c r="X200" i="3"/>
  <c r="W200" i="3"/>
  <c r="V200" i="3"/>
  <c r="U200" i="3"/>
  <c r="T200" i="3"/>
  <c r="S200" i="3"/>
  <c r="R200" i="3"/>
  <c r="Q200" i="3"/>
  <c r="P200" i="3"/>
  <c r="Y199" i="3"/>
  <c r="X199" i="3"/>
  <c r="W199" i="3"/>
  <c r="V199" i="3"/>
  <c r="U199" i="3"/>
  <c r="T199" i="3"/>
  <c r="S199" i="3"/>
  <c r="R199" i="3"/>
  <c r="Q199" i="3"/>
  <c r="P199" i="3"/>
  <c r="Y198" i="3"/>
  <c r="X198" i="3"/>
  <c r="W198" i="3"/>
  <c r="V198" i="3"/>
  <c r="U198" i="3"/>
  <c r="T198" i="3"/>
  <c r="S198" i="3"/>
  <c r="R198" i="3"/>
  <c r="Q198" i="3"/>
  <c r="P198" i="3"/>
  <c r="Y197" i="3"/>
  <c r="X197" i="3"/>
  <c r="W197" i="3"/>
  <c r="V197" i="3"/>
  <c r="U197" i="3"/>
  <c r="T197" i="3"/>
  <c r="S197" i="3"/>
  <c r="R197" i="3"/>
  <c r="Q197" i="3"/>
  <c r="P197" i="3"/>
  <c r="Y196" i="3"/>
  <c r="X196" i="3"/>
  <c r="W196" i="3"/>
  <c r="V196" i="3"/>
  <c r="U196" i="3"/>
  <c r="T196" i="3"/>
  <c r="S196" i="3"/>
  <c r="R196" i="3"/>
  <c r="Q196" i="3"/>
  <c r="P196" i="3"/>
  <c r="Y195" i="3"/>
  <c r="X195" i="3"/>
  <c r="W195" i="3"/>
  <c r="V195" i="3"/>
  <c r="U195" i="3"/>
  <c r="T195" i="3"/>
  <c r="S195" i="3"/>
  <c r="R195" i="3"/>
  <c r="Q195" i="3"/>
  <c r="P195" i="3"/>
  <c r="Y194" i="3"/>
  <c r="X194" i="3"/>
  <c r="W194" i="3"/>
  <c r="V194" i="3"/>
  <c r="U194" i="3"/>
  <c r="T194" i="3"/>
  <c r="S194" i="3"/>
  <c r="R194" i="3"/>
  <c r="Q194" i="3"/>
  <c r="P194" i="3"/>
  <c r="Y193" i="3"/>
  <c r="X193" i="3"/>
  <c r="W193" i="3"/>
  <c r="V193" i="3"/>
  <c r="U193" i="3"/>
  <c r="T193" i="3"/>
  <c r="S193" i="3"/>
  <c r="R193" i="3"/>
  <c r="Q193" i="3"/>
  <c r="P193" i="3"/>
  <c r="Y192" i="3"/>
  <c r="X192" i="3"/>
  <c r="W192" i="3"/>
  <c r="V192" i="3"/>
  <c r="U192" i="3"/>
  <c r="T192" i="3"/>
  <c r="S192" i="3"/>
  <c r="R192" i="3"/>
  <c r="Q192" i="3"/>
  <c r="P192" i="3"/>
  <c r="Y191" i="3"/>
  <c r="X191" i="3"/>
  <c r="W191" i="3"/>
  <c r="V191" i="3"/>
  <c r="U191" i="3"/>
  <c r="T191" i="3"/>
  <c r="S191" i="3"/>
  <c r="R191" i="3"/>
  <c r="Q191" i="3"/>
  <c r="P191" i="3"/>
  <c r="Y190" i="3"/>
  <c r="X190" i="3"/>
  <c r="W190" i="3"/>
  <c r="V190" i="3"/>
  <c r="U190" i="3"/>
  <c r="T190" i="3"/>
  <c r="S190" i="3"/>
  <c r="R190" i="3"/>
  <c r="Q190" i="3"/>
  <c r="P190" i="3"/>
  <c r="Y189" i="3"/>
  <c r="X189" i="3"/>
  <c r="W189" i="3"/>
  <c r="V189" i="3"/>
  <c r="U189" i="3"/>
  <c r="T189" i="3"/>
  <c r="S189" i="3"/>
  <c r="R189" i="3"/>
  <c r="Q189" i="3"/>
  <c r="P189" i="3"/>
  <c r="Y188" i="3"/>
  <c r="X188" i="3"/>
  <c r="W188" i="3"/>
  <c r="V188" i="3"/>
  <c r="U188" i="3"/>
  <c r="T188" i="3"/>
  <c r="S188" i="3"/>
  <c r="R188" i="3"/>
  <c r="Q188" i="3"/>
  <c r="P188" i="3"/>
  <c r="Y187" i="3"/>
  <c r="X187" i="3"/>
  <c r="W187" i="3"/>
  <c r="V187" i="3"/>
  <c r="U187" i="3"/>
  <c r="T187" i="3"/>
  <c r="S187" i="3"/>
  <c r="R187" i="3"/>
  <c r="Q187" i="3"/>
  <c r="P187" i="3"/>
  <c r="Y186" i="3"/>
  <c r="X186" i="3"/>
  <c r="W186" i="3"/>
  <c r="V186" i="3"/>
  <c r="U186" i="3"/>
  <c r="T186" i="3"/>
  <c r="S186" i="3"/>
  <c r="R186" i="3"/>
  <c r="Q186" i="3"/>
  <c r="P186" i="3"/>
  <c r="Y185" i="3"/>
  <c r="X185" i="3"/>
  <c r="W185" i="3"/>
  <c r="V185" i="3"/>
  <c r="U185" i="3"/>
  <c r="T185" i="3"/>
  <c r="S185" i="3"/>
  <c r="R185" i="3"/>
  <c r="Q185" i="3"/>
  <c r="P185" i="3"/>
  <c r="Y184" i="3"/>
  <c r="X184" i="3"/>
  <c r="W184" i="3"/>
  <c r="V184" i="3"/>
  <c r="U184" i="3"/>
  <c r="T184" i="3"/>
  <c r="S184" i="3"/>
  <c r="R184" i="3"/>
  <c r="Q184" i="3"/>
  <c r="P184" i="3"/>
  <c r="Y183" i="3"/>
  <c r="X183" i="3"/>
  <c r="W183" i="3"/>
  <c r="V183" i="3"/>
  <c r="U183" i="3"/>
  <c r="T183" i="3"/>
  <c r="S183" i="3"/>
  <c r="R183" i="3"/>
  <c r="Q183" i="3"/>
  <c r="P183" i="3"/>
  <c r="Y182" i="3"/>
  <c r="X182" i="3"/>
  <c r="W182" i="3"/>
  <c r="V182" i="3"/>
  <c r="U182" i="3"/>
  <c r="T182" i="3"/>
  <c r="S182" i="3"/>
  <c r="R182" i="3"/>
  <c r="Q182" i="3"/>
  <c r="P182" i="3"/>
  <c r="Y181" i="3"/>
  <c r="X181" i="3"/>
  <c r="W181" i="3"/>
  <c r="V181" i="3"/>
  <c r="U181" i="3"/>
  <c r="T181" i="3"/>
  <c r="S181" i="3"/>
  <c r="R181" i="3"/>
  <c r="Q181" i="3"/>
  <c r="P181" i="3"/>
  <c r="Y180" i="3"/>
  <c r="X180" i="3"/>
  <c r="W180" i="3"/>
  <c r="V180" i="3"/>
  <c r="U180" i="3"/>
  <c r="T180" i="3"/>
  <c r="S180" i="3"/>
  <c r="R180" i="3"/>
  <c r="Q180" i="3"/>
  <c r="P180" i="3"/>
  <c r="Y179" i="3"/>
  <c r="X179" i="3"/>
  <c r="W179" i="3"/>
  <c r="V179" i="3"/>
  <c r="U179" i="3"/>
  <c r="T179" i="3"/>
  <c r="S179" i="3"/>
  <c r="R179" i="3"/>
  <c r="Q179" i="3"/>
  <c r="P179" i="3"/>
  <c r="Y178" i="3"/>
  <c r="X178" i="3"/>
  <c r="W178" i="3"/>
  <c r="V178" i="3"/>
  <c r="U178" i="3"/>
  <c r="T178" i="3"/>
  <c r="S178" i="3"/>
  <c r="R178" i="3"/>
  <c r="Q178" i="3"/>
  <c r="P178" i="3"/>
  <c r="Y177" i="3"/>
  <c r="X177" i="3"/>
  <c r="W177" i="3"/>
  <c r="V177" i="3"/>
  <c r="U177" i="3"/>
  <c r="T177" i="3"/>
  <c r="S177" i="3"/>
  <c r="R177" i="3"/>
  <c r="Q177" i="3"/>
  <c r="P177" i="3"/>
  <c r="Y176" i="3"/>
  <c r="X176" i="3"/>
  <c r="W176" i="3"/>
  <c r="V176" i="3"/>
  <c r="U176" i="3"/>
  <c r="T176" i="3"/>
  <c r="S176" i="3"/>
  <c r="R176" i="3"/>
  <c r="Q176" i="3"/>
  <c r="P176" i="3"/>
  <c r="Y175" i="3"/>
  <c r="X175" i="3"/>
  <c r="W175" i="3"/>
  <c r="V175" i="3"/>
  <c r="U175" i="3"/>
  <c r="T175" i="3"/>
  <c r="S175" i="3"/>
  <c r="R175" i="3"/>
  <c r="Q175" i="3"/>
  <c r="P175" i="3"/>
  <c r="Y174" i="3"/>
  <c r="X174" i="3"/>
  <c r="W174" i="3"/>
  <c r="V174" i="3"/>
  <c r="U174" i="3"/>
  <c r="T174" i="3"/>
  <c r="S174" i="3"/>
  <c r="R174" i="3"/>
  <c r="Q174" i="3"/>
  <c r="P174" i="3"/>
  <c r="Y173" i="3"/>
  <c r="X173" i="3"/>
  <c r="W173" i="3"/>
  <c r="V173" i="3"/>
  <c r="U173" i="3"/>
  <c r="T173" i="3"/>
  <c r="S173" i="3"/>
  <c r="R173" i="3"/>
  <c r="Q173" i="3"/>
  <c r="P173" i="3"/>
  <c r="Y172" i="3"/>
  <c r="X172" i="3"/>
  <c r="W172" i="3"/>
  <c r="V172" i="3"/>
  <c r="U172" i="3"/>
  <c r="T172" i="3"/>
  <c r="S172" i="3"/>
  <c r="R172" i="3"/>
  <c r="Q172" i="3"/>
  <c r="P172" i="3"/>
  <c r="Y171" i="3"/>
  <c r="X171" i="3"/>
  <c r="W171" i="3"/>
  <c r="V171" i="3"/>
  <c r="U171" i="3"/>
  <c r="T171" i="3"/>
  <c r="S171" i="3"/>
  <c r="R171" i="3"/>
  <c r="Q171" i="3"/>
  <c r="P171" i="3"/>
  <c r="Y170" i="3"/>
  <c r="X170" i="3"/>
  <c r="W170" i="3"/>
  <c r="V170" i="3"/>
  <c r="U170" i="3"/>
  <c r="T170" i="3"/>
  <c r="S170" i="3"/>
  <c r="R170" i="3"/>
  <c r="Q170" i="3"/>
  <c r="P170" i="3"/>
  <c r="Y169" i="3"/>
  <c r="X169" i="3"/>
  <c r="W169" i="3"/>
  <c r="V169" i="3"/>
  <c r="U169" i="3"/>
  <c r="T169" i="3"/>
  <c r="S169" i="3"/>
  <c r="R169" i="3"/>
  <c r="Q169" i="3"/>
  <c r="P169" i="3"/>
  <c r="Y168" i="3"/>
  <c r="X168" i="3"/>
  <c r="W168" i="3"/>
  <c r="V168" i="3"/>
  <c r="U168" i="3"/>
  <c r="T168" i="3"/>
  <c r="S168" i="3"/>
  <c r="R168" i="3"/>
  <c r="Q168" i="3"/>
  <c r="P168" i="3"/>
  <c r="Y167" i="3"/>
  <c r="X167" i="3"/>
  <c r="W167" i="3"/>
  <c r="V167" i="3"/>
  <c r="U167" i="3"/>
  <c r="T167" i="3"/>
  <c r="S167" i="3"/>
  <c r="R167" i="3"/>
  <c r="Q167" i="3"/>
  <c r="P167" i="3"/>
  <c r="Y166" i="3"/>
  <c r="X166" i="3"/>
  <c r="W166" i="3"/>
  <c r="V166" i="3"/>
  <c r="U166" i="3"/>
  <c r="T166" i="3"/>
  <c r="S166" i="3"/>
  <c r="R166" i="3"/>
  <c r="Q166" i="3"/>
  <c r="P166" i="3"/>
  <c r="Y165" i="3"/>
  <c r="X165" i="3"/>
  <c r="W165" i="3"/>
  <c r="V165" i="3"/>
  <c r="U165" i="3"/>
  <c r="T165" i="3"/>
  <c r="S165" i="3"/>
  <c r="R165" i="3"/>
  <c r="Q165" i="3"/>
  <c r="P165" i="3"/>
  <c r="Y164" i="3"/>
  <c r="X164" i="3"/>
  <c r="W164" i="3"/>
  <c r="V164" i="3"/>
  <c r="U164" i="3"/>
  <c r="T164" i="3"/>
  <c r="S164" i="3"/>
  <c r="R164" i="3"/>
  <c r="Q164" i="3"/>
  <c r="P164" i="3"/>
  <c r="Y163" i="3"/>
  <c r="X163" i="3"/>
  <c r="W163" i="3"/>
  <c r="V163" i="3"/>
  <c r="U163" i="3"/>
  <c r="T163" i="3"/>
  <c r="S163" i="3"/>
  <c r="R163" i="3"/>
  <c r="Q163" i="3"/>
  <c r="P163" i="3"/>
  <c r="Y162" i="3"/>
  <c r="X162" i="3"/>
  <c r="W162" i="3"/>
  <c r="V162" i="3"/>
  <c r="U162" i="3"/>
  <c r="T162" i="3"/>
  <c r="S162" i="3"/>
  <c r="R162" i="3"/>
  <c r="Q162" i="3"/>
  <c r="P162" i="3"/>
  <c r="Y161" i="3"/>
  <c r="X161" i="3"/>
  <c r="W161" i="3"/>
  <c r="V161" i="3"/>
  <c r="U161" i="3"/>
  <c r="T161" i="3"/>
  <c r="S161" i="3"/>
  <c r="R161" i="3"/>
  <c r="Q161" i="3"/>
  <c r="P161" i="3"/>
  <c r="Y160" i="3"/>
  <c r="X160" i="3"/>
  <c r="W160" i="3"/>
  <c r="V160" i="3"/>
  <c r="U160" i="3"/>
  <c r="T160" i="3"/>
  <c r="S160" i="3"/>
  <c r="R160" i="3"/>
  <c r="Q160" i="3"/>
  <c r="P160" i="3"/>
  <c r="Y159" i="3"/>
  <c r="X159" i="3"/>
  <c r="W159" i="3"/>
  <c r="V159" i="3"/>
  <c r="U159" i="3"/>
  <c r="T159" i="3"/>
  <c r="S159" i="3"/>
  <c r="R159" i="3"/>
  <c r="Q159" i="3"/>
  <c r="P159" i="3"/>
  <c r="Y158" i="3"/>
  <c r="X158" i="3"/>
  <c r="W158" i="3"/>
  <c r="V158" i="3"/>
  <c r="U158" i="3"/>
  <c r="T158" i="3"/>
  <c r="S158" i="3"/>
  <c r="R158" i="3"/>
  <c r="Q158" i="3"/>
  <c r="P158" i="3"/>
  <c r="Y157" i="3"/>
  <c r="X157" i="3"/>
  <c r="W157" i="3"/>
  <c r="V157" i="3"/>
  <c r="U157" i="3"/>
  <c r="T157" i="3"/>
  <c r="S157" i="3"/>
  <c r="R157" i="3"/>
  <c r="Q157" i="3"/>
  <c r="P157" i="3"/>
  <c r="Y156" i="3"/>
  <c r="X156" i="3"/>
  <c r="W156" i="3"/>
  <c r="V156" i="3"/>
  <c r="U156" i="3"/>
  <c r="T156" i="3"/>
  <c r="S156" i="3"/>
  <c r="R156" i="3"/>
  <c r="Q156" i="3"/>
  <c r="P156" i="3"/>
  <c r="Y155" i="3"/>
  <c r="X155" i="3"/>
  <c r="W155" i="3"/>
  <c r="V155" i="3"/>
  <c r="U155" i="3"/>
  <c r="T155" i="3"/>
  <c r="S155" i="3"/>
  <c r="R155" i="3"/>
  <c r="Q155" i="3"/>
  <c r="P155" i="3"/>
  <c r="Y154" i="3"/>
  <c r="X154" i="3"/>
  <c r="W154" i="3"/>
  <c r="V154" i="3"/>
  <c r="U154" i="3"/>
  <c r="T154" i="3"/>
  <c r="S154" i="3"/>
  <c r="R154" i="3"/>
  <c r="Q154" i="3"/>
  <c r="P154" i="3"/>
  <c r="Y153" i="3"/>
  <c r="X153" i="3"/>
  <c r="W153" i="3"/>
  <c r="V153" i="3"/>
  <c r="U153" i="3"/>
  <c r="T153" i="3"/>
  <c r="S153" i="3"/>
  <c r="R153" i="3"/>
  <c r="Q153" i="3"/>
  <c r="P153" i="3"/>
  <c r="Y152" i="3"/>
  <c r="X152" i="3"/>
  <c r="W152" i="3"/>
  <c r="V152" i="3"/>
  <c r="U152" i="3"/>
  <c r="T152" i="3"/>
  <c r="S152" i="3"/>
  <c r="R152" i="3"/>
  <c r="Q152" i="3"/>
  <c r="P152" i="3"/>
  <c r="Y151" i="3"/>
  <c r="X151" i="3"/>
  <c r="W151" i="3"/>
  <c r="V151" i="3"/>
  <c r="U151" i="3"/>
  <c r="T151" i="3"/>
  <c r="S151" i="3"/>
  <c r="R151" i="3"/>
  <c r="Q151" i="3"/>
  <c r="P151" i="3"/>
  <c r="Y150" i="3"/>
  <c r="X150" i="3"/>
  <c r="W150" i="3"/>
  <c r="V150" i="3"/>
  <c r="U150" i="3"/>
  <c r="T150" i="3"/>
  <c r="S150" i="3"/>
  <c r="R150" i="3"/>
  <c r="Q150" i="3"/>
  <c r="P150" i="3"/>
  <c r="Y149" i="3"/>
  <c r="X149" i="3"/>
  <c r="W149" i="3"/>
  <c r="V149" i="3"/>
  <c r="U149" i="3"/>
  <c r="T149" i="3"/>
  <c r="S149" i="3"/>
  <c r="R149" i="3"/>
  <c r="Q149" i="3"/>
  <c r="P149" i="3"/>
  <c r="Y148" i="3"/>
  <c r="X148" i="3"/>
  <c r="W148" i="3"/>
  <c r="V148" i="3"/>
  <c r="U148" i="3"/>
  <c r="T148" i="3"/>
  <c r="S148" i="3"/>
  <c r="R148" i="3"/>
  <c r="Q148" i="3"/>
  <c r="P148" i="3"/>
  <c r="Y147" i="3"/>
  <c r="X147" i="3"/>
  <c r="W147" i="3"/>
  <c r="V147" i="3"/>
  <c r="U147" i="3"/>
  <c r="T147" i="3"/>
  <c r="S147" i="3"/>
  <c r="R147" i="3"/>
  <c r="Q147" i="3"/>
  <c r="P147" i="3"/>
  <c r="Y146" i="3"/>
  <c r="X146" i="3"/>
  <c r="W146" i="3"/>
  <c r="V146" i="3"/>
  <c r="U146" i="3"/>
  <c r="T146" i="3"/>
  <c r="S146" i="3"/>
  <c r="R146" i="3"/>
  <c r="Q146" i="3"/>
  <c r="P146" i="3"/>
  <c r="Y145" i="3"/>
  <c r="X145" i="3"/>
  <c r="W145" i="3"/>
  <c r="V145" i="3"/>
  <c r="U145" i="3"/>
  <c r="T145" i="3"/>
  <c r="S145" i="3"/>
  <c r="R145" i="3"/>
  <c r="Q145" i="3"/>
  <c r="P145" i="3"/>
  <c r="Y144" i="3"/>
  <c r="X144" i="3"/>
  <c r="W144" i="3"/>
  <c r="V144" i="3"/>
  <c r="U144" i="3"/>
  <c r="T144" i="3"/>
  <c r="S144" i="3"/>
  <c r="R144" i="3"/>
  <c r="Q144" i="3"/>
  <c r="P144" i="3"/>
  <c r="Y143" i="3"/>
  <c r="X143" i="3"/>
  <c r="W143" i="3"/>
  <c r="V143" i="3"/>
  <c r="U143" i="3"/>
  <c r="T143" i="3"/>
  <c r="S143" i="3"/>
  <c r="R143" i="3"/>
  <c r="Q143" i="3"/>
  <c r="P143" i="3"/>
  <c r="Y142" i="3"/>
  <c r="X142" i="3"/>
  <c r="W142" i="3"/>
  <c r="V142" i="3"/>
  <c r="U142" i="3"/>
  <c r="T142" i="3"/>
  <c r="S142" i="3"/>
  <c r="R142" i="3"/>
  <c r="Q142" i="3"/>
  <c r="P142" i="3"/>
  <c r="Y141" i="3"/>
  <c r="X141" i="3"/>
  <c r="W141" i="3"/>
  <c r="V141" i="3"/>
  <c r="U141" i="3"/>
  <c r="T141" i="3"/>
  <c r="S141" i="3"/>
  <c r="R141" i="3"/>
  <c r="Q141" i="3"/>
  <c r="P141" i="3"/>
  <c r="Y140" i="3"/>
  <c r="X140" i="3"/>
  <c r="W140" i="3"/>
  <c r="V140" i="3"/>
  <c r="U140" i="3"/>
  <c r="T140" i="3"/>
  <c r="S140" i="3"/>
  <c r="R140" i="3"/>
  <c r="Q140" i="3"/>
  <c r="P140" i="3"/>
  <c r="Y139" i="3"/>
  <c r="X139" i="3"/>
  <c r="W139" i="3"/>
  <c r="V139" i="3"/>
  <c r="U139" i="3"/>
  <c r="T139" i="3"/>
  <c r="S139" i="3"/>
  <c r="R139" i="3"/>
  <c r="Q139" i="3"/>
  <c r="P139" i="3"/>
  <c r="Y138" i="3"/>
  <c r="X138" i="3"/>
  <c r="W138" i="3"/>
  <c r="V138" i="3"/>
  <c r="U138" i="3"/>
  <c r="T138" i="3"/>
  <c r="S138" i="3"/>
  <c r="R138" i="3"/>
  <c r="Q138" i="3"/>
  <c r="P138" i="3"/>
  <c r="Y137" i="3"/>
  <c r="X137" i="3"/>
  <c r="W137" i="3"/>
  <c r="V137" i="3"/>
  <c r="U137" i="3"/>
  <c r="T137" i="3"/>
  <c r="S137" i="3"/>
  <c r="R137" i="3"/>
  <c r="Q137" i="3"/>
  <c r="P137" i="3"/>
  <c r="Y136" i="3"/>
  <c r="X136" i="3"/>
  <c r="W136" i="3"/>
  <c r="V136" i="3"/>
  <c r="U136" i="3"/>
  <c r="T136" i="3"/>
  <c r="S136" i="3"/>
  <c r="R136" i="3"/>
  <c r="Q136" i="3"/>
  <c r="P136" i="3"/>
  <c r="Y135" i="3"/>
  <c r="X135" i="3"/>
  <c r="W135" i="3"/>
  <c r="V135" i="3"/>
  <c r="U135" i="3"/>
  <c r="T135" i="3"/>
  <c r="S135" i="3"/>
  <c r="R135" i="3"/>
  <c r="Q135" i="3"/>
  <c r="P135" i="3"/>
  <c r="Y134" i="3"/>
  <c r="X134" i="3"/>
  <c r="W134" i="3"/>
  <c r="V134" i="3"/>
  <c r="U134" i="3"/>
  <c r="T134" i="3"/>
  <c r="S134" i="3"/>
  <c r="R134" i="3"/>
  <c r="Q134" i="3"/>
  <c r="P134" i="3"/>
  <c r="Y133" i="3"/>
  <c r="X133" i="3"/>
  <c r="W133" i="3"/>
  <c r="V133" i="3"/>
  <c r="U133" i="3"/>
  <c r="T133" i="3"/>
  <c r="S133" i="3"/>
  <c r="R133" i="3"/>
  <c r="Q133" i="3"/>
  <c r="P133" i="3"/>
  <c r="Y132" i="3"/>
  <c r="X132" i="3"/>
  <c r="W132" i="3"/>
  <c r="V132" i="3"/>
  <c r="U132" i="3"/>
  <c r="T132" i="3"/>
  <c r="S132" i="3"/>
  <c r="R132" i="3"/>
  <c r="Q132" i="3"/>
  <c r="P132" i="3"/>
  <c r="Y131" i="3"/>
  <c r="X131" i="3"/>
  <c r="W131" i="3"/>
  <c r="V131" i="3"/>
  <c r="U131" i="3"/>
  <c r="T131" i="3"/>
  <c r="S131" i="3"/>
  <c r="R131" i="3"/>
  <c r="Q131" i="3"/>
  <c r="P131" i="3"/>
  <c r="Y130" i="3"/>
  <c r="X130" i="3"/>
  <c r="W130" i="3"/>
  <c r="V130" i="3"/>
  <c r="U130" i="3"/>
  <c r="T130" i="3"/>
  <c r="S130" i="3"/>
  <c r="R130" i="3"/>
  <c r="Q130" i="3"/>
  <c r="P130" i="3"/>
  <c r="Y129" i="3"/>
  <c r="X129" i="3"/>
  <c r="W129" i="3"/>
  <c r="V129" i="3"/>
  <c r="U129" i="3"/>
  <c r="T129" i="3"/>
  <c r="S129" i="3"/>
  <c r="R129" i="3"/>
  <c r="Q129" i="3"/>
  <c r="P129" i="3"/>
  <c r="Y128" i="3"/>
  <c r="X128" i="3"/>
  <c r="W128" i="3"/>
  <c r="V128" i="3"/>
  <c r="U128" i="3"/>
  <c r="T128" i="3"/>
  <c r="S128" i="3"/>
  <c r="R128" i="3"/>
  <c r="Q128" i="3"/>
  <c r="P128" i="3"/>
  <c r="Y127" i="3"/>
  <c r="X127" i="3"/>
  <c r="W127" i="3"/>
  <c r="V127" i="3"/>
  <c r="U127" i="3"/>
  <c r="T127" i="3"/>
  <c r="S127" i="3"/>
  <c r="R127" i="3"/>
  <c r="Q127" i="3"/>
  <c r="P127" i="3"/>
  <c r="Y126" i="3"/>
  <c r="X126" i="3"/>
  <c r="W126" i="3"/>
  <c r="V126" i="3"/>
  <c r="U126" i="3"/>
  <c r="T126" i="3"/>
  <c r="S126" i="3"/>
  <c r="R126" i="3"/>
  <c r="Q126" i="3"/>
  <c r="P126" i="3"/>
  <c r="Y125" i="3"/>
  <c r="X125" i="3"/>
  <c r="W125" i="3"/>
  <c r="V125" i="3"/>
  <c r="U125" i="3"/>
  <c r="T125" i="3"/>
  <c r="S125" i="3"/>
  <c r="R125" i="3"/>
  <c r="Q125" i="3"/>
  <c r="P125" i="3"/>
  <c r="Y124" i="3"/>
  <c r="X124" i="3"/>
  <c r="W124" i="3"/>
  <c r="V124" i="3"/>
  <c r="U124" i="3"/>
  <c r="T124" i="3"/>
  <c r="S124" i="3"/>
  <c r="R124" i="3"/>
  <c r="Q124" i="3"/>
  <c r="P124" i="3"/>
  <c r="Y123" i="3"/>
  <c r="X123" i="3"/>
  <c r="W123" i="3"/>
  <c r="V123" i="3"/>
  <c r="U123" i="3"/>
  <c r="T123" i="3"/>
  <c r="S123" i="3"/>
  <c r="R123" i="3"/>
  <c r="Q123" i="3"/>
  <c r="P123" i="3"/>
  <c r="Y122" i="3"/>
  <c r="X122" i="3"/>
  <c r="W122" i="3"/>
  <c r="V122" i="3"/>
  <c r="U122" i="3"/>
  <c r="T122" i="3"/>
  <c r="S122" i="3"/>
  <c r="R122" i="3"/>
  <c r="Q122" i="3"/>
  <c r="P122" i="3"/>
  <c r="Y121" i="3"/>
  <c r="X121" i="3"/>
  <c r="W121" i="3"/>
  <c r="V121" i="3"/>
  <c r="U121" i="3"/>
  <c r="T121" i="3"/>
  <c r="S121" i="3"/>
  <c r="R121" i="3"/>
  <c r="Q121" i="3"/>
  <c r="P121" i="3"/>
  <c r="Y120" i="3"/>
  <c r="X120" i="3"/>
  <c r="W120" i="3"/>
  <c r="V120" i="3"/>
  <c r="U120" i="3"/>
  <c r="T120" i="3"/>
  <c r="S120" i="3"/>
  <c r="R120" i="3"/>
  <c r="Q120" i="3"/>
  <c r="P120" i="3"/>
  <c r="Y119" i="3"/>
  <c r="X119" i="3"/>
  <c r="W119" i="3"/>
  <c r="V119" i="3"/>
  <c r="U119" i="3"/>
  <c r="T119" i="3"/>
  <c r="S119" i="3"/>
  <c r="R119" i="3"/>
  <c r="Q119" i="3"/>
  <c r="P119" i="3"/>
  <c r="Y118" i="3"/>
  <c r="X118" i="3"/>
  <c r="W118" i="3"/>
  <c r="V118" i="3"/>
  <c r="U118" i="3"/>
  <c r="T118" i="3"/>
  <c r="S118" i="3"/>
  <c r="R118" i="3"/>
  <c r="Q118" i="3"/>
  <c r="P118" i="3"/>
  <c r="Y117" i="3"/>
  <c r="X117" i="3"/>
  <c r="W117" i="3"/>
  <c r="V117" i="3"/>
  <c r="U117" i="3"/>
  <c r="T117" i="3"/>
  <c r="S117" i="3"/>
  <c r="R117" i="3"/>
  <c r="Q117" i="3"/>
  <c r="P117" i="3"/>
  <c r="Y116" i="3"/>
  <c r="X116" i="3"/>
  <c r="W116" i="3"/>
  <c r="V116" i="3"/>
  <c r="U116" i="3"/>
  <c r="T116" i="3"/>
  <c r="S116" i="3"/>
  <c r="R116" i="3"/>
  <c r="Q116" i="3"/>
  <c r="P116" i="3"/>
  <c r="Y115" i="3"/>
  <c r="X115" i="3"/>
  <c r="W115" i="3"/>
  <c r="V115" i="3"/>
  <c r="U115" i="3"/>
  <c r="T115" i="3"/>
  <c r="S115" i="3"/>
  <c r="R115" i="3"/>
  <c r="Q115" i="3"/>
  <c r="P115" i="3"/>
  <c r="Y114" i="3"/>
  <c r="X114" i="3"/>
  <c r="W114" i="3"/>
  <c r="V114" i="3"/>
  <c r="U114" i="3"/>
  <c r="T114" i="3"/>
  <c r="S114" i="3"/>
  <c r="R114" i="3"/>
  <c r="Q114" i="3"/>
  <c r="P114" i="3"/>
  <c r="Y113" i="3"/>
  <c r="X113" i="3"/>
  <c r="W113" i="3"/>
  <c r="V113" i="3"/>
  <c r="U113" i="3"/>
  <c r="T113" i="3"/>
  <c r="S113" i="3"/>
  <c r="R113" i="3"/>
  <c r="Q113" i="3"/>
  <c r="P113" i="3"/>
  <c r="Y112" i="3"/>
  <c r="X112" i="3"/>
  <c r="W112" i="3"/>
  <c r="V112" i="3"/>
  <c r="U112" i="3"/>
  <c r="T112" i="3"/>
  <c r="S112" i="3"/>
  <c r="R112" i="3"/>
  <c r="Q112" i="3"/>
  <c r="P112" i="3"/>
  <c r="Y111" i="3"/>
  <c r="X111" i="3"/>
  <c r="W111" i="3"/>
  <c r="V111" i="3"/>
  <c r="U111" i="3"/>
  <c r="T111" i="3"/>
  <c r="S111" i="3"/>
  <c r="R111" i="3"/>
  <c r="Q111" i="3"/>
  <c r="P111" i="3"/>
  <c r="Y110" i="3"/>
  <c r="X110" i="3"/>
  <c r="W110" i="3"/>
  <c r="V110" i="3"/>
  <c r="U110" i="3"/>
  <c r="T110" i="3"/>
  <c r="S110" i="3"/>
  <c r="R110" i="3"/>
  <c r="Q110" i="3"/>
  <c r="P110" i="3"/>
  <c r="Y109" i="3"/>
  <c r="X109" i="3"/>
  <c r="W109" i="3"/>
  <c r="V109" i="3"/>
  <c r="U109" i="3"/>
  <c r="T109" i="3"/>
  <c r="S109" i="3"/>
  <c r="R109" i="3"/>
  <c r="Q109" i="3"/>
  <c r="P109" i="3"/>
  <c r="Y108" i="3"/>
  <c r="X108" i="3"/>
  <c r="W108" i="3"/>
  <c r="V108" i="3"/>
  <c r="U108" i="3"/>
  <c r="T108" i="3"/>
  <c r="S108" i="3"/>
  <c r="R108" i="3"/>
  <c r="Q108" i="3"/>
  <c r="P108" i="3"/>
  <c r="Y107" i="3"/>
  <c r="X107" i="3"/>
  <c r="W107" i="3"/>
  <c r="V107" i="3"/>
  <c r="U107" i="3"/>
  <c r="T107" i="3"/>
  <c r="S107" i="3"/>
  <c r="R107" i="3"/>
  <c r="Q107" i="3"/>
  <c r="P107" i="3"/>
  <c r="Y106" i="3"/>
  <c r="X106" i="3"/>
  <c r="W106" i="3"/>
  <c r="V106" i="3"/>
  <c r="U106" i="3"/>
  <c r="T106" i="3"/>
  <c r="S106" i="3"/>
  <c r="R106" i="3"/>
  <c r="Q106" i="3"/>
  <c r="P106" i="3"/>
  <c r="Y105" i="3"/>
  <c r="X105" i="3"/>
  <c r="W105" i="3"/>
  <c r="V105" i="3"/>
  <c r="U105" i="3"/>
  <c r="T105" i="3"/>
  <c r="S105" i="3"/>
  <c r="R105" i="3"/>
  <c r="Q105" i="3"/>
  <c r="P105" i="3"/>
  <c r="Y104" i="3"/>
  <c r="X104" i="3"/>
  <c r="W104" i="3"/>
  <c r="V104" i="3"/>
  <c r="U104" i="3"/>
  <c r="T104" i="3"/>
  <c r="S104" i="3"/>
  <c r="R104" i="3"/>
  <c r="Q104" i="3"/>
  <c r="P104" i="3"/>
  <c r="Y103" i="3"/>
  <c r="X103" i="3"/>
  <c r="W103" i="3"/>
  <c r="V103" i="3"/>
  <c r="U103" i="3"/>
  <c r="T103" i="3"/>
  <c r="S103" i="3"/>
  <c r="R103" i="3"/>
  <c r="Q103" i="3"/>
  <c r="P103" i="3"/>
  <c r="Y102" i="3"/>
  <c r="X102" i="3"/>
  <c r="W102" i="3"/>
  <c r="V102" i="3"/>
  <c r="U102" i="3"/>
  <c r="T102" i="3"/>
  <c r="S102" i="3"/>
  <c r="R102" i="3"/>
  <c r="Q102" i="3"/>
  <c r="P102" i="3"/>
  <c r="Y101" i="3"/>
  <c r="X101" i="3"/>
  <c r="W101" i="3"/>
  <c r="V101" i="3"/>
  <c r="U101" i="3"/>
  <c r="T101" i="3"/>
  <c r="S101" i="3"/>
  <c r="R101" i="3"/>
  <c r="Q101" i="3"/>
  <c r="P101" i="3"/>
  <c r="Y100" i="3"/>
  <c r="X100" i="3"/>
  <c r="W100" i="3"/>
  <c r="V100" i="3"/>
  <c r="U100" i="3"/>
  <c r="T100" i="3"/>
  <c r="S100" i="3"/>
  <c r="R100" i="3"/>
  <c r="Q100" i="3"/>
  <c r="P100" i="3"/>
  <c r="Y99" i="3"/>
  <c r="X99" i="3"/>
  <c r="W99" i="3"/>
  <c r="V99" i="3"/>
  <c r="U99" i="3"/>
  <c r="T99" i="3"/>
  <c r="S99" i="3"/>
  <c r="R99" i="3"/>
  <c r="Q99" i="3"/>
  <c r="P99" i="3"/>
  <c r="Y98" i="3"/>
  <c r="X98" i="3"/>
  <c r="W98" i="3"/>
  <c r="V98" i="3"/>
  <c r="U98" i="3"/>
  <c r="T98" i="3"/>
  <c r="S98" i="3"/>
  <c r="R98" i="3"/>
  <c r="Q98" i="3"/>
  <c r="P98" i="3"/>
  <c r="Y97" i="3"/>
  <c r="X97" i="3"/>
  <c r="W97" i="3"/>
  <c r="V97" i="3"/>
  <c r="U97" i="3"/>
  <c r="T97" i="3"/>
  <c r="S97" i="3"/>
  <c r="R97" i="3"/>
  <c r="Q97" i="3"/>
  <c r="P97" i="3"/>
  <c r="Y96" i="3"/>
  <c r="X96" i="3"/>
  <c r="W96" i="3"/>
  <c r="V96" i="3"/>
  <c r="U96" i="3"/>
  <c r="T96" i="3"/>
  <c r="S96" i="3"/>
  <c r="R96" i="3"/>
  <c r="Q96" i="3"/>
  <c r="P96" i="3"/>
  <c r="Y95" i="3"/>
  <c r="X95" i="3"/>
  <c r="W95" i="3"/>
  <c r="V95" i="3"/>
  <c r="U95" i="3"/>
  <c r="T95" i="3"/>
  <c r="S95" i="3"/>
  <c r="R95" i="3"/>
  <c r="Q95" i="3"/>
  <c r="P95" i="3"/>
  <c r="Y94" i="3"/>
  <c r="X94" i="3"/>
  <c r="W94" i="3"/>
  <c r="V94" i="3"/>
  <c r="U94" i="3"/>
  <c r="T94" i="3"/>
  <c r="S94" i="3"/>
  <c r="R94" i="3"/>
  <c r="Q94" i="3"/>
  <c r="P94" i="3"/>
  <c r="Y93" i="3"/>
  <c r="X93" i="3"/>
  <c r="W93" i="3"/>
  <c r="V93" i="3"/>
  <c r="U93" i="3"/>
  <c r="T93" i="3"/>
  <c r="S93" i="3"/>
  <c r="R93" i="3"/>
  <c r="Q93" i="3"/>
  <c r="P93" i="3"/>
  <c r="Y92" i="3"/>
  <c r="X92" i="3"/>
  <c r="W92" i="3"/>
  <c r="V92" i="3"/>
  <c r="U92" i="3"/>
  <c r="T92" i="3"/>
  <c r="S92" i="3"/>
  <c r="R92" i="3"/>
  <c r="Q92" i="3"/>
  <c r="P92" i="3"/>
  <c r="Y91" i="3"/>
  <c r="X91" i="3"/>
  <c r="W91" i="3"/>
  <c r="V91" i="3"/>
  <c r="U91" i="3"/>
  <c r="T91" i="3"/>
  <c r="S91" i="3"/>
  <c r="R91" i="3"/>
  <c r="Q91" i="3"/>
  <c r="P91" i="3"/>
  <c r="Y90" i="3"/>
  <c r="X90" i="3"/>
  <c r="W90" i="3"/>
  <c r="V90" i="3"/>
  <c r="U90" i="3"/>
  <c r="T90" i="3"/>
  <c r="S90" i="3"/>
  <c r="R90" i="3"/>
  <c r="Q90" i="3"/>
  <c r="P90" i="3"/>
  <c r="Y89" i="3"/>
  <c r="X89" i="3"/>
  <c r="W89" i="3"/>
  <c r="V89" i="3"/>
  <c r="U89" i="3"/>
  <c r="T89" i="3"/>
  <c r="S89" i="3"/>
  <c r="R89" i="3"/>
  <c r="Q89" i="3"/>
  <c r="P89" i="3"/>
  <c r="Y88" i="3"/>
  <c r="X88" i="3"/>
  <c r="W88" i="3"/>
  <c r="V88" i="3"/>
  <c r="U88" i="3"/>
  <c r="T88" i="3"/>
  <c r="S88" i="3"/>
  <c r="R88" i="3"/>
  <c r="Q88" i="3"/>
  <c r="P88" i="3"/>
  <c r="Y87" i="3"/>
  <c r="X87" i="3"/>
  <c r="W87" i="3"/>
  <c r="V87" i="3"/>
  <c r="U87" i="3"/>
  <c r="T87" i="3"/>
  <c r="S87" i="3"/>
  <c r="R87" i="3"/>
  <c r="Q87" i="3"/>
  <c r="P87" i="3"/>
  <c r="Y86" i="3"/>
  <c r="X86" i="3"/>
  <c r="W86" i="3"/>
  <c r="V86" i="3"/>
  <c r="U86" i="3"/>
  <c r="T86" i="3"/>
  <c r="S86" i="3"/>
  <c r="R86" i="3"/>
  <c r="Q86" i="3"/>
  <c r="P86" i="3"/>
  <c r="Y85" i="3"/>
  <c r="X85" i="3"/>
  <c r="W85" i="3"/>
  <c r="V85" i="3"/>
  <c r="U85" i="3"/>
  <c r="T85" i="3"/>
  <c r="S85" i="3"/>
  <c r="R85" i="3"/>
  <c r="Q85" i="3"/>
  <c r="P85" i="3"/>
  <c r="Y84" i="3"/>
  <c r="X84" i="3"/>
  <c r="W84" i="3"/>
  <c r="V84" i="3"/>
  <c r="U84" i="3"/>
  <c r="T84" i="3"/>
  <c r="S84" i="3"/>
  <c r="R84" i="3"/>
  <c r="Q84" i="3"/>
  <c r="P84" i="3"/>
  <c r="Y83" i="3"/>
  <c r="X83" i="3"/>
  <c r="W83" i="3"/>
  <c r="V83" i="3"/>
  <c r="U83" i="3"/>
  <c r="T83" i="3"/>
  <c r="S83" i="3"/>
  <c r="R83" i="3"/>
  <c r="Q83" i="3"/>
  <c r="P83" i="3"/>
  <c r="Y82" i="3"/>
  <c r="X82" i="3"/>
  <c r="W82" i="3"/>
  <c r="V82" i="3"/>
  <c r="U82" i="3"/>
  <c r="T82" i="3"/>
  <c r="S82" i="3"/>
  <c r="R82" i="3"/>
  <c r="Q82" i="3"/>
  <c r="P82" i="3"/>
  <c r="Y81" i="3"/>
  <c r="X81" i="3"/>
  <c r="W81" i="3"/>
  <c r="V81" i="3"/>
  <c r="U81" i="3"/>
  <c r="T81" i="3"/>
  <c r="S81" i="3"/>
  <c r="R81" i="3"/>
  <c r="Q81" i="3"/>
  <c r="P81" i="3"/>
  <c r="Y80" i="3"/>
  <c r="X80" i="3"/>
  <c r="W80" i="3"/>
  <c r="V80" i="3"/>
  <c r="U80" i="3"/>
  <c r="T80" i="3"/>
  <c r="S80" i="3"/>
  <c r="R80" i="3"/>
  <c r="Q80" i="3"/>
  <c r="P80" i="3"/>
  <c r="Y79" i="3"/>
  <c r="X79" i="3"/>
  <c r="W79" i="3"/>
  <c r="V79" i="3"/>
  <c r="U79" i="3"/>
  <c r="T79" i="3"/>
  <c r="S79" i="3"/>
  <c r="R79" i="3"/>
  <c r="Q79" i="3"/>
  <c r="P79" i="3"/>
  <c r="Y78" i="3"/>
  <c r="X78" i="3"/>
  <c r="W78" i="3"/>
  <c r="V78" i="3"/>
  <c r="U78" i="3"/>
  <c r="T78" i="3"/>
  <c r="S78" i="3"/>
  <c r="R78" i="3"/>
  <c r="Q78" i="3"/>
  <c r="P78" i="3"/>
  <c r="Y77" i="3"/>
  <c r="X77" i="3"/>
  <c r="W77" i="3"/>
  <c r="V77" i="3"/>
  <c r="U77" i="3"/>
  <c r="T77" i="3"/>
  <c r="S77" i="3"/>
  <c r="R77" i="3"/>
  <c r="Q77" i="3"/>
  <c r="P77" i="3"/>
  <c r="Y76" i="3"/>
  <c r="X76" i="3"/>
  <c r="W76" i="3"/>
  <c r="V76" i="3"/>
  <c r="U76" i="3"/>
  <c r="T76" i="3"/>
  <c r="S76" i="3"/>
  <c r="R76" i="3"/>
  <c r="Q76" i="3"/>
  <c r="P76" i="3"/>
  <c r="Y75" i="3"/>
  <c r="X75" i="3"/>
  <c r="W75" i="3"/>
  <c r="V75" i="3"/>
  <c r="U75" i="3"/>
  <c r="T75" i="3"/>
  <c r="S75" i="3"/>
  <c r="R75" i="3"/>
  <c r="Q75" i="3"/>
  <c r="P75" i="3"/>
  <c r="Y74" i="3"/>
  <c r="X74" i="3"/>
  <c r="W74" i="3"/>
  <c r="V74" i="3"/>
  <c r="U74" i="3"/>
  <c r="T74" i="3"/>
  <c r="S74" i="3"/>
  <c r="R74" i="3"/>
  <c r="Q74" i="3"/>
  <c r="P74" i="3"/>
  <c r="Y73" i="3"/>
  <c r="X73" i="3"/>
  <c r="W73" i="3"/>
  <c r="V73" i="3"/>
  <c r="U73" i="3"/>
  <c r="T73" i="3"/>
  <c r="S73" i="3"/>
  <c r="R73" i="3"/>
  <c r="Q73" i="3"/>
  <c r="P73" i="3"/>
  <c r="Y72" i="3"/>
  <c r="X72" i="3"/>
  <c r="W72" i="3"/>
  <c r="V72" i="3"/>
  <c r="U72" i="3"/>
  <c r="T72" i="3"/>
  <c r="S72" i="3"/>
  <c r="R72" i="3"/>
  <c r="Q72" i="3"/>
  <c r="P72" i="3"/>
  <c r="Y71" i="3"/>
  <c r="X71" i="3"/>
  <c r="W71" i="3"/>
  <c r="V71" i="3"/>
  <c r="U71" i="3"/>
  <c r="T71" i="3"/>
  <c r="S71" i="3"/>
  <c r="R71" i="3"/>
  <c r="Q71" i="3"/>
  <c r="P71" i="3"/>
  <c r="Y70" i="3"/>
  <c r="X70" i="3"/>
  <c r="W70" i="3"/>
  <c r="V70" i="3"/>
  <c r="U70" i="3"/>
  <c r="T70" i="3"/>
  <c r="S70" i="3"/>
  <c r="R70" i="3"/>
  <c r="Q70" i="3"/>
  <c r="P70" i="3"/>
  <c r="Y69" i="3"/>
  <c r="X69" i="3"/>
  <c r="W69" i="3"/>
  <c r="V69" i="3"/>
  <c r="U69" i="3"/>
  <c r="T69" i="3"/>
  <c r="S69" i="3"/>
  <c r="R69" i="3"/>
  <c r="Q69" i="3"/>
  <c r="P69" i="3"/>
  <c r="Y68" i="3"/>
  <c r="X68" i="3"/>
  <c r="W68" i="3"/>
  <c r="V68" i="3"/>
  <c r="U68" i="3"/>
  <c r="T68" i="3"/>
  <c r="S68" i="3"/>
  <c r="R68" i="3"/>
  <c r="Q68" i="3"/>
  <c r="P68" i="3"/>
  <c r="Y67" i="3"/>
  <c r="X67" i="3"/>
  <c r="W67" i="3"/>
  <c r="V67" i="3"/>
  <c r="U67" i="3"/>
  <c r="T67" i="3"/>
  <c r="S67" i="3"/>
  <c r="R67" i="3"/>
  <c r="Q67" i="3"/>
  <c r="P67" i="3"/>
  <c r="Y66" i="3"/>
  <c r="X66" i="3"/>
  <c r="W66" i="3"/>
  <c r="V66" i="3"/>
  <c r="U66" i="3"/>
  <c r="T66" i="3"/>
  <c r="S66" i="3"/>
  <c r="R66" i="3"/>
  <c r="Q66" i="3"/>
  <c r="P66" i="3"/>
  <c r="Y65" i="3"/>
  <c r="X65" i="3"/>
  <c r="W65" i="3"/>
  <c r="V65" i="3"/>
  <c r="U65" i="3"/>
  <c r="T65" i="3"/>
  <c r="S65" i="3"/>
  <c r="R65" i="3"/>
  <c r="Q65" i="3"/>
  <c r="P65" i="3"/>
  <c r="Y64" i="3"/>
  <c r="X64" i="3"/>
  <c r="W64" i="3"/>
  <c r="V64" i="3"/>
  <c r="U64" i="3"/>
  <c r="T64" i="3"/>
  <c r="S64" i="3"/>
  <c r="R64" i="3"/>
  <c r="Q64" i="3"/>
  <c r="P64" i="3"/>
  <c r="Y63" i="3"/>
  <c r="X63" i="3"/>
  <c r="W63" i="3"/>
  <c r="V63" i="3"/>
  <c r="U63" i="3"/>
  <c r="T63" i="3"/>
  <c r="S63" i="3"/>
  <c r="R63" i="3"/>
  <c r="Q63" i="3"/>
  <c r="P63" i="3"/>
  <c r="Y62" i="3"/>
  <c r="X62" i="3"/>
  <c r="W62" i="3"/>
  <c r="V62" i="3"/>
  <c r="U62" i="3"/>
  <c r="T62" i="3"/>
  <c r="S62" i="3"/>
  <c r="R62" i="3"/>
  <c r="Q62" i="3"/>
  <c r="P62" i="3"/>
  <c r="Y61" i="3"/>
  <c r="X61" i="3"/>
  <c r="W61" i="3"/>
  <c r="V61" i="3"/>
  <c r="U61" i="3"/>
  <c r="T61" i="3"/>
  <c r="S61" i="3"/>
  <c r="R61" i="3"/>
  <c r="Q61" i="3"/>
  <c r="P61" i="3"/>
  <c r="Y60" i="3"/>
  <c r="X60" i="3"/>
  <c r="W60" i="3"/>
  <c r="V60" i="3"/>
  <c r="U60" i="3"/>
  <c r="T60" i="3"/>
  <c r="S60" i="3"/>
  <c r="R60" i="3"/>
  <c r="Q60" i="3"/>
  <c r="P60" i="3"/>
  <c r="Y59" i="3"/>
  <c r="X59" i="3"/>
  <c r="W59" i="3"/>
  <c r="V59" i="3"/>
  <c r="U59" i="3"/>
  <c r="T59" i="3"/>
  <c r="S59" i="3"/>
  <c r="R59" i="3"/>
  <c r="Q59" i="3"/>
  <c r="P59" i="3"/>
  <c r="Y58" i="3"/>
  <c r="X58" i="3"/>
  <c r="W58" i="3"/>
  <c r="V58" i="3"/>
  <c r="U58" i="3"/>
  <c r="T58" i="3"/>
  <c r="S58" i="3"/>
  <c r="R58" i="3"/>
  <c r="Q58" i="3"/>
  <c r="P58" i="3"/>
  <c r="Y57" i="3"/>
  <c r="X57" i="3"/>
  <c r="W57" i="3"/>
  <c r="V57" i="3"/>
  <c r="U57" i="3"/>
  <c r="T57" i="3"/>
  <c r="S57" i="3"/>
  <c r="R57" i="3"/>
  <c r="Q57" i="3"/>
  <c r="P57" i="3"/>
  <c r="Y56" i="3"/>
  <c r="X56" i="3"/>
  <c r="W56" i="3"/>
  <c r="V56" i="3"/>
  <c r="U56" i="3"/>
  <c r="T56" i="3"/>
  <c r="S56" i="3"/>
  <c r="R56" i="3"/>
  <c r="Q56" i="3"/>
  <c r="P56" i="3"/>
  <c r="Y55" i="3"/>
  <c r="X55" i="3"/>
  <c r="W55" i="3"/>
  <c r="V55" i="3"/>
  <c r="U55" i="3"/>
  <c r="T55" i="3"/>
  <c r="S55" i="3"/>
  <c r="R55" i="3"/>
  <c r="Q55" i="3"/>
  <c r="P55" i="3"/>
  <c r="Y54" i="3"/>
  <c r="X54" i="3"/>
  <c r="W54" i="3"/>
  <c r="V54" i="3"/>
  <c r="U54" i="3"/>
  <c r="T54" i="3"/>
  <c r="S54" i="3"/>
  <c r="R54" i="3"/>
  <c r="Q54" i="3"/>
  <c r="P54" i="3"/>
  <c r="Y53" i="3"/>
  <c r="X53" i="3"/>
  <c r="W53" i="3"/>
  <c r="V53" i="3"/>
  <c r="U53" i="3"/>
  <c r="T53" i="3"/>
  <c r="S53" i="3"/>
  <c r="R53" i="3"/>
  <c r="Q53" i="3"/>
  <c r="P53" i="3"/>
  <c r="Y52" i="3"/>
  <c r="X52" i="3"/>
  <c r="W52" i="3"/>
  <c r="V52" i="3"/>
  <c r="U52" i="3"/>
  <c r="T52" i="3"/>
  <c r="S52" i="3"/>
  <c r="R52" i="3"/>
  <c r="Q52" i="3"/>
  <c r="P52" i="3"/>
  <c r="Y51" i="3"/>
  <c r="X51" i="3"/>
  <c r="W51" i="3"/>
  <c r="V51" i="3"/>
  <c r="U51" i="3"/>
  <c r="T51" i="3"/>
  <c r="S51" i="3"/>
  <c r="R51" i="3"/>
  <c r="Q51" i="3"/>
  <c r="P51" i="3"/>
  <c r="Y50" i="3"/>
  <c r="X50" i="3"/>
  <c r="W50" i="3"/>
  <c r="V50" i="3"/>
  <c r="U50" i="3"/>
  <c r="T50" i="3"/>
  <c r="S50" i="3"/>
  <c r="R50" i="3"/>
  <c r="Q50" i="3"/>
  <c r="P50" i="3"/>
  <c r="Y49" i="3"/>
  <c r="X49" i="3"/>
  <c r="W49" i="3"/>
  <c r="V49" i="3"/>
  <c r="U49" i="3"/>
  <c r="T49" i="3"/>
  <c r="S49" i="3"/>
  <c r="R49" i="3"/>
  <c r="Q49" i="3"/>
  <c r="P49" i="3"/>
  <c r="Y48" i="3"/>
  <c r="X48" i="3"/>
  <c r="W48" i="3"/>
  <c r="V48" i="3"/>
  <c r="U48" i="3"/>
  <c r="T48" i="3"/>
  <c r="S48" i="3"/>
  <c r="R48" i="3"/>
  <c r="Q48" i="3"/>
  <c r="P48" i="3"/>
  <c r="Y47" i="3"/>
  <c r="X47" i="3"/>
  <c r="W47" i="3"/>
  <c r="V47" i="3"/>
  <c r="U47" i="3"/>
  <c r="T47" i="3"/>
  <c r="S47" i="3"/>
  <c r="R47" i="3"/>
  <c r="Q47" i="3"/>
  <c r="P47" i="3"/>
  <c r="Y46" i="3"/>
  <c r="X46" i="3"/>
  <c r="W46" i="3"/>
  <c r="V46" i="3"/>
  <c r="U46" i="3"/>
  <c r="T46" i="3"/>
  <c r="S46" i="3"/>
  <c r="R46" i="3"/>
  <c r="Q46" i="3"/>
  <c r="P46" i="3"/>
  <c r="Y45" i="3"/>
  <c r="X45" i="3"/>
  <c r="W45" i="3"/>
  <c r="V45" i="3"/>
  <c r="U45" i="3"/>
  <c r="T45" i="3"/>
  <c r="S45" i="3"/>
  <c r="R45" i="3"/>
  <c r="Q45" i="3"/>
  <c r="P45" i="3"/>
  <c r="Y44" i="3"/>
  <c r="X44" i="3"/>
  <c r="W44" i="3"/>
  <c r="V44" i="3"/>
  <c r="U44" i="3"/>
  <c r="T44" i="3"/>
  <c r="S44" i="3"/>
  <c r="R44" i="3"/>
  <c r="Q44" i="3"/>
  <c r="P44" i="3"/>
  <c r="Y43" i="3"/>
  <c r="X43" i="3"/>
  <c r="W43" i="3"/>
  <c r="V43" i="3"/>
  <c r="U43" i="3"/>
  <c r="T43" i="3"/>
  <c r="S43" i="3"/>
  <c r="R43" i="3"/>
  <c r="Q43" i="3"/>
  <c r="P43" i="3"/>
  <c r="Y42" i="3"/>
  <c r="X42" i="3"/>
  <c r="W42" i="3"/>
  <c r="V42" i="3"/>
  <c r="U42" i="3"/>
  <c r="T42" i="3"/>
  <c r="S42" i="3"/>
  <c r="R42" i="3"/>
  <c r="Q42" i="3"/>
  <c r="P42" i="3"/>
  <c r="Y41" i="3"/>
  <c r="X41" i="3"/>
  <c r="W41" i="3"/>
  <c r="V41" i="3"/>
  <c r="U41" i="3"/>
  <c r="T41" i="3"/>
  <c r="S41" i="3"/>
  <c r="R41" i="3"/>
  <c r="Q41" i="3"/>
  <c r="P41" i="3"/>
  <c r="Y40" i="3"/>
  <c r="X40" i="3"/>
  <c r="W40" i="3"/>
  <c r="V40" i="3"/>
  <c r="U40" i="3"/>
  <c r="T40" i="3"/>
  <c r="S40" i="3"/>
  <c r="R40" i="3"/>
  <c r="Q40" i="3"/>
  <c r="P40" i="3"/>
  <c r="Y39" i="3"/>
  <c r="X39" i="3"/>
  <c r="W39" i="3"/>
  <c r="V39" i="3"/>
  <c r="U39" i="3"/>
  <c r="T39" i="3"/>
  <c r="S39" i="3"/>
  <c r="R39" i="3"/>
  <c r="Q39" i="3"/>
  <c r="P39" i="3"/>
  <c r="Y38" i="3"/>
  <c r="X38" i="3"/>
  <c r="W38" i="3"/>
  <c r="V38" i="3"/>
  <c r="U38" i="3"/>
  <c r="T38" i="3"/>
  <c r="S38" i="3"/>
  <c r="R38" i="3"/>
  <c r="Q38" i="3"/>
  <c r="P38" i="3"/>
  <c r="Y37" i="3"/>
  <c r="X37" i="3"/>
  <c r="W37" i="3"/>
  <c r="V37" i="3"/>
  <c r="U37" i="3"/>
  <c r="T37" i="3"/>
  <c r="S37" i="3"/>
  <c r="R37" i="3"/>
  <c r="Q37" i="3"/>
  <c r="P37" i="3"/>
  <c r="Y36" i="3"/>
  <c r="X36" i="3"/>
  <c r="W36" i="3"/>
  <c r="V36" i="3"/>
  <c r="U36" i="3"/>
  <c r="T36" i="3"/>
  <c r="S36" i="3"/>
  <c r="R36" i="3"/>
  <c r="Q36" i="3"/>
  <c r="P36" i="3"/>
  <c r="Y35" i="3"/>
  <c r="X35" i="3"/>
  <c r="W35" i="3"/>
  <c r="V35" i="3"/>
  <c r="U35" i="3"/>
  <c r="T35" i="3"/>
  <c r="S35" i="3"/>
  <c r="R35" i="3"/>
  <c r="Q35" i="3"/>
  <c r="P35" i="3"/>
  <c r="Y34" i="3"/>
  <c r="X34" i="3"/>
  <c r="W34" i="3"/>
  <c r="V34" i="3"/>
  <c r="U34" i="3"/>
  <c r="T34" i="3"/>
  <c r="S34" i="3"/>
  <c r="R34" i="3"/>
  <c r="Q34" i="3"/>
  <c r="P34" i="3"/>
  <c r="Y33" i="3"/>
  <c r="X33" i="3"/>
  <c r="W33" i="3"/>
  <c r="V33" i="3"/>
  <c r="U33" i="3"/>
  <c r="T33" i="3"/>
  <c r="S33" i="3"/>
  <c r="R33" i="3"/>
  <c r="Q33" i="3"/>
  <c r="P33" i="3"/>
  <c r="Y32" i="3"/>
  <c r="X32" i="3"/>
  <c r="W32" i="3"/>
  <c r="V32" i="3"/>
  <c r="U32" i="3"/>
  <c r="T32" i="3"/>
  <c r="S32" i="3"/>
  <c r="R32" i="3"/>
  <c r="Q32" i="3"/>
  <c r="P32" i="3"/>
  <c r="AC31" i="3"/>
  <c r="AC30" i="3"/>
  <c r="Y30" i="3"/>
  <c r="X30" i="3"/>
  <c r="U30" i="3"/>
  <c r="R30" i="3"/>
  <c r="AC29" i="3"/>
  <c r="AC28" i="3"/>
  <c r="AC27" i="3"/>
  <c r="AC26" i="3"/>
  <c r="AC25" i="3"/>
  <c r="AC24" i="3"/>
  <c r="AC23" i="3"/>
  <c r="AC22" i="3"/>
  <c r="O22" i="3"/>
  <c r="AC21" i="3"/>
  <c r="AC20" i="3"/>
  <c r="O20" i="3"/>
  <c r="AC19" i="3"/>
  <c r="AC18" i="3"/>
  <c r="AC17" i="3"/>
  <c r="AC16" i="3"/>
  <c r="AC15" i="3"/>
  <c r="X15" i="3" a="1"/>
  <c r="X15" i="3"/>
  <c r="W15" i="3" a="1"/>
  <c r="W15" i="3"/>
  <c r="V15" i="3" a="1"/>
  <c r="V15" i="3"/>
  <c r="U15" i="3" a="1"/>
  <c r="U15" i="3"/>
  <c r="T15" i="3" a="1"/>
  <c r="T15" i="3"/>
  <c r="AC14" i="3"/>
  <c r="X14" i="3" a="1"/>
  <c r="X14" i="3"/>
  <c r="W14" i="3" a="1"/>
  <c r="W14" i="3"/>
  <c r="V14" i="3" a="1"/>
  <c r="V14" i="3"/>
  <c r="U14" i="3" a="1"/>
  <c r="U14" i="3"/>
  <c r="T14" i="3" a="1"/>
  <c r="T14" i="3"/>
  <c r="AC13" i="3"/>
  <c r="X13" i="3" a="1"/>
  <c r="X13" i="3"/>
  <c r="W13" i="3" a="1"/>
  <c r="W13" i="3"/>
  <c r="V13" i="3" a="1"/>
  <c r="V13" i="3"/>
  <c r="U13" i="3" a="1"/>
  <c r="U13" i="3"/>
  <c r="T13" i="3" a="1"/>
  <c r="T13" i="3"/>
  <c r="AC12" i="3"/>
  <c r="X12" i="3" a="1"/>
  <c r="X12" i="3"/>
  <c r="W12" i="3" a="1"/>
  <c r="W12" i="3"/>
  <c r="V12" i="3" a="1"/>
  <c r="V12" i="3"/>
  <c r="U12" i="3" a="1"/>
  <c r="U12" i="3"/>
  <c r="T12" i="3" a="1"/>
  <c r="T12" i="3"/>
  <c r="AC11" i="3"/>
  <c r="X11" i="3" a="1"/>
  <c r="X11" i="3"/>
  <c r="W11" i="3" a="1"/>
  <c r="W11" i="3"/>
  <c r="V11" i="3" a="1"/>
  <c r="V11" i="3"/>
  <c r="U11" i="3" a="1"/>
  <c r="U11" i="3"/>
  <c r="T11" i="3" a="1"/>
  <c r="T11" i="3"/>
  <c r="AC10" i="3"/>
  <c r="X10" i="3" a="1"/>
  <c r="X10" i="3"/>
  <c r="W10" i="3" a="1"/>
  <c r="W10" i="3"/>
  <c r="V10" i="3" a="1"/>
  <c r="V10" i="3"/>
  <c r="U10" i="3" a="1"/>
  <c r="U10" i="3"/>
  <c r="T10" i="3" a="1"/>
  <c r="T10" i="3"/>
  <c r="S10" i="3"/>
  <c r="AC9" i="3"/>
  <c r="X9" i="3" a="1"/>
  <c r="X9" i="3"/>
  <c r="W9" i="3" a="1"/>
  <c r="W9" i="3"/>
  <c r="V9" i="3" a="1"/>
  <c r="V9" i="3"/>
  <c r="U9" i="3" a="1"/>
  <c r="U9" i="3"/>
  <c r="T9" i="3" a="1"/>
  <c r="T9" i="3"/>
  <c r="S9" i="3"/>
  <c r="AC8" i="3"/>
  <c r="X8" i="3" a="1"/>
  <c r="X8" i="3"/>
  <c r="W8" i="3" a="1"/>
  <c r="W8" i="3"/>
  <c r="V8" i="3" a="1"/>
  <c r="V8" i="3"/>
  <c r="U8" i="3" a="1"/>
  <c r="U8" i="3"/>
  <c r="T8" i="3" a="1"/>
  <c r="T8" i="3"/>
  <c r="S8" i="3"/>
  <c r="AC7" i="3"/>
  <c r="X7" i="3" a="1"/>
  <c r="X7" i="3"/>
  <c r="W7" i="3" a="1"/>
  <c r="W7" i="3"/>
  <c r="V7" i="3" a="1"/>
  <c r="V7" i="3"/>
  <c r="U7" i="3" a="1"/>
  <c r="U7" i="3"/>
  <c r="T7" i="3" a="1"/>
  <c r="T7" i="3"/>
  <c r="S7" i="3"/>
  <c r="AC6" i="3"/>
  <c r="X6" i="3" a="1"/>
  <c r="X6" i="3"/>
  <c r="W6" i="3" a="1"/>
  <c r="W6" i="3"/>
  <c r="V6" i="3" a="1"/>
  <c r="V6" i="3"/>
  <c r="U6" i="3" a="1"/>
  <c r="U6" i="3"/>
  <c r="T6" i="3" a="1"/>
  <c r="T6" i="3"/>
  <c r="S6" i="3"/>
  <c r="E6" i="3"/>
  <c r="AC5" i="3"/>
  <c r="X5" i="3" a="1"/>
  <c r="X5" i="3"/>
  <c r="W5" i="3" a="1"/>
  <c r="W5" i="3"/>
  <c r="V5" i="3" a="1"/>
  <c r="V5" i="3"/>
  <c r="U5" i="3" a="1"/>
  <c r="U5" i="3"/>
  <c r="T5" i="3" a="1"/>
  <c r="T5" i="3"/>
  <c r="E5" i="3"/>
  <c r="AC4" i="3"/>
  <c r="X4" i="3" a="1"/>
  <c r="X4" i="3"/>
  <c r="W4" i="3" a="1"/>
  <c r="W4" i="3"/>
  <c r="V4" i="3" a="1"/>
  <c r="V4" i="3"/>
  <c r="U4" i="3" a="1"/>
  <c r="U4" i="3"/>
  <c r="T4" i="3" a="1"/>
  <c r="T4" i="3"/>
  <c r="E4" i="3"/>
  <c r="AC3" i="3"/>
  <c r="X3" i="3" a="1"/>
  <c r="X3" i="3"/>
  <c r="W3" i="3" a="1"/>
  <c r="W3" i="3"/>
  <c r="V3" i="3" a="1"/>
  <c r="V3" i="3"/>
  <c r="U3" i="3" a="1"/>
  <c r="U3" i="3"/>
  <c r="T3" i="3" a="1"/>
  <c r="T3" i="3"/>
  <c r="T16" i="3" s="1"/>
  <c r="S3" i="3"/>
  <c r="AC2" i="3"/>
  <c r="T2" i="3"/>
  <c r="S2" i="3"/>
  <c r="AC1" i="3"/>
  <c r="S1" i="3"/>
  <c r="S4" i="3" s="1"/>
  <c r="K203" i="2"/>
  <c r="B203" i="2"/>
  <c r="K202" i="2"/>
  <c r="B202" i="2"/>
  <c r="K201" i="2"/>
  <c r="B201" i="2"/>
  <c r="K200" i="2"/>
  <c r="B200" i="2"/>
  <c r="K199" i="2"/>
  <c r="B199" i="2"/>
  <c r="K198" i="2"/>
  <c r="B198" i="2"/>
  <c r="K197" i="2"/>
  <c r="B197" i="2"/>
  <c r="K196" i="2"/>
  <c r="B196" i="2"/>
  <c r="K195" i="2"/>
  <c r="B195" i="2"/>
  <c r="K194" i="2"/>
  <c r="B194" i="2"/>
  <c r="K193" i="2"/>
  <c r="B193" i="2"/>
  <c r="K192" i="2"/>
  <c r="B192" i="2"/>
  <c r="K191" i="2"/>
  <c r="B191" i="2"/>
  <c r="K190" i="2"/>
  <c r="B190" i="2"/>
  <c r="K189" i="2"/>
  <c r="B189" i="2"/>
  <c r="K188" i="2"/>
  <c r="B188" i="2"/>
  <c r="K187" i="2"/>
  <c r="B187" i="2"/>
  <c r="K186" i="2"/>
  <c r="B186" i="2"/>
  <c r="K185" i="2"/>
  <c r="B185" i="2"/>
  <c r="K184" i="2"/>
  <c r="B184" i="2"/>
  <c r="K183" i="2"/>
  <c r="B183" i="2"/>
  <c r="K182" i="2"/>
  <c r="B182" i="2"/>
  <c r="K181" i="2"/>
  <c r="B181" i="2"/>
  <c r="K180" i="2"/>
  <c r="B180" i="2"/>
  <c r="K179" i="2"/>
  <c r="B179" i="2"/>
  <c r="K178" i="2"/>
  <c r="B178" i="2"/>
  <c r="K177" i="2"/>
  <c r="B177" i="2"/>
  <c r="K176" i="2"/>
  <c r="B176" i="2"/>
  <c r="K175" i="2"/>
  <c r="B175" i="2"/>
  <c r="K174" i="2"/>
  <c r="B174" i="2"/>
  <c r="K173" i="2"/>
  <c r="B173" i="2"/>
  <c r="K172" i="2"/>
  <c r="B172" i="2"/>
  <c r="K171" i="2"/>
  <c r="B171" i="2"/>
  <c r="K170" i="2"/>
  <c r="B170" i="2"/>
  <c r="K169" i="2"/>
  <c r="B169" i="2"/>
  <c r="K168" i="2"/>
  <c r="B168" i="2"/>
  <c r="K167" i="2"/>
  <c r="B167" i="2"/>
  <c r="K166" i="2"/>
  <c r="B166" i="2"/>
  <c r="K165" i="2"/>
  <c r="B165" i="2"/>
  <c r="K164" i="2"/>
  <c r="B164" i="2"/>
  <c r="K163" i="2"/>
  <c r="B163" i="2"/>
  <c r="K162" i="2"/>
  <c r="B162" i="2"/>
  <c r="K161" i="2"/>
  <c r="B161" i="2"/>
  <c r="K160" i="2"/>
  <c r="B160" i="2"/>
  <c r="K159" i="2"/>
  <c r="B159" i="2"/>
  <c r="K158" i="2"/>
  <c r="B158" i="2"/>
  <c r="K157" i="2"/>
  <c r="B157" i="2"/>
  <c r="K156" i="2"/>
  <c r="B156" i="2"/>
  <c r="K155" i="2"/>
  <c r="B155" i="2"/>
  <c r="K154" i="2"/>
  <c r="B154" i="2"/>
  <c r="K153" i="2"/>
  <c r="B153" i="2"/>
  <c r="K152" i="2"/>
  <c r="B152" i="2"/>
  <c r="K151" i="2"/>
  <c r="B151" i="2"/>
  <c r="K150" i="2"/>
  <c r="B150" i="2"/>
  <c r="K149" i="2"/>
  <c r="B149" i="2"/>
  <c r="K148" i="2"/>
  <c r="B148" i="2"/>
  <c r="K147" i="2"/>
  <c r="B147" i="2"/>
  <c r="K146" i="2"/>
  <c r="B146" i="2"/>
  <c r="K145" i="2"/>
  <c r="B145" i="2"/>
  <c r="K144" i="2"/>
  <c r="B144" i="2"/>
  <c r="K143" i="2"/>
  <c r="B143" i="2"/>
  <c r="K142" i="2"/>
  <c r="B142" i="2"/>
  <c r="K141" i="2"/>
  <c r="B141" i="2"/>
  <c r="K140" i="2"/>
  <c r="B140" i="2"/>
  <c r="K139" i="2"/>
  <c r="B139" i="2"/>
  <c r="K138" i="2"/>
  <c r="B138" i="2"/>
  <c r="K137" i="2"/>
  <c r="B137" i="2"/>
  <c r="K136" i="2"/>
  <c r="B136" i="2"/>
  <c r="K135" i="2"/>
  <c r="B135" i="2"/>
  <c r="K134" i="2"/>
  <c r="B134" i="2"/>
  <c r="K133" i="2"/>
  <c r="B133" i="2"/>
  <c r="K132" i="2"/>
  <c r="B132" i="2"/>
  <c r="K131" i="2"/>
  <c r="B131" i="2"/>
  <c r="K130" i="2"/>
  <c r="B130" i="2"/>
  <c r="K129" i="2"/>
  <c r="B129" i="2"/>
  <c r="K128" i="2"/>
  <c r="B128" i="2"/>
  <c r="K127" i="2"/>
  <c r="B127" i="2"/>
  <c r="K126" i="2"/>
  <c r="B126" i="2"/>
  <c r="K125" i="2"/>
  <c r="B125" i="2"/>
  <c r="K124" i="2"/>
  <c r="B124" i="2"/>
  <c r="K123" i="2"/>
  <c r="B123" i="2"/>
  <c r="K122" i="2"/>
  <c r="B122" i="2"/>
  <c r="K121" i="2"/>
  <c r="B121" i="2"/>
  <c r="K120" i="2"/>
  <c r="B120" i="2"/>
  <c r="K119" i="2"/>
  <c r="B119" i="2"/>
  <c r="K118" i="2"/>
  <c r="B118" i="2"/>
  <c r="K117" i="2"/>
  <c r="B117" i="2"/>
  <c r="K116" i="2"/>
  <c r="B116" i="2"/>
  <c r="K115" i="2"/>
  <c r="B115" i="2"/>
  <c r="K114" i="2"/>
  <c r="B114" i="2"/>
  <c r="K113" i="2"/>
  <c r="B113" i="2"/>
  <c r="K112" i="2"/>
  <c r="B112" i="2"/>
  <c r="K111" i="2"/>
  <c r="B111" i="2"/>
  <c r="K110" i="2"/>
  <c r="B110" i="2"/>
  <c r="K109" i="2"/>
  <c r="B109" i="2"/>
  <c r="K108" i="2"/>
  <c r="B108" i="2"/>
  <c r="K107" i="2"/>
  <c r="B107" i="2"/>
  <c r="K106" i="2"/>
  <c r="B106" i="2"/>
  <c r="K105" i="2"/>
  <c r="B105" i="2"/>
  <c r="K104" i="2"/>
  <c r="B104" i="2"/>
  <c r="K103" i="2"/>
  <c r="B103" i="2"/>
  <c r="K102" i="2"/>
  <c r="B102" i="2"/>
  <c r="K101" i="2"/>
  <c r="B101" i="2"/>
  <c r="K100" i="2"/>
  <c r="B100" i="2"/>
  <c r="K99" i="2"/>
  <c r="B99" i="2"/>
  <c r="K98" i="2"/>
  <c r="B98" i="2"/>
  <c r="K97" i="2"/>
  <c r="B97" i="2"/>
  <c r="K96" i="2"/>
  <c r="B96" i="2"/>
  <c r="K95" i="2"/>
  <c r="B95" i="2"/>
  <c r="K94" i="2"/>
  <c r="B94" i="2"/>
  <c r="K93" i="2"/>
  <c r="B93" i="2"/>
  <c r="K92" i="2"/>
  <c r="B92" i="2"/>
  <c r="K91" i="2"/>
  <c r="B91" i="2"/>
  <c r="K90" i="2"/>
  <c r="B90" i="2"/>
  <c r="K89" i="2"/>
  <c r="B89" i="2"/>
  <c r="K88" i="2"/>
  <c r="B88" i="2"/>
  <c r="K87" i="2"/>
  <c r="B87" i="2"/>
  <c r="K86" i="2"/>
  <c r="B86" i="2"/>
  <c r="K85" i="2"/>
  <c r="B85" i="2"/>
  <c r="K84" i="2"/>
  <c r="B84" i="2"/>
  <c r="K83" i="2"/>
  <c r="B83" i="2"/>
  <c r="K82" i="2"/>
  <c r="B82" i="2"/>
  <c r="K81" i="2"/>
  <c r="B81" i="2"/>
  <c r="K80" i="2"/>
  <c r="B80" i="2"/>
  <c r="K79" i="2"/>
  <c r="B79" i="2"/>
  <c r="K78" i="2"/>
  <c r="B78" i="2"/>
  <c r="K77" i="2"/>
  <c r="B77" i="2"/>
  <c r="K76" i="2"/>
  <c r="B76" i="2"/>
  <c r="K75" i="2"/>
  <c r="B75" i="2"/>
  <c r="K74" i="2"/>
  <c r="B74" i="2"/>
  <c r="K73" i="2"/>
  <c r="B73" i="2"/>
  <c r="K72" i="2"/>
  <c r="B72" i="2"/>
  <c r="K71" i="2"/>
  <c r="B71" i="2"/>
  <c r="K70" i="2"/>
  <c r="B70" i="2"/>
  <c r="K69" i="2"/>
  <c r="B69" i="2"/>
  <c r="K68" i="2"/>
  <c r="B68" i="2"/>
  <c r="K67" i="2"/>
  <c r="B67" i="2"/>
  <c r="K66" i="2"/>
  <c r="B66" i="2"/>
  <c r="K65" i="2"/>
  <c r="B65" i="2"/>
  <c r="K64" i="2"/>
  <c r="B64" i="2"/>
  <c r="K63" i="2"/>
  <c r="B63" i="2"/>
  <c r="K62" i="2"/>
  <c r="B62" i="2"/>
  <c r="K61" i="2"/>
  <c r="B61" i="2"/>
  <c r="K60" i="2"/>
  <c r="B60" i="2"/>
  <c r="K59" i="2"/>
  <c r="B59" i="2"/>
  <c r="K58" i="2"/>
  <c r="B58" i="2"/>
  <c r="K57" i="2"/>
  <c r="B57" i="2"/>
  <c r="K56" i="2"/>
  <c r="B56" i="2"/>
  <c r="K55" i="2"/>
  <c r="B55" i="2"/>
  <c r="K54" i="2"/>
  <c r="B54" i="2"/>
  <c r="K53" i="2"/>
  <c r="B53" i="2"/>
  <c r="K52" i="2"/>
  <c r="B52" i="2"/>
  <c r="K51" i="2"/>
  <c r="B51" i="2"/>
  <c r="K50" i="2"/>
  <c r="B50" i="2"/>
  <c r="K49" i="2"/>
  <c r="B49" i="2"/>
  <c r="K48" i="2"/>
  <c r="B48" i="2"/>
  <c r="K47" i="2"/>
  <c r="B47" i="2"/>
  <c r="K46" i="2"/>
  <c r="B46" i="2"/>
  <c r="K45" i="2"/>
  <c r="B45" i="2"/>
  <c r="K44" i="2"/>
  <c r="B44" i="2"/>
  <c r="K43" i="2"/>
  <c r="B43" i="2"/>
  <c r="K42" i="2"/>
  <c r="B42" i="2"/>
  <c r="K41" i="2"/>
  <c r="B41" i="2"/>
  <c r="K40" i="2"/>
  <c r="B40" i="2"/>
  <c r="K39" i="2"/>
  <c r="B39" i="2"/>
  <c r="K38" i="2"/>
  <c r="B38" i="2"/>
  <c r="K37" i="2"/>
  <c r="B37" i="2"/>
  <c r="K36" i="2"/>
  <c r="B36" i="2"/>
  <c r="K35" i="2"/>
  <c r="B35" i="2"/>
  <c r="K34" i="2"/>
  <c r="B34" i="2"/>
  <c r="K33" i="2"/>
  <c r="B33" i="2"/>
  <c r="K32" i="2"/>
  <c r="B32" i="2"/>
  <c r="K31" i="2"/>
  <c r="B31" i="2"/>
  <c r="K30" i="2"/>
  <c r="B30" i="2"/>
  <c r="K29" i="2"/>
  <c r="B29" i="2"/>
  <c r="K28" i="2"/>
  <c r="B28" i="2"/>
  <c r="K27" i="2"/>
  <c r="B27" i="2"/>
  <c r="P11" i="2" a="1"/>
  <c r="P11" i="2"/>
  <c r="M11" i="2"/>
  <c r="B10" i="2"/>
  <c r="N8" i="2"/>
  <c r="M8" i="2"/>
  <c r="AJ196" i="1"/>
  <c r="AF196" i="1"/>
  <c r="AE196" i="1"/>
  <c r="AC196" i="1"/>
  <c r="K196" i="1"/>
  <c r="J196" i="1"/>
  <c r="F196" i="1"/>
  <c r="D196" i="1"/>
  <c r="B196" i="1"/>
  <c r="AA194" i="1"/>
  <c r="Y194" i="1"/>
  <c r="W194" i="1" a="1"/>
  <c r="W194" i="1"/>
  <c r="T194" i="1"/>
  <c r="Z194" i="1" s="1"/>
  <c r="R194" i="1" a="1"/>
  <c r="R194" i="1"/>
  <c r="S194" i="1" s="1"/>
  <c r="H194" i="1"/>
  <c r="AA193" i="1"/>
  <c r="Y193" i="1"/>
  <c r="W193" i="1" a="1"/>
  <c r="W193" i="1"/>
  <c r="T193" i="1"/>
  <c r="Z193" i="1" s="1"/>
  <c r="R193" i="1" a="1"/>
  <c r="R193" i="1"/>
  <c r="S193" i="1" s="1"/>
  <c r="H193" i="1"/>
  <c r="AA192" i="1"/>
  <c r="Y192" i="1"/>
  <c r="W192" i="1" a="1"/>
  <c r="W192" i="1"/>
  <c r="T192" i="1"/>
  <c r="Z192" i="1" s="1"/>
  <c r="R192" i="1" a="1"/>
  <c r="R192" i="1"/>
  <c r="S192" i="1" s="1"/>
  <c r="H192" i="1"/>
  <c r="AA191" i="1"/>
  <c r="Y191" i="1"/>
  <c r="W191" i="1" a="1"/>
  <c r="W191" i="1"/>
  <c r="T191" i="1"/>
  <c r="Z191" i="1" s="1"/>
  <c r="R191" i="1" a="1"/>
  <c r="R191" i="1"/>
  <c r="S191" i="1" s="1"/>
  <c r="H191" i="1"/>
  <c r="AA190" i="1"/>
  <c r="Y190" i="1"/>
  <c r="W190" i="1" a="1"/>
  <c r="W190" i="1"/>
  <c r="T190" i="1"/>
  <c r="Z190" i="1" s="1"/>
  <c r="R190" i="1" a="1"/>
  <c r="R190" i="1"/>
  <c r="S190" i="1" s="1"/>
  <c r="H190" i="1"/>
  <c r="AA189" i="1"/>
  <c r="Y189" i="1"/>
  <c r="W189" i="1" a="1"/>
  <c r="W189" i="1"/>
  <c r="T189" i="1"/>
  <c r="Z189" i="1" s="1"/>
  <c r="R189" i="1" a="1"/>
  <c r="R189" i="1"/>
  <c r="S189" i="1" s="1"/>
  <c r="H189" i="1"/>
  <c r="AA188" i="1"/>
  <c r="Y188" i="1"/>
  <c r="W188" i="1" a="1"/>
  <c r="W188" i="1"/>
  <c r="T188" i="1"/>
  <c r="Z188" i="1" s="1"/>
  <c r="R188" i="1" a="1"/>
  <c r="R188" i="1"/>
  <c r="S188" i="1" s="1"/>
  <c r="H188" i="1"/>
  <c r="AA187" i="1"/>
  <c r="Y187" i="1"/>
  <c r="W187" i="1" a="1"/>
  <c r="W187" i="1"/>
  <c r="T187" i="1"/>
  <c r="Z187" i="1" s="1"/>
  <c r="R187" i="1" a="1"/>
  <c r="R187" i="1"/>
  <c r="S187" i="1" s="1"/>
  <c r="H187" i="1"/>
  <c r="AA186" i="1"/>
  <c r="Y186" i="1"/>
  <c r="W186" i="1" a="1"/>
  <c r="W186" i="1"/>
  <c r="T186" i="1"/>
  <c r="Z186" i="1" s="1"/>
  <c r="R186" i="1" a="1"/>
  <c r="R186" i="1"/>
  <c r="S186" i="1" s="1"/>
  <c r="H186" i="1"/>
  <c r="AA185" i="1"/>
  <c r="Y185" i="1"/>
  <c r="W185" i="1" a="1"/>
  <c r="W185" i="1"/>
  <c r="T185" i="1"/>
  <c r="Z185" i="1" s="1"/>
  <c r="R185" i="1" a="1"/>
  <c r="R185" i="1"/>
  <c r="S185" i="1" s="1"/>
  <c r="H185" i="1"/>
  <c r="AA184" i="1"/>
  <c r="Y184" i="1"/>
  <c r="W184" i="1" a="1"/>
  <c r="W184" i="1"/>
  <c r="T184" i="1"/>
  <c r="Z184" i="1" s="1"/>
  <c r="R184" i="1" a="1"/>
  <c r="R184" i="1"/>
  <c r="S184" i="1" s="1"/>
  <c r="H184" i="1"/>
  <c r="AA183" i="1"/>
  <c r="Y183" i="1"/>
  <c r="W183" i="1" a="1"/>
  <c r="W183" i="1"/>
  <c r="T183" i="1"/>
  <c r="Z183" i="1" s="1"/>
  <c r="R183" i="1" a="1"/>
  <c r="R183" i="1"/>
  <c r="S183" i="1" s="1"/>
  <c r="H183" i="1"/>
  <c r="AA182" i="1"/>
  <c r="Y182" i="1"/>
  <c r="W182" i="1" a="1"/>
  <c r="W182" i="1"/>
  <c r="T182" i="1"/>
  <c r="Z182" i="1" s="1"/>
  <c r="R182" i="1" a="1"/>
  <c r="R182" i="1"/>
  <c r="S182" i="1" s="1"/>
  <c r="H182" i="1"/>
  <c r="AA181" i="1"/>
  <c r="Y181" i="1"/>
  <c r="W181" i="1" a="1"/>
  <c r="W181" i="1"/>
  <c r="T181" i="1"/>
  <c r="Z181" i="1" s="1"/>
  <c r="R181" i="1" a="1"/>
  <c r="R181" i="1"/>
  <c r="S181" i="1" s="1"/>
  <c r="H181" i="1"/>
  <c r="AA180" i="1"/>
  <c r="Y180" i="1"/>
  <c r="W180" i="1" a="1"/>
  <c r="W180" i="1"/>
  <c r="T180" i="1"/>
  <c r="Z180" i="1" s="1"/>
  <c r="R180" i="1" a="1"/>
  <c r="R180" i="1"/>
  <c r="S180" i="1" s="1"/>
  <c r="H180" i="1"/>
  <c r="AA179" i="1"/>
  <c r="Y179" i="1"/>
  <c r="W179" i="1" a="1"/>
  <c r="W179" i="1"/>
  <c r="T179" i="1"/>
  <c r="Z179" i="1" s="1"/>
  <c r="R179" i="1" a="1"/>
  <c r="R179" i="1"/>
  <c r="S179" i="1" s="1"/>
  <c r="H179" i="1"/>
  <c r="AA178" i="1"/>
  <c r="Y178" i="1"/>
  <c r="W178" i="1" a="1"/>
  <c r="W178" i="1"/>
  <c r="T178" i="1"/>
  <c r="Z178" i="1" s="1"/>
  <c r="R178" i="1" a="1"/>
  <c r="R178" i="1"/>
  <c r="S178" i="1" s="1"/>
  <c r="H178" i="1"/>
  <c r="AA177" i="1"/>
  <c r="Y177" i="1"/>
  <c r="W177" i="1" a="1"/>
  <c r="W177" i="1"/>
  <c r="T177" i="1"/>
  <c r="Z177" i="1" s="1"/>
  <c r="R177" i="1" a="1"/>
  <c r="R177" i="1"/>
  <c r="S177" i="1" s="1"/>
  <c r="H177" i="1"/>
  <c r="AA176" i="1"/>
  <c r="Y176" i="1"/>
  <c r="W176" i="1" a="1"/>
  <c r="W176" i="1"/>
  <c r="T176" i="1"/>
  <c r="Z176" i="1" s="1"/>
  <c r="R176" i="1" a="1"/>
  <c r="R176" i="1"/>
  <c r="S176" i="1" s="1"/>
  <c r="H176" i="1"/>
  <c r="AA175" i="1"/>
  <c r="Y175" i="1"/>
  <c r="W175" i="1" a="1"/>
  <c r="W175" i="1"/>
  <c r="T175" i="1"/>
  <c r="Z175" i="1" s="1"/>
  <c r="R175" i="1" a="1"/>
  <c r="R175" i="1"/>
  <c r="S175" i="1" s="1"/>
  <c r="H175" i="1"/>
  <c r="AA174" i="1"/>
  <c r="Y174" i="1"/>
  <c r="W174" i="1" a="1"/>
  <c r="W174" i="1"/>
  <c r="T174" i="1"/>
  <c r="Z174" i="1" s="1"/>
  <c r="R174" i="1" a="1"/>
  <c r="R174" i="1"/>
  <c r="S174" i="1" s="1"/>
  <c r="H174" i="1"/>
  <c r="AA173" i="1"/>
  <c r="Y173" i="1"/>
  <c r="W173" i="1" a="1"/>
  <c r="W173" i="1"/>
  <c r="T173" i="1"/>
  <c r="Z173" i="1" s="1"/>
  <c r="R173" i="1" a="1"/>
  <c r="R173" i="1"/>
  <c r="S173" i="1" s="1"/>
  <c r="H173" i="1"/>
  <c r="AA172" i="1"/>
  <c r="Y172" i="1"/>
  <c r="W172" i="1" a="1"/>
  <c r="W172" i="1"/>
  <c r="T172" i="1"/>
  <c r="Z172" i="1" s="1"/>
  <c r="R172" i="1" a="1"/>
  <c r="R172" i="1"/>
  <c r="S172" i="1" s="1"/>
  <c r="H172" i="1"/>
  <c r="AA171" i="1"/>
  <c r="Y171" i="1"/>
  <c r="W171" i="1" a="1"/>
  <c r="W171" i="1"/>
  <c r="T171" i="1"/>
  <c r="Z171" i="1" s="1"/>
  <c r="R171" i="1" a="1"/>
  <c r="R171" i="1"/>
  <c r="S171" i="1" s="1"/>
  <c r="H171" i="1"/>
  <c r="AA170" i="1"/>
  <c r="Y170" i="1"/>
  <c r="W170" i="1" a="1"/>
  <c r="W170" i="1"/>
  <c r="T170" i="1"/>
  <c r="Z170" i="1" s="1"/>
  <c r="R170" i="1" a="1"/>
  <c r="R170" i="1"/>
  <c r="S170" i="1" s="1"/>
  <c r="H170" i="1"/>
  <c r="AA169" i="1"/>
  <c r="Y169" i="1"/>
  <c r="W169" i="1" a="1"/>
  <c r="W169" i="1"/>
  <c r="T169" i="1"/>
  <c r="Z169" i="1" s="1"/>
  <c r="R169" i="1" a="1"/>
  <c r="R169" i="1"/>
  <c r="S169" i="1" s="1"/>
  <c r="H169" i="1"/>
  <c r="AA168" i="1"/>
  <c r="Y168" i="1"/>
  <c r="W168" i="1" a="1"/>
  <c r="W168" i="1"/>
  <c r="T168" i="1"/>
  <c r="Z168" i="1" s="1"/>
  <c r="R168" i="1" a="1"/>
  <c r="R168" i="1"/>
  <c r="S168" i="1" s="1"/>
  <c r="H168" i="1"/>
  <c r="AA167" i="1"/>
  <c r="Y167" i="1"/>
  <c r="W167" i="1" a="1"/>
  <c r="W167" i="1"/>
  <c r="T167" i="1"/>
  <c r="Z167" i="1" s="1"/>
  <c r="R167" i="1" a="1"/>
  <c r="R167" i="1"/>
  <c r="S167" i="1" s="1"/>
  <c r="H167" i="1"/>
  <c r="AA166" i="1"/>
  <c r="Y166" i="1"/>
  <c r="W166" i="1" a="1"/>
  <c r="W166" i="1"/>
  <c r="T166" i="1"/>
  <c r="Z166" i="1" s="1"/>
  <c r="R166" i="1" a="1"/>
  <c r="R166" i="1"/>
  <c r="S166" i="1" s="1"/>
  <c r="H166" i="1"/>
  <c r="AA165" i="1"/>
  <c r="Y165" i="1"/>
  <c r="W165" i="1" a="1"/>
  <c r="W165" i="1"/>
  <c r="T165" i="1"/>
  <c r="Z165" i="1" s="1"/>
  <c r="R165" i="1" a="1"/>
  <c r="R165" i="1"/>
  <c r="S165" i="1" s="1"/>
  <c r="H165" i="1"/>
  <c r="AA164" i="1"/>
  <c r="Y164" i="1"/>
  <c r="W164" i="1" a="1"/>
  <c r="W164" i="1"/>
  <c r="T164" i="1"/>
  <c r="Z164" i="1" s="1"/>
  <c r="R164" i="1" a="1"/>
  <c r="R164" i="1"/>
  <c r="S164" i="1" s="1"/>
  <c r="H164" i="1"/>
  <c r="AA163" i="1"/>
  <c r="Y163" i="1"/>
  <c r="W163" i="1" a="1"/>
  <c r="W163" i="1"/>
  <c r="T163" i="1"/>
  <c r="Z163" i="1" s="1"/>
  <c r="R163" i="1" a="1"/>
  <c r="R163" i="1"/>
  <c r="S163" i="1" s="1"/>
  <c r="H163" i="1"/>
  <c r="AA162" i="1"/>
  <c r="Y162" i="1"/>
  <c r="W162" i="1" a="1"/>
  <c r="W162" i="1"/>
  <c r="T162" i="1"/>
  <c r="Z162" i="1" s="1"/>
  <c r="R162" i="1" a="1"/>
  <c r="R162" i="1"/>
  <c r="S162" i="1" s="1"/>
  <c r="H162" i="1"/>
  <c r="AA161" i="1"/>
  <c r="Y161" i="1"/>
  <c r="W161" i="1" a="1"/>
  <c r="W161" i="1"/>
  <c r="T161" i="1"/>
  <c r="Z161" i="1" s="1"/>
  <c r="R161" i="1" a="1"/>
  <c r="R161" i="1"/>
  <c r="S161" i="1" s="1"/>
  <c r="H161" i="1"/>
  <c r="AA160" i="1"/>
  <c r="Y160" i="1"/>
  <c r="W160" i="1" a="1"/>
  <c r="W160" i="1"/>
  <c r="T160" i="1"/>
  <c r="Z160" i="1" s="1"/>
  <c r="R160" i="1" a="1"/>
  <c r="R160" i="1"/>
  <c r="S160" i="1" s="1"/>
  <c r="H160" i="1"/>
  <c r="AA159" i="1"/>
  <c r="Y159" i="1"/>
  <c r="W159" i="1" a="1"/>
  <c r="W159" i="1"/>
  <c r="T159" i="1"/>
  <c r="Z159" i="1" s="1"/>
  <c r="R159" i="1" a="1"/>
  <c r="R159" i="1"/>
  <c r="S159" i="1" s="1"/>
  <c r="H159" i="1"/>
  <c r="AA158" i="1"/>
  <c r="Y158" i="1"/>
  <c r="W158" i="1" a="1"/>
  <c r="W158" i="1"/>
  <c r="T158" i="1"/>
  <c r="Z158" i="1" s="1"/>
  <c r="R158" i="1" a="1"/>
  <c r="R158" i="1"/>
  <c r="S158" i="1" s="1"/>
  <c r="H158" i="1"/>
  <c r="AA157" i="1"/>
  <c r="Y157" i="1"/>
  <c r="W157" i="1" a="1"/>
  <c r="W157" i="1"/>
  <c r="T157" i="1"/>
  <c r="Z157" i="1" s="1"/>
  <c r="R157" i="1" a="1"/>
  <c r="R157" i="1"/>
  <c r="S157" i="1" s="1"/>
  <c r="H157" i="1"/>
  <c r="AA156" i="1"/>
  <c r="Y156" i="1"/>
  <c r="W156" i="1" a="1"/>
  <c r="W156" i="1"/>
  <c r="T156" i="1"/>
  <c r="Z156" i="1" s="1"/>
  <c r="R156" i="1" a="1"/>
  <c r="R156" i="1"/>
  <c r="S156" i="1" s="1"/>
  <c r="H156" i="1"/>
  <c r="AA155" i="1"/>
  <c r="Y155" i="1"/>
  <c r="W155" i="1" a="1"/>
  <c r="W155" i="1"/>
  <c r="T155" i="1"/>
  <c r="Z155" i="1" s="1"/>
  <c r="R155" i="1" a="1"/>
  <c r="R155" i="1"/>
  <c r="S155" i="1" s="1"/>
  <c r="H155" i="1"/>
  <c r="AA154" i="1"/>
  <c r="Y154" i="1"/>
  <c r="W154" i="1" a="1"/>
  <c r="W154" i="1"/>
  <c r="T154" i="1"/>
  <c r="Z154" i="1" s="1"/>
  <c r="R154" i="1" a="1"/>
  <c r="R154" i="1"/>
  <c r="S154" i="1" s="1"/>
  <c r="H154" i="1"/>
  <c r="AA153" i="1"/>
  <c r="Y153" i="1"/>
  <c r="W153" i="1" a="1"/>
  <c r="W153" i="1"/>
  <c r="T153" i="1"/>
  <c r="Z153" i="1" s="1"/>
  <c r="R153" i="1" a="1"/>
  <c r="R153" i="1"/>
  <c r="S153" i="1" s="1"/>
  <c r="H153" i="1"/>
  <c r="AA152" i="1"/>
  <c r="Y152" i="1"/>
  <c r="W152" i="1" a="1"/>
  <c r="W152" i="1"/>
  <c r="T152" i="1"/>
  <c r="Z152" i="1" s="1"/>
  <c r="R152" i="1" a="1"/>
  <c r="R152" i="1"/>
  <c r="S152" i="1" s="1"/>
  <c r="H152" i="1"/>
  <c r="AA151" i="1"/>
  <c r="Y151" i="1"/>
  <c r="W151" i="1" a="1"/>
  <c r="W151" i="1"/>
  <c r="T151" i="1"/>
  <c r="Z151" i="1" s="1"/>
  <c r="R151" i="1" a="1"/>
  <c r="R151" i="1"/>
  <c r="S151" i="1" s="1"/>
  <c r="H151" i="1"/>
  <c r="AA150" i="1"/>
  <c r="Y150" i="1"/>
  <c r="W150" i="1" a="1"/>
  <c r="W150" i="1"/>
  <c r="T150" i="1"/>
  <c r="Z150" i="1" s="1"/>
  <c r="R150" i="1" a="1"/>
  <c r="R150" i="1"/>
  <c r="S150" i="1" s="1"/>
  <c r="H150" i="1"/>
  <c r="AA149" i="1"/>
  <c r="Y149" i="1"/>
  <c r="W149" i="1" a="1"/>
  <c r="W149" i="1"/>
  <c r="T149" i="1"/>
  <c r="Z149" i="1" s="1"/>
  <c r="R149" i="1" a="1"/>
  <c r="R149" i="1"/>
  <c r="S149" i="1" s="1"/>
  <c r="H149" i="1"/>
  <c r="AA148" i="1"/>
  <c r="Y148" i="1"/>
  <c r="W148" i="1" a="1"/>
  <c r="W148" i="1"/>
  <c r="T148" i="1"/>
  <c r="Z148" i="1" s="1"/>
  <c r="R148" i="1" a="1"/>
  <c r="R148" i="1"/>
  <c r="S148" i="1" s="1"/>
  <c r="H148" i="1"/>
  <c r="AA147" i="1"/>
  <c r="Y147" i="1"/>
  <c r="W147" i="1" a="1"/>
  <c r="W147" i="1"/>
  <c r="T147" i="1"/>
  <c r="Z147" i="1" s="1"/>
  <c r="R147" i="1" a="1"/>
  <c r="R147" i="1"/>
  <c r="S147" i="1" s="1"/>
  <c r="H147" i="1"/>
  <c r="AA146" i="1"/>
  <c r="Y146" i="1"/>
  <c r="W146" i="1" a="1"/>
  <c r="W146" i="1"/>
  <c r="T146" i="1"/>
  <c r="Z146" i="1" s="1"/>
  <c r="R146" i="1" a="1"/>
  <c r="R146" i="1"/>
  <c r="S146" i="1" s="1"/>
  <c r="H146" i="1"/>
  <c r="AA145" i="1"/>
  <c r="Y145" i="1"/>
  <c r="W145" i="1" a="1"/>
  <c r="W145" i="1"/>
  <c r="T145" i="1"/>
  <c r="Z145" i="1" s="1"/>
  <c r="R145" i="1" a="1"/>
  <c r="R145" i="1"/>
  <c r="S145" i="1" s="1"/>
  <c r="H145" i="1"/>
  <c r="AA144" i="1"/>
  <c r="Y144" i="1"/>
  <c r="W144" i="1" a="1"/>
  <c r="W144" i="1"/>
  <c r="T144" i="1"/>
  <c r="Z144" i="1" s="1"/>
  <c r="R144" i="1" a="1"/>
  <c r="R144" i="1"/>
  <c r="S144" i="1" s="1"/>
  <c r="H144" i="1"/>
  <c r="AA143" i="1"/>
  <c r="Y143" i="1"/>
  <c r="W143" i="1" a="1"/>
  <c r="W143" i="1"/>
  <c r="T143" i="1"/>
  <c r="Z143" i="1" s="1"/>
  <c r="R143" i="1" a="1"/>
  <c r="R143" i="1"/>
  <c r="S143" i="1" s="1"/>
  <c r="H143" i="1"/>
  <c r="AA142" i="1"/>
  <c r="Y142" i="1"/>
  <c r="W142" i="1" a="1"/>
  <c r="W142" i="1"/>
  <c r="T142" i="1"/>
  <c r="Z142" i="1" s="1"/>
  <c r="R142" i="1" a="1"/>
  <c r="R142" i="1"/>
  <c r="S142" i="1" s="1"/>
  <c r="H142" i="1"/>
  <c r="AA141" i="1"/>
  <c r="Y141" i="1"/>
  <c r="W141" i="1" a="1"/>
  <c r="W141" i="1"/>
  <c r="T141" i="1"/>
  <c r="Z141" i="1" s="1"/>
  <c r="R141" i="1" a="1"/>
  <c r="R141" i="1"/>
  <c r="S141" i="1" s="1"/>
  <c r="H141" i="1"/>
  <c r="AA140" i="1"/>
  <c r="Y140" i="1"/>
  <c r="W140" i="1" a="1"/>
  <c r="W140" i="1"/>
  <c r="T140" i="1"/>
  <c r="Z140" i="1" s="1"/>
  <c r="R140" i="1" a="1"/>
  <c r="R140" i="1"/>
  <c r="S140" i="1" s="1"/>
  <c r="H140" i="1"/>
  <c r="AA139" i="1"/>
  <c r="Y139" i="1"/>
  <c r="W139" i="1" a="1"/>
  <c r="W139" i="1"/>
  <c r="T139" i="1"/>
  <c r="Z139" i="1" s="1"/>
  <c r="R139" i="1" a="1"/>
  <c r="R139" i="1"/>
  <c r="S139" i="1" s="1"/>
  <c r="H139" i="1"/>
  <c r="AA138" i="1"/>
  <c r="Y138" i="1"/>
  <c r="W138" i="1" a="1"/>
  <c r="W138" i="1"/>
  <c r="T138" i="1"/>
  <c r="Z138" i="1" s="1"/>
  <c r="R138" i="1" a="1"/>
  <c r="R138" i="1"/>
  <c r="S138" i="1" s="1"/>
  <c r="H138" i="1"/>
  <c r="AA137" i="1"/>
  <c r="Y137" i="1"/>
  <c r="W137" i="1" a="1"/>
  <c r="W137" i="1"/>
  <c r="T137" i="1"/>
  <c r="Z137" i="1" s="1"/>
  <c r="R137" i="1" a="1"/>
  <c r="R137" i="1"/>
  <c r="S137" i="1" s="1"/>
  <c r="H137" i="1"/>
  <c r="AA136" i="1"/>
  <c r="Y136" i="1"/>
  <c r="W136" i="1" a="1"/>
  <c r="W136" i="1"/>
  <c r="T136" i="1"/>
  <c r="Z136" i="1" s="1"/>
  <c r="R136" i="1" a="1"/>
  <c r="R136" i="1"/>
  <c r="S136" i="1" s="1"/>
  <c r="H136" i="1"/>
  <c r="AA135" i="1"/>
  <c r="Y135" i="1"/>
  <c r="W135" i="1" a="1"/>
  <c r="W135" i="1"/>
  <c r="T135" i="1"/>
  <c r="Z135" i="1" s="1"/>
  <c r="R135" i="1" a="1"/>
  <c r="R135" i="1"/>
  <c r="S135" i="1" s="1"/>
  <c r="H135" i="1"/>
  <c r="AA134" i="1"/>
  <c r="Y134" i="1"/>
  <c r="W134" i="1" a="1"/>
  <c r="W134" i="1"/>
  <c r="T134" i="1"/>
  <c r="Z134" i="1" s="1"/>
  <c r="R134" i="1" a="1"/>
  <c r="R134" i="1"/>
  <c r="S134" i="1" s="1"/>
  <c r="H134" i="1"/>
  <c r="AA133" i="1"/>
  <c r="Y133" i="1"/>
  <c r="W133" i="1" a="1"/>
  <c r="W133" i="1"/>
  <c r="T133" i="1"/>
  <c r="Z133" i="1" s="1"/>
  <c r="R133" i="1" a="1"/>
  <c r="R133" i="1"/>
  <c r="S133" i="1" s="1"/>
  <c r="H133" i="1"/>
  <c r="AA132" i="1"/>
  <c r="Y132" i="1"/>
  <c r="W132" i="1" a="1"/>
  <c r="W132" i="1"/>
  <c r="T132" i="1"/>
  <c r="Z132" i="1" s="1"/>
  <c r="R132" i="1" a="1"/>
  <c r="R132" i="1"/>
  <c r="S132" i="1" s="1"/>
  <c r="H132" i="1"/>
  <c r="AA131" i="1"/>
  <c r="Y131" i="1"/>
  <c r="W131" i="1" a="1"/>
  <c r="W131" i="1"/>
  <c r="T131" i="1"/>
  <c r="Z131" i="1" s="1"/>
  <c r="R131" i="1" a="1"/>
  <c r="R131" i="1"/>
  <c r="S131" i="1" s="1"/>
  <c r="H131" i="1"/>
  <c r="AA130" i="1"/>
  <c r="Y130" i="1"/>
  <c r="W130" i="1" a="1"/>
  <c r="W130" i="1"/>
  <c r="T130" i="1"/>
  <c r="Z130" i="1" s="1"/>
  <c r="R130" i="1" a="1"/>
  <c r="R130" i="1"/>
  <c r="S130" i="1" s="1"/>
  <c r="H130" i="1"/>
  <c r="AA129" i="1"/>
  <c r="Y129" i="1"/>
  <c r="W129" i="1" a="1"/>
  <c r="W129" i="1"/>
  <c r="T129" i="1"/>
  <c r="Z129" i="1" s="1"/>
  <c r="R129" i="1" a="1"/>
  <c r="R129" i="1"/>
  <c r="S129" i="1" s="1"/>
  <c r="H129" i="1"/>
  <c r="AA128" i="1"/>
  <c r="Y128" i="1"/>
  <c r="W128" i="1" a="1"/>
  <c r="W128" i="1"/>
  <c r="T128" i="1"/>
  <c r="Z128" i="1" s="1"/>
  <c r="R128" i="1" a="1"/>
  <c r="R128" i="1"/>
  <c r="S128" i="1" s="1"/>
  <c r="H128" i="1"/>
  <c r="AA127" i="1"/>
  <c r="Y127" i="1"/>
  <c r="W127" i="1" a="1"/>
  <c r="W127" i="1"/>
  <c r="T127" i="1"/>
  <c r="Z127" i="1" s="1"/>
  <c r="R127" i="1" a="1"/>
  <c r="R127" i="1"/>
  <c r="S127" i="1" s="1"/>
  <c r="H127" i="1"/>
  <c r="AA126" i="1"/>
  <c r="Y126" i="1"/>
  <c r="W126" i="1" a="1"/>
  <c r="W126" i="1"/>
  <c r="T126" i="1"/>
  <c r="Z126" i="1" s="1"/>
  <c r="R126" i="1" a="1"/>
  <c r="R126" i="1"/>
  <c r="S126" i="1" s="1"/>
  <c r="H126" i="1"/>
  <c r="AA125" i="1"/>
  <c r="Y125" i="1"/>
  <c r="W125" i="1" a="1"/>
  <c r="W125" i="1"/>
  <c r="T125" i="1"/>
  <c r="Z125" i="1" s="1"/>
  <c r="R125" i="1" a="1"/>
  <c r="R125" i="1"/>
  <c r="S125" i="1" s="1"/>
  <c r="H125" i="1"/>
  <c r="AA124" i="1"/>
  <c r="Y124" i="1"/>
  <c r="W124" i="1" a="1"/>
  <c r="W124" i="1"/>
  <c r="T124" i="1"/>
  <c r="Z124" i="1" s="1"/>
  <c r="R124" i="1" a="1"/>
  <c r="R124" i="1"/>
  <c r="S124" i="1" s="1"/>
  <c r="H124" i="1"/>
  <c r="AA123" i="1"/>
  <c r="Y123" i="1"/>
  <c r="W123" i="1" a="1"/>
  <c r="W123" i="1"/>
  <c r="T123" i="1"/>
  <c r="Z123" i="1" s="1"/>
  <c r="R123" i="1" a="1"/>
  <c r="R123" i="1"/>
  <c r="S123" i="1" s="1"/>
  <c r="H123" i="1"/>
  <c r="AA122" i="1"/>
  <c r="Y122" i="1"/>
  <c r="W122" i="1" a="1"/>
  <c r="W122" i="1"/>
  <c r="T122" i="1"/>
  <c r="Z122" i="1" s="1"/>
  <c r="R122" i="1" a="1"/>
  <c r="R122" i="1"/>
  <c r="S122" i="1" s="1"/>
  <c r="H122" i="1"/>
  <c r="AA121" i="1"/>
  <c r="Y121" i="1"/>
  <c r="W121" i="1" a="1"/>
  <c r="W121" i="1"/>
  <c r="T121" i="1"/>
  <c r="Z121" i="1" s="1"/>
  <c r="R121" i="1" a="1"/>
  <c r="R121" i="1"/>
  <c r="S121" i="1" s="1"/>
  <c r="H121" i="1"/>
  <c r="AA120" i="1"/>
  <c r="Y120" i="1"/>
  <c r="W120" i="1" a="1"/>
  <c r="W120" i="1"/>
  <c r="T120" i="1"/>
  <c r="Z120" i="1" s="1"/>
  <c r="R120" i="1" a="1"/>
  <c r="R120" i="1"/>
  <c r="S120" i="1" s="1"/>
  <c r="H120" i="1"/>
  <c r="AA119" i="1"/>
  <c r="Y119" i="1"/>
  <c r="W119" i="1" a="1"/>
  <c r="W119" i="1"/>
  <c r="T119" i="1"/>
  <c r="Z119" i="1" s="1"/>
  <c r="R119" i="1" a="1"/>
  <c r="R119" i="1"/>
  <c r="S119" i="1" s="1"/>
  <c r="H119" i="1"/>
  <c r="AA118" i="1"/>
  <c r="Y118" i="1"/>
  <c r="W118" i="1" a="1"/>
  <c r="W118" i="1"/>
  <c r="T118" i="1"/>
  <c r="Z118" i="1" s="1"/>
  <c r="R118" i="1" a="1"/>
  <c r="R118" i="1"/>
  <c r="S118" i="1" s="1"/>
  <c r="H118" i="1"/>
  <c r="AA117" i="1"/>
  <c r="Y117" i="1"/>
  <c r="W117" i="1" a="1"/>
  <c r="W117" i="1"/>
  <c r="T117" i="1"/>
  <c r="Z117" i="1" s="1"/>
  <c r="R117" i="1" a="1"/>
  <c r="R117" i="1"/>
  <c r="S117" i="1" s="1"/>
  <c r="H117" i="1"/>
  <c r="AA116" i="1"/>
  <c r="Y116" i="1"/>
  <c r="W116" i="1" a="1"/>
  <c r="W116" i="1"/>
  <c r="T116" i="1"/>
  <c r="Z116" i="1" s="1"/>
  <c r="R116" i="1" a="1"/>
  <c r="R116" i="1"/>
  <c r="S116" i="1" s="1"/>
  <c r="H116" i="1"/>
  <c r="AA115" i="1"/>
  <c r="Y115" i="1"/>
  <c r="W115" i="1" a="1"/>
  <c r="W115" i="1"/>
  <c r="T115" i="1"/>
  <c r="Z115" i="1" s="1"/>
  <c r="R115" i="1" a="1"/>
  <c r="R115" i="1"/>
  <c r="S115" i="1" s="1"/>
  <c r="H115" i="1"/>
  <c r="AA114" i="1"/>
  <c r="Y114" i="1"/>
  <c r="W114" i="1" a="1"/>
  <c r="W114" i="1"/>
  <c r="T114" i="1"/>
  <c r="Z114" i="1" s="1"/>
  <c r="R114" i="1" a="1"/>
  <c r="R114" i="1"/>
  <c r="S114" i="1" s="1"/>
  <c r="H114" i="1"/>
  <c r="AA113" i="1"/>
  <c r="Y113" i="1"/>
  <c r="W113" i="1" a="1"/>
  <c r="W113" i="1"/>
  <c r="T113" i="1"/>
  <c r="Z113" i="1" s="1"/>
  <c r="R113" i="1" a="1"/>
  <c r="R113" i="1"/>
  <c r="S113" i="1" s="1"/>
  <c r="H113" i="1"/>
  <c r="AA112" i="1"/>
  <c r="Y112" i="1"/>
  <c r="W112" i="1" a="1"/>
  <c r="W112" i="1"/>
  <c r="T112" i="1"/>
  <c r="Z112" i="1" s="1"/>
  <c r="R112" i="1" a="1"/>
  <c r="R112" i="1"/>
  <c r="S112" i="1" s="1"/>
  <c r="H112" i="1"/>
  <c r="AA111" i="1"/>
  <c r="Y111" i="1"/>
  <c r="W111" i="1" a="1"/>
  <c r="W111" i="1"/>
  <c r="T111" i="1"/>
  <c r="Z111" i="1" s="1"/>
  <c r="R111" i="1" a="1"/>
  <c r="R111" i="1"/>
  <c r="S111" i="1" s="1"/>
  <c r="H111" i="1"/>
  <c r="AA110" i="1"/>
  <c r="Y110" i="1"/>
  <c r="W110" i="1" a="1"/>
  <c r="W110" i="1"/>
  <c r="T110" i="1"/>
  <c r="Z110" i="1" s="1"/>
  <c r="R110" i="1" a="1"/>
  <c r="R110" i="1"/>
  <c r="S110" i="1" s="1"/>
  <c r="H110" i="1"/>
  <c r="AA109" i="1"/>
  <c r="Y109" i="1"/>
  <c r="W109" i="1" a="1"/>
  <c r="W109" i="1"/>
  <c r="T109" i="1"/>
  <c r="Z109" i="1" s="1"/>
  <c r="R109" i="1" a="1"/>
  <c r="R109" i="1"/>
  <c r="S109" i="1" s="1"/>
  <c r="H109" i="1"/>
  <c r="AA108" i="1"/>
  <c r="Y108" i="1"/>
  <c r="W108" i="1" a="1"/>
  <c r="W108" i="1"/>
  <c r="T108" i="1"/>
  <c r="Z108" i="1" s="1"/>
  <c r="R108" i="1" a="1"/>
  <c r="R108" i="1"/>
  <c r="S108" i="1" s="1"/>
  <c r="H108" i="1"/>
  <c r="AA107" i="1"/>
  <c r="Y107" i="1"/>
  <c r="W107" i="1" a="1"/>
  <c r="W107" i="1"/>
  <c r="T107" i="1"/>
  <c r="Z107" i="1" s="1"/>
  <c r="R107" i="1" a="1"/>
  <c r="R107" i="1"/>
  <c r="S107" i="1" s="1"/>
  <c r="H107" i="1"/>
  <c r="AA106" i="1"/>
  <c r="Y106" i="1"/>
  <c r="W106" i="1" a="1"/>
  <c r="W106" i="1"/>
  <c r="T106" i="1"/>
  <c r="Z106" i="1" s="1"/>
  <c r="R106" i="1" a="1"/>
  <c r="R106" i="1"/>
  <c r="S106" i="1" s="1"/>
  <c r="H106" i="1"/>
  <c r="AA105" i="1"/>
  <c r="Y105" i="1"/>
  <c r="W105" i="1" a="1"/>
  <c r="W105" i="1"/>
  <c r="T105" i="1"/>
  <c r="Z105" i="1" s="1"/>
  <c r="R105" i="1" a="1"/>
  <c r="R105" i="1"/>
  <c r="S105" i="1" s="1"/>
  <c r="H105" i="1"/>
  <c r="AA104" i="1"/>
  <c r="Y104" i="1"/>
  <c r="W104" i="1" a="1"/>
  <c r="W104" i="1"/>
  <c r="T104" i="1"/>
  <c r="Z104" i="1" s="1"/>
  <c r="R104" i="1" a="1"/>
  <c r="R104" i="1"/>
  <c r="S104" i="1" s="1"/>
  <c r="H104" i="1"/>
  <c r="AA103" i="1"/>
  <c r="Y103" i="1"/>
  <c r="W103" i="1" a="1"/>
  <c r="W103" i="1"/>
  <c r="T103" i="1"/>
  <c r="Z103" i="1" s="1"/>
  <c r="R103" i="1" a="1"/>
  <c r="R103" i="1"/>
  <c r="S103" i="1" s="1"/>
  <c r="H103" i="1"/>
  <c r="AA102" i="1"/>
  <c r="Y102" i="1"/>
  <c r="W102" i="1" a="1"/>
  <c r="W102" i="1"/>
  <c r="T102" i="1"/>
  <c r="Z102" i="1" s="1"/>
  <c r="R102" i="1" a="1"/>
  <c r="R102" i="1"/>
  <c r="S102" i="1" s="1"/>
  <c r="H102" i="1"/>
  <c r="AA101" i="1"/>
  <c r="Y101" i="1"/>
  <c r="W101" i="1" a="1"/>
  <c r="W101" i="1"/>
  <c r="T101" i="1"/>
  <c r="Z101" i="1" s="1"/>
  <c r="R101" i="1" a="1"/>
  <c r="R101" i="1"/>
  <c r="S101" i="1" s="1"/>
  <c r="H101" i="1"/>
  <c r="AA100" i="1"/>
  <c r="Y100" i="1"/>
  <c r="W100" i="1" a="1"/>
  <c r="W100" i="1"/>
  <c r="T100" i="1"/>
  <c r="Z100" i="1" s="1"/>
  <c r="R100" i="1" a="1"/>
  <c r="R100" i="1"/>
  <c r="S100" i="1" s="1"/>
  <c r="H100" i="1"/>
  <c r="AA99" i="1"/>
  <c r="Y99" i="1"/>
  <c r="W99" i="1" a="1"/>
  <c r="W99" i="1"/>
  <c r="T99" i="1"/>
  <c r="Z99" i="1" s="1"/>
  <c r="R99" i="1" a="1"/>
  <c r="R99" i="1"/>
  <c r="S99" i="1" s="1"/>
  <c r="H99" i="1"/>
  <c r="AA98" i="1"/>
  <c r="Y98" i="1"/>
  <c r="W98" i="1" a="1"/>
  <c r="W98" i="1"/>
  <c r="T98" i="1"/>
  <c r="Z98" i="1" s="1"/>
  <c r="R98" i="1" a="1"/>
  <c r="R98" i="1"/>
  <c r="S98" i="1" s="1"/>
  <c r="H98" i="1"/>
  <c r="AA97" i="1"/>
  <c r="Y97" i="1"/>
  <c r="W97" i="1" a="1"/>
  <c r="W97" i="1"/>
  <c r="T97" i="1"/>
  <c r="Z97" i="1" s="1"/>
  <c r="R97" i="1" a="1"/>
  <c r="R97" i="1"/>
  <c r="S97" i="1" s="1"/>
  <c r="H97" i="1"/>
  <c r="AA96" i="1"/>
  <c r="Y96" i="1"/>
  <c r="W96" i="1" a="1"/>
  <c r="W96" i="1"/>
  <c r="T96" i="1"/>
  <c r="Z96" i="1" s="1"/>
  <c r="R96" i="1" a="1"/>
  <c r="R96" i="1"/>
  <c r="S96" i="1" s="1"/>
  <c r="H96" i="1"/>
  <c r="AA95" i="1"/>
  <c r="Y95" i="1"/>
  <c r="W95" i="1" a="1"/>
  <c r="W95" i="1"/>
  <c r="T95" i="1"/>
  <c r="Z95" i="1" s="1"/>
  <c r="R95" i="1" a="1"/>
  <c r="R95" i="1"/>
  <c r="S95" i="1" s="1"/>
  <c r="H95" i="1"/>
  <c r="AA94" i="1"/>
  <c r="Y94" i="1"/>
  <c r="W94" i="1" a="1"/>
  <c r="W94" i="1"/>
  <c r="T94" i="1"/>
  <c r="Z94" i="1" s="1"/>
  <c r="R94" i="1" a="1"/>
  <c r="R94" i="1"/>
  <c r="S94" i="1" s="1"/>
  <c r="H94" i="1"/>
  <c r="AA93" i="1"/>
  <c r="Y93" i="1"/>
  <c r="W93" i="1" a="1"/>
  <c r="W93" i="1"/>
  <c r="T93" i="1"/>
  <c r="Z93" i="1" s="1"/>
  <c r="R93" i="1" a="1"/>
  <c r="R93" i="1"/>
  <c r="S93" i="1" s="1"/>
  <c r="H93" i="1"/>
  <c r="AA92" i="1"/>
  <c r="Y92" i="1"/>
  <c r="W92" i="1" a="1"/>
  <c r="W92" i="1"/>
  <c r="T92" i="1"/>
  <c r="Z92" i="1" s="1"/>
  <c r="R92" i="1" a="1"/>
  <c r="R92" i="1"/>
  <c r="S92" i="1" s="1"/>
  <c r="H92" i="1"/>
  <c r="AA91" i="1"/>
  <c r="Y91" i="1"/>
  <c r="W91" i="1" a="1"/>
  <c r="W91" i="1"/>
  <c r="T91" i="1"/>
  <c r="Z91" i="1" s="1"/>
  <c r="R91" i="1" a="1"/>
  <c r="R91" i="1"/>
  <c r="S91" i="1" s="1"/>
  <c r="H91" i="1"/>
  <c r="AA90" i="1"/>
  <c r="Y90" i="1"/>
  <c r="W90" i="1" a="1"/>
  <c r="W90" i="1"/>
  <c r="T90" i="1"/>
  <c r="Z90" i="1" s="1"/>
  <c r="R90" i="1" a="1"/>
  <c r="R90" i="1"/>
  <c r="S90" i="1" s="1"/>
  <c r="H90" i="1"/>
  <c r="AA89" i="1"/>
  <c r="Y89" i="1"/>
  <c r="W89" i="1" a="1"/>
  <c r="W89" i="1"/>
  <c r="T89" i="1"/>
  <c r="Z89" i="1" s="1"/>
  <c r="R89" i="1" a="1"/>
  <c r="R89" i="1"/>
  <c r="S89" i="1" s="1"/>
  <c r="H89" i="1"/>
  <c r="AA88" i="1"/>
  <c r="Y88" i="1"/>
  <c r="W88" i="1" a="1"/>
  <c r="W88" i="1"/>
  <c r="T88" i="1"/>
  <c r="Z88" i="1" s="1"/>
  <c r="R88" i="1" a="1"/>
  <c r="R88" i="1"/>
  <c r="S88" i="1" s="1"/>
  <c r="H88" i="1"/>
  <c r="AA87" i="1"/>
  <c r="Y87" i="1"/>
  <c r="W87" i="1" a="1"/>
  <c r="W87" i="1"/>
  <c r="T87" i="1"/>
  <c r="Z87" i="1" s="1"/>
  <c r="R87" i="1" a="1"/>
  <c r="R87" i="1"/>
  <c r="S87" i="1" s="1"/>
  <c r="H87" i="1"/>
  <c r="AA86" i="1"/>
  <c r="Y86" i="1"/>
  <c r="W86" i="1" a="1"/>
  <c r="W86" i="1"/>
  <c r="T86" i="1"/>
  <c r="Z86" i="1" s="1"/>
  <c r="R86" i="1" a="1"/>
  <c r="R86" i="1"/>
  <c r="S86" i="1" s="1"/>
  <c r="H86" i="1"/>
  <c r="AA85" i="1"/>
  <c r="Y85" i="1"/>
  <c r="W85" i="1" a="1"/>
  <c r="W85" i="1"/>
  <c r="T85" i="1"/>
  <c r="Z85" i="1" s="1"/>
  <c r="R85" i="1" a="1"/>
  <c r="R85" i="1"/>
  <c r="S85" i="1" s="1"/>
  <c r="H85" i="1"/>
  <c r="AA84" i="1"/>
  <c r="Y84" i="1"/>
  <c r="W84" i="1" a="1"/>
  <c r="W84" i="1"/>
  <c r="T84" i="1"/>
  <c r="Z84" i="1" s="1"/>
  <c r="R84" i="1" a="1"/>
  <c r="R84" i="1"/>
  <c r="S84" i="1" s="1"/>
  <c r="H84" i="1"/>
  <c r="AA83" i="1"/>
  <c r="Y83" i="1"/>
  <c r="W83" i="1" a="1"/>
  <c r="W83" i="1"/>
  <c r="T83" i="1"/>
  <c r="Z83" i="1" s="1"/>
  <c r="R83" i="1" a="1"/>
  <c r="R83" i="1"/>
  <c r="S83" i="1" s="1"/>
  <c r="H83" i="1"/>
  <c r="AA82" i="1"/>
  <c r="Y82" i="1"/>
  <c r="W82" i="1" a="1"/>
  <c r="W82" i="1"/>
  <c r="T82" i="1"/>
  <c r="Z82" i="1" s="1"/>
  <c r="R82" i="1" a="1"/>
  <c r="R82" i="1"/>
  <c r="S82" i="1" s="1"/>
  <c r="H82" i="1"/>
  <c r="AA81" i="1"/>
  <c r="Y81" i="1"/>
  <c r="W81" i="1" a="1"/>
  <c r="W81" i="1"/>
  <c r="T81" i="1"/>
  <c r="Z81" i="1" s="1"/>
  <c r="R81" i="1" a="1"/>
  <c r="R81" i="1"/>
  <c r="S81" i="1" s="1"/>
  <c r="H81" i="1"/>
  <c r="AA80" i="1"/>
  <c r="Y80" i="1"/>
  <c r="W80" i="1" a="1"/>
  <c r="W80" i="1"/>
  <c r="T80" i="1"/>
  <c r="Z80" i="1" s="1"/>
  <c r="R80" i="1" a="1"/>
  <c r="R80" i="1"/>
  <c r="S80" i="1" s="1"/>
  <c r="H80" i="1"/>
  <c r="AA79" i="1"/>
  <c r="Y79" i="1"/>
  <c r="W79" i="1" a="1"/>
  <c r="W79" i="1"/>
  <c r="T79" i="1"/>
  <c r="Z79" i="1" s="1"/>
  <c r="R79" i="1" a="1"/>
  <c r="R79" i="1"/>
  <c r="S79" i="1" s="1"/>
  <c r="H79" i="1"/>
  <c r="AA78" i="1"/>
  <c r="Y78" i="1"/>
  <c r="W78" i="1" a="1"/>
  <c r="W78" i="1"/>
  <c r="T78" i="1"/>
  <c r="Z78" i="1" s="1"/>
  <c r="R78" i="1" a="1"/>
  <c r="R78" i="1"/>
  <c r="S78" i="1" s="1"/>
  <c r="H78" i="1"/>
  <c r="AA77" i="1"/>
  <c r="Y77" i="1"/>
  <c r="W77" i="1" a="1"/>
  <c r="W77" i="1"/>
  <c r="T77" i="1"/>
  <c r="Z77" i="1" s="1"/>
  <c r="R77" i="1" a="1"/>
  <c r="R77" i="1"/>
  <c r="S77" i="1" s="1"/>
  <c r="H77" i="1"/>
  <c r="AA76" i="1"/>
  <c r="Y76" i="1"/>
  <c r="W76" i="1" a="1"/>
  <c r="W76" i="1"/>
  <c r="T76" i="1"/>
  <c r="Z76" i="1" s="1"/>
  <c r="R76" i="1" a="1"/>
  <c r="R76" i="1"/>
  <c r="S76" i="1" s="1"/>
  <c r="H76" i="1"/>
  <c r="AA75" i="1"/>
  <c r="Y75" i="1"/>
  <c r="W75" i="1" a="1"/>
  <c r="W75" i="1"/>
  <c r="T75" i="1"/>
  <c r="Z75" i="1" s="1"/>
  <c r="R75" i="1" a="1"/>
  <c r="R75" i="1"/>
  <c r="S75" i="1" s="1"/>
  <c r="H75" i="1"/>
  <c r="AA74" i="1"/>
  <c r="Y74" i="1"/>
  <c r="W74" i="1" a="1"/>
  <c r="W74" i="1"/>
  <c r="T74" i="1"/>
  <c r="Z74" i="1" s="1"/>
  <c r="R74" i="1" a="1"/>
  <c r="R74" i="1"/>
  <c r="S74" i="1" s="1"/>
  <c r="H74" i="1"/>
  <c r="AA73" i="1"/>
  <c r="Y73" i="1"/>
  <c r="W73" i="1" a="1"/>
  <c r="W73" i="1"/>
  <c r="T73" i="1"/>
  <c r="Z73" i="1" s="1"/>
  <c r="R73" i="1" a="1"/>
  <c r="R73" i="1"/>
  <c r="S73" i="1" s="1"/>
  <c r="H73" i="1"/>
  <c r="AA72" i="1"/>
  <c r="Y72" i="1"/>
  <c r="W72" i="1" a="1"/>
  <c r="W72" i="1"/>
  <c r="T72" i="1"/>
  <c r="Z72" i="1" s="1"/>
  <c r="R72" i="1" a="1"/>
  <c r="R72" i="1"/>
  <c r="S72" i="1" s="1"/>
  <c r="H72" i="1"/>
  <c r="AA71" i="1"/>
  <c r="Y71" i="1"/>
  <c r="W71" i="1" a="1"/>
  <c r="W71" i="1"/>
  <c r="T71" i="1"/>
  <c r="Z71" i="1" s="1"/>
  <c r="R71" i="1" a="1"/>
  <c r="R71" i="1"/>
  <c r="S71" i="1" s="1"/>
  <c r="H71" i="1"/>
  <c r="AA70" i="1"/>
  <c r="Y70" i="1"/>
  <c r="W70" i="1" a="1"/>
  <c r="W70" i="1"/>
  <c r="T70" i="1"/>
  <c r="Z70" i="1" s="1"/>
  <c r="R70" i="1" a="1"/>
  <c r="R70" i="1"/>
  <c r="S70" i="1" s="1"/>
  <c r="H70" i="1"/>
  <c r="AA69" i="1"/>
  <c r="Y69" i="1"/>
  <c r="W69" i="1" a="1"/>
  <c r="W69" i="1"/>
  <c r="T69" i="1"/>
  <c r="Z69" i="1" s="1"/>
  <c r="R69" i="1" a="1"/>
  <c r="R69" i="1"/>
  <c r="S69" i="1" s="1"/>
  <c r="H69" i="1"/>
  <c r="AA68" i="1"/>
  <c r="Y68" i="1"/>
  <c r="W68" i="1" a="1"/>
  <c r="W68" i="1"/>
  <c r="T68" i="1"/>
  <c r="Z68" i="1" s="1"/>
  <c r="R68" i="1" a="1"/>
  <c r="R68" i="1"/>
  <c r="S68" i="1" s="1"/>
  <c r="H68" i="1"/>
  <c r="AA67" i="1"/>
  <c r="Y67" i="1"/>
  <c r="W67" i="1" a="1"/>
  <c r="W67" i="1"/>
  <c r="T67" i="1"/>
  <c r="Z67" i="1" s="1"/>
  <c r="R67" i="1" a="1"/>
  <c r="R67" i="1"/>
  <c r="S67" i="1" s="1"/>
  <c r="H67" i="1"/>
  <c r="AA66" i="1"/>
  <c r="Y66" i="1"/>
  <c r="W66" i="1" a="1"/>
  <c r="W66" i="1"/>
  <c r="T66" i="1"/>
  <c r="Z66" i="1" s="1"/>
  <c r="R66" i="1" a="1"/>
  <c r="R66" i="1"/>
  <c r="S66" i="1" s="1"/>
  <c r="H66" i="1"/>
  <c r="AA65" i="1"/>
  <c r="Y65" i="1"/>
  <c r="W65" i="1" a="1"/>
  <c r="W65" i="1"/>
  <c r="T65" i="1"/>
  <c r="Z65" i="1" s="1"/>
  <c r="R65" i="1" a="1"/>
  <c r="R65" i="1"/>
  <c r="S65" i="1" s="1"/>
  <c r="H65" i="1"/>
  <c r="AA64" i="1"/>
  <c r="Y64" i="1"/>
  <c r="W64" i="1" a="1"/>
  <c r="W64" i="1"/>
  <c r="T64" i="1"/>
  <c r="Z64" i="1" s="1"/>
  <c r="R64" i="1" a="1"/>
  <c r="R64" i="1"/>
  <c r="S64" i="1" s="1"/>
  <c r="H64" i="1"/>
  <c r="AA63" i="1"/>
  <c r="Y63" i="1"/>
  <c r="W63" i="1" a="1"/>
  <c r="W63" i="1"/>
  <c r="T63" i="1"/>
  <c r="Z63" i="1" s="1"/>
  <c r="R63" i="1" a="1"/>
  <c r="R63" i="1"/>
  <c r="S63" i="1" s="1"/>
  <c r="H63" i="1"/>
  <c r="AA62" i="1"/>
  <c r="Y62" i="1"/>
  <c r="W62" i="1" a="1"/>
  <c r="W62" i="1"/>
  <c r="T62" i="1"/>
  <c r="Z62" i="1" s="1"/>
  <c r="R62" i="1" a="1"/>
  <c r="R62" i="1"/>
  <c r="S62" i="1" s="1"/>
  <c r="H62" i="1"/>
  <c r="AA61" i="1"/>
  <c r="Y61" i="1"/>
  <c r="W61" i="1" a="1"/>
  <c r="W61" i="1"/>
  <c r="T61" i="1"/>
  <c r="Z61" i="1" s="1"/>
  <c r="R61" i="1" a="1"/>
  <c r="R61" i="1"/>
  <c r="S61" i="1" s="1"/>
  <c r="H61" i="1"/>
  <c r="AA60" i="1"/>
  <c r="Y60" i="1"/>
  <c r="W60" i="1" a="1"/>
  <c r="W60" i="1"/>
  <c r="T60" i="1"/>
  <c r="Z60" i="1" s="1"/>
  <c r="R60" i="1" a="1"/>
  <c r="R60" i="1"/>
  <c r="S60" i="1" s="1"/>
  <c r="H60" i="1"/>
  <c r="AA59" i="1"/>
  <c r="Y59" i="1"/>
  <c r="W59" i="1" a="1"/>
  <c r="W59" i="1"/>
  <c r="T59" i="1"/>
  <c r="Z59" i="1" s="1"/>
  <c r="R59" i="1" a="1"/>
  <c r="R59" i="1"/>
  <c r="S59" i="1" s="1"/>
  <c r="H59" i="1"/>
  <c r="AA58" i="1"/>
  <c r="Y58" i="1"/>
  <c r="W58" i="1" a="1"/>
  <c r="W58" i="1"/>
  <c r="T58" i="1"/>
  <c r="Z58" i="1" s="1"/>
  <c r="R58" i="1" a="1"/>
  <c r="R58" i="1"/>
  <c r="S58" i="1" s="1"/>
  <c r="H58" i="1"/>
  <c r="AA57" i="1"/>
  <c r="Y57" i="1"/>
  <c r="W57" i="1" a="1"/>
  <c r="W57" i="1"/>
  <c r="T57" i="1"/>
  <c r="Z57" i="1" s="1"/>
  <c r="R57" i="1" a="1"/>
  <c r="R57" i="1"/>
  <c r="S57" i="1" s="1"/>
  <c r="H57" i="1"/>
  <c r="AA56" i="1"/>
  <c r="Y56" i="1"/>
  <c r="W56" i="1" a="1"/>
  <c r="W56" i="1"/>
  <c r="T56" i="1"/>
  <c r="Z56" i="1" s="1"/>
  <c r="R56" i="1" a="1"/>
  <c r="R56" i="1"/>
  <c r="S56" i="1" s="1"/>
  <c r="H56" i="1"/>
  <c r="AA55" i="1"/>
  <c r="Y55" i="1"/>
  <c r="W55" i="1" a="1"/>
  <c r="W55" i="1"/>
  <c r="T55" i="1"/>
  <c r="Z55" i="1" s="1"/>
  <c r="R55" i="1" a="1"/>
  <c r="R55" i="1"/>
  <c r="S55" i="1" s="1"/>
  <c r="H55" i="1"/>
  <c r="AA54" i="1"/>
  <c r="Y54" i="1"/>
  <c r="W54" i="1" a="1"/>
  <c r="W54" i="1"/>
  <c r="T54" i="1"/>
  <c r="Z54" i="1" s="1"/>
  <c r="R54" i="1" a="1"/>
  <c r="R54" i="1"/>
  <c r="S54" i="1" s="1"/>
  <c r="H54" i="1"/>
  <c r="AA53" i="1"/>
  <c r="Y53" i="1"/>
  <c r="W53" i="1" a="1"/>
  <c r="W53" i="1"/>
  <c r="T53" i="1"/>
  <c r="Z53" i="1" s="1"/>
  <c r="R53" i="1" a="1"/>
  <c r="R53" i="1"/>
  <c r="S53" i="1" s="1"/>
  <c r="H53" i="1"/>
  <c r="AA52" i="1"/>
  <c r="Y52" i="1"/>
  <c r="W52" i="1" a="1"/>
  <c r="W52" i="1"/>
  <c r="T52" i="1"/>
  <c r="Z52" i="1" s="1"/>
  <c r="R52" i="1" a="1"/>
  <c r="R52" i="1"/>
  <c r="S52" i="1" s="1"/>
  <c r="H52" i="1"/>
  <c r="AA51" i="1"/>
  <c r="Y51" i="1"/>
  <c r="W51" i="1" a="1"/>
  <c r="W51" i="1"/>
  <c r="T51" i="1"/>
  <c r="Z51" i="1" s="1"/>
  <c r="R51" i="1" a="1"/>
  <c r="R51" i="1"/>
  <c r="S51" i="1" s="1"/>
  <c r="H51" i="1"/>
  <c r="AA50" i="1"/>
  <c r="Y50" i="1"/>
  <c r="W50" i="1" a="1"/>
  <c r="W50" i="1"/>
  <c r="T50" i="1"/>
  <c r="Z50" i="1" s="1"/>
  <c r="R50" i="1" a="1"/>
  <c r="R50" i="1"/>
  <c r="S50" i="1" s="1"/>
  <c r="H50" i="1"/>
  <c r="AA49" i="1"/>
  <c r="Y49" i="1"/>
  <c r="W49" i="1" a="1"/>
  <c r="W49" i="1"/>
  <c r="T49" i="1"/>
  <c r="Z49" i="1" s="1"/>
  <c r="R49" i="1" a="1"/>
  <c r="R49" i="1"/>
  <c r="S49" i="1" s="1"/>
  <c r="H49" i="1"/>
  <c r="AA48" i="1"/>
  <c r="Y48" i="1"/>
  <c r="W48" i="1" a="1"/>
  <c r="W48" i="1"/>
  <c r="T48" i="1"/>
  <c r="Z48" i="1" s="1"/>
  <c r="R48" i="1" a="1"/>
  <c r="R48" i="1"/>
  <c r="S48" i="1" s="1"/>
  <c r="H48" i="1"/>
  <c r="AA47" i="1"/>
  <c r="Y47" i="1"/>
  <c r="W47" i="1" a="1"/>
  <c r="W47" i="1"/>
  <c r="T47" i="1"/>
  <c r="Z47" i="1" s="1"/>
  <c r="R47" i="1" a="1"/>
  <c r="R47" i="1"/>
  <c r="S47" i="1" s="1"/>
  <c r="H47" i="1"/>
  <c r="BK46" i="1"/>
  <c r="AA46" i="1"/>
  <c r="Y46" i="1"/>
  <c r="W46" i="1" a="1"/>
  <c r="W46" i="1"/>
  <c r="T46" i="1"/>
  <c r="Z46" i="1" s="1"/>
  <c r="R46" i="1" a="1"/>
  <c r="R46" i="1"/>
  <c r="S46" i="1" s="1"/>
  <c r="H46" i="1"/>
  <c r="BK45" i="1"/>
  <c r="AA45" i="1"/>
  <c r="Y45" i="1"/>
  <c r="W45" i="1" a="1"/>
  <c r="W45" i="1"/>
  <c r="T45" i="1"/>
  <c r="Z45" i="1" s="1"/>
  <c r="R45" i="1" a="1"/>
  <c r="R45" i="1"/>
  <c r="S45" i="1" s="1"/>
  <c r="H45" i="1"/>
  <c r="BK44" i="1"/>
  <c r="AA44" i="1"/>
  <c r="Y44" i="1"/>
  <c r="W44" i="1" a="1"/>
  <c r="W44" i="1"/>
  <c r="T44" i="1"/>
  <c r="Z44" i="1" s="1"/>
  <c r="R44" i="1" a="1"/>
  <c r="R44" i="1"/>
  <c r="S44" i="1" s="1"/>
  <c r="H44" i="1"/>
  <c r="BK43" i="1"/>
  <c r="AA43" i="1"/>
  <c r="Y43" i="1"/>
  <c r="W43" i="1" a="1"/>
  <c r="W43" i="1"/>
  <c r="T43" i="1"/>
  <c r="Z43" i="1" s="1"/>
  <c r="R43" i="1" a="1"/>
  <c r="R43" i="1"/>
  <c r="S43" i="1" s="1"/>
  <c r="H43" i="1"/>
  <c r="BK42" i="1"/>
  <c r="AA42" i="1"/>
  <c r="Y42" i="1"/>
  <c r="W42" i="1" a="1"/>
  <c r="W42" i="1"/>
  <c r="T42" i="1"/>
  <c r="Z42" i="1" s="1"/>
  <c r="R42" i="1" a="1"/>
  <c r="R42" i="1"/>
  <c r="S42" i="1" s="1"/>
  <c r="H42" i="1"/>
  <c r="BK41" i="1"/>
  <c r="AA41" i="1"/>
  <c r="Y41" i="1"/>
  <c r="W41" i="1" a="1"/>
  <c r="W41" i="1"/>
  <c r="T41" i="1"/>
  <c r="Z41" i="1" s="1"/>
  <c r="R41" i="1" a="1"/>
  <c r="R41" i="1"/>
  <c r="S41" i="1" s="1"/>
  <c r="H41" i="1"/>
  <c r="BK40" i="1"/>
  <c r="AA40" i="1"/>
  <c r="Y40" i="1"/>
  <c r="W40" i="1" a="1"/>
  <c r="W40" i="1"/>
  <c r="T40" i="1"/>
  <c r="Z40" i="1" s="1"/>
  <c r="R40" i="1" a="1"/>
  <c r="R40" i="1"/>
  <c r="S40" i="1" s="1"/>
  <c r="H40" i="1"/>
  <c r="BK39" i="1"/>
  <c r="AA39" i="1"/>
  <c r="Y39" i="1"/>
  <c r="W39" i="1" a="1"/>
  <c r="W39" i="1"/>
  <c r="T39" i="1"/>
  <c r="Z39" i="1" s="1"/>
  <c r="R39" i="1" a="1"/>
  <c r="R39" i="1"/>
  <c r="S39" i="1" s="1"/>
  <c r="H39" i="1"/>
  <c r="BK38" i="1"/>
  <c r="AA38" i="1"/>
  <c r="Y38" i="1"/>
  <c r="W38" i="1" a="1"/>
  <c r="W38" i="1"/>
  <c r="T38" i="1"/>
  <c r="Z38" i="1" s="1"/>
  <c r="R38" i="1" a="1"/>
  <c r="R38" i="1"/>
  <c r="S38" i="1" s="1"/>
  <c r="H38" i="1"/>
  <c r="BK37" i="1"/>
  <c r="AA37" i="1"/>
  <c r="Y37" i="1"/>
  <c r="W37" i="1" a="1"/>
  <c r="W37" i="1"/>
  <c r="T37" i="1"/>
  <c r="Z37" i="1" s="1"/>
  <c r="R37" i="1" a="1"/>
  <c r="R37" i="1"/>
  <c r="S37" i="1" s="1"/>
  <c r="H37" i="1"/>
  <c r="BK36" i="1"/>
  <c r="AA36" i="1"/>
  <c r="Y36" i="1"/>
  <c r="W36" i="1" a="1"/>
  <c r="W36" i="1"/>
  <c r="T36" i="1"/>
  <c r="Z36" i="1" s="1"/>
  <c r="R36" i="1" a="1"/>
  <c r="R36" i="1"/>
  <c r="S36" i="1" s="1"/>
  <c r="H36" i="1"/>
  <c r="BK35" i="1"/>
  <c r="AA35" i="1"/>
  <c r="Y35" i="1"/>
  <c r="W35" i="1" a="1"/>
  <c r="W35" i="1"/>
  <c r="T35" i="1"/>
  <c r="Z35" i="1" s="1"/>
  <c r="R35" i="1" a="1"/>
  <c r="R35" i="1"/>
  <c r="S35" i="1" s="1"/>
  <c r="H35" i="1"/>
  <c r="BK34" i="1"/>
  <c r="AA34" i="1"/>
  <c r="Y34" i="1"/>
  <c r="W34" i="1" a="1"/>
  <c r="W34" i="1"/>
  <c r="T34" i="1"/>
  <c r="Z34" i="1" s="1"/>
  <c r="R34" i="1" a="1"/>
  <c r="R34" i="1"/>
  <c r="S34" i="1" s="1"/>
  <c r="H34" i="1"/>
  <c r="BK33" i="1"/>
  <c r="AA33" i="1"/>
  <c r="Y33" i="1"/>
  <c r="W33" i="1" a="1"/>
  <c r="W33" i="1"/>
  <c r="T33" i="1"/>
  <c r="Z33" i="1" s="1"/>
  <c r="R33" i="1" a="1"/>
  <c r="R33" i="1"/>
  <c r="S33" i="1" s="1"/>
  <c r="H33" i="1"/>
  <c r="BK32" i="1"/>
  <c r="AA32" i="1"/>
  <c r="Y32" i="1"/>
  <c r="W32" i="1" a="1"/>
  <c r="W32" i="1"/>
  <c r="T32" i="1"/>
  <c r="Z32" i="1" s="1"/>
  <c r="R32" i="1" a="1"/>
  <c r="R32" i="1"/>
  <c r="S32" i="1" s="1"/>
  <c r="H32" i="1"/>
  <c r="BK31" i="1"/>
  <c r="AA31" i="1"/>
  <c r="Y31" i="1"/>
  <c r="T31" i="1"/>
  <c r="Z31" i="1" s="1"/>
  <c r="R31" i="1" a="1"/>
  <c r="R31" i="1"/>
  <c r="S31" i="1" s="1"/>
  <c r="H31" i="1"/>
  <c r="BK30" i="1"/>
  <c r="AA30" i="1"/>
  <c r="Y30" i="1"/>
  <c r="T30" i="1"/>
  <c r="Z30" i="1" s="1"/>
  <c r="R30" i="1" a="1"/>
  <c r="R30" i="1"/>
  <c r="H30" i="1"/>
  <c r="BK29" i="1"/>
  <c r="BK28" i="1"/>
  <c r="BK27" i="1"/>
  <c r="BK26" i="1"/>
  <c r="BK25" i="1"/>
  <c r="BK24" i="1"/>
  <c r="BK23" i="1"/>
  <c r="BK22" i="1"/>
  <c r="BK21" i="1"/>
  <c r="AG21" i="1"/>
  <c r="BK20" i="1"/>
  <c r="AG20" i="1"/>
  <c r="BK19" i="1"/>
  <c r="BK18" i="1"/>
  <c r="AG18" i="1"/>
  <c r="BK17" i="1"/>
  <c r="AG17" i="1"/>
  <c r="BK16" i="1"/>
  <c r="T16" i="1"/>
  <c r="BK15" i="1"/>
  <c r="T15" i="1"/>
  <c r="B15" i="1"/>
  <c r="BK14" i="1"/>
  <c r="T14" i="1"/>
  <c r="B14" i="1"/>
  <c r="BK13" i="1"/>
  <c r="T13" i="1"/>
  <c r="N10" i="2" s="1"/>
  <c r="BK12" i="1"/>
  <c r="T12" i="1"/>
  <c r="N9" i="2" s="1"/>
  <c r="BK11" i="1"/>
  <c r="T11" i="1"/>
  <c r="BK10" i="1"/>
  <c r="T10" i="1"/>
  <c r="BK9" i="1"/>
  <c r="T9" i="1"/>
  <c r="BK8" i="1"/>
  <c r="T8" i="1"/>
  <c r="BK7" i="1"/>
  <c r="BK6" i="1"/>
  <c r="BK5" i="1"/>
  <c r="BK4" i="1"/>
  <c r="BK3" i="1"/>
  <c r="BK2" i="1"/>
  <c r="BH1" i="1"/>
  <c r="BG1" i="1"/>
  <c r="BF1" i="1"/>
  <c r="BE1" i="1"/>
  <c r="BD1" i="1"/>
  <c r="BC1" i="1"/>
  <c r="BB1" i="1"/>
  <c r="BA1" i="1"/>
  <c r="AZ1" i="1"/>
  <c r="AY1" i="1"/>
  <c r="AX1" i="1"/>
  <c r="AW1" i="1"/>
  <c r="AV1" i="1"/>
  <c r="AU1" i="1"/>
  <c r="AT1" i="1"/>
  <c r="AS1" i="1"/>
  <c r="AR1" i="1"/>
  <c r="BL46" i="1" l="1" a="1"/>
  <c r="BL46" i="1" s="1"/>
  <c r="BL45" i="1" a="1"/>
  <c r="BL45" i="1" s="1"/>
  <c r="BL44" i="1" a="1"/>
  <c r="BL44" i="1" s="1"/>
  <c r="BL43" i="1" a="1"/>
  <c r="BL43" i="1" s="1"/>
  <c r="BL42" i="1" a="1"/>
  <c r="BL42" i="1" s="1"/>
  <c r="BL41" i="1" a="1"/>
  <c r="BL41" i="1" s="1"/>
  <c r="BL40" i="1" a="1"/>
  <c r="BL40" i="1" s="1"/>
  <c r="BL39" i="1" a="1"/>
  <c r="BL39" i="1" s="1"/>
  <c r="BL38" i="1" a="1"/>
  <c r="BL38" i="1" s="1"/>
  <c r="BL37" i="1" a="1"/>
  <c r="BL37" i="1" s="1"/>
  <c r="BL36" i="1" a="1"/>
  <c r="BL36" i="1" s="1"/>
  <c r="BL35" i="1" a="1"/>
  <c r="BL35" i="1" s="1"/>
  <c r="BL34" i="1" a="1"/>
  <c r="BL34" i="1" s="1"/>
  <c r="BL33" i="1" a="1"/>
  <c r="BL33" i="1" s="1"/>
  <c r="BL32" i="1" a="1"/>
  <c r="BL32" i="1" s="1"/>
  <c r="BL31" i="1" a="1"/>
  <c r="BL31" i="1" s="1"/>
  <c r="BL30" i="1" a="1"/>
  <c r="BL30" i="1" s="1"/>
  <c r="BL29" i="1" a="1"/>
  <c r="BL29" i="1" s="1"/>
  <c r="BL28" i="1" a="1"/>
  <c r="BL28" i="1" s="1"/>
  <c r="BL27" i="1" a="1"/>
  <c r="BL27" i="1" s="1"/>
  <c r="BL26" i="1" a="1"/>
  <c r="BL26" i="1" s="1"/>
  <c r="BL25" i="1" a="1"/>
  <c r="BL25" i="1" s="1"/>
  <c r="BL24" i="1" a="1"/>
  <c r="BL24" i="1" s="1"/>
  <c r="BL23" i="1" a="1"/>
  <c r="BL23" i="1" s="1"/>
  <c r="BL22" i="1" a="1"/>
  <c r="BL22" i="1" s="1"/>
  <c r="BL21" i="1" a="1"/>
  <c r="BL21" i="1" s="1"/>
  <c r="BL20" i="1" a="1"/>
  <c r="BL20" i="1" s="1"/>
  <c r="BL19" i="1" a="1"/>
  <c r="BL19" i="1" s="1"/>
  <c r="BL18" i="1" a="1"/>
  <c r="BL18" i="1" s="1"/>
  <c r="BL17" i="1" a="1"/>
  <c r="BL17" i="1" s="1"/>
  <c r="BL16" i="1" a="1"/>
  <c r="BL16" i="1" s="1"/>
  <c r="BL15" i="1" a="1"/>
  <c r="BL15" i="1" s="1"/>
  <c r="BL14" i="1" a="1"/>
  <c r="BL14" i="1" s="1"/>
  <c r="BL13" i="1" a="1"/>
  <c r="BL13" i="1" s="1"/>
  <c r="BL12" i="1" a="1"/>
  <c r="BL12" i="1" s="1"/>
  <c r="BL11" i="1" a="1"/>
  <c r="BL11" i="1" s="1"/>
  <c r="BL10" i="1" a="1"/>
  <c r="BL10" i="1" s="1"/>
  <c r="BL9" i="1" a="1"/>
  <c r="BL9" i="1" s="1"/>
  <c r="BL8" i="1" a="1"/>
  <c r="BL8" i="1" s="1"/>
  <c r="BL7" i="1" a="1"/>
  <c r="BL7" i="1" s="1"/>
  <c r="BL6" i="1" a="1"/>
  <c r="BL6" i="1" s="1"/>
  <c r="BL5" i="1" a="1"/>
  <c r="BL5" i="1" s="1"/>
  <c r="BL4" i="1" a="1"/>
  <c r="BL4" i="1" s="1"/>
  <c r="BL3" i="1" a="1"/>
  <c r="BL3" i="1" s="1"/>
  <c r="BL1" i="1" a="1"/>
  <c r="BL1" i="1" s="1"/>
  <c r="H196" i="1"/>
  <c r="X30" i="1"/>
  <c r="Q30" i="1"/>
  <c r="P30" i="1"/>
  <c r="S30" i="1"/>
  <c r="Y196" i="1"/>
  <c r="X31" i="1"/>
  <c r="U31" i="1" s="1"/>
  <c r="V31" i="1" s="1"/>
  <c r="Q31" i="1"/>
  <c r="P31" i="1"/>
  <c r="X32" i="1"/>
  <c r="U32" i="1" s="1"/>
  <c r="V32" i="1" s="1"/>
  <c r="Q32" i="1"/>
  <c r="P32" i="1"/>
  <c r="X33" i="1"/>
  <c r="U33" i="1" s="1"/>
  <c r="V33" i="1" s="1"/>
  <c r="Q33" i="1"/>
  <c r="P33" i="1"/>
  <c r="X34" i="1"/>
  <c r="U34" i="1" s="1"/>
  <c r="V34" i="1" s="1"/>
  <c r="Q34" i="1"/>
  <c r="P34" i="1"/>
  <c r="X35" i="1"/>
  <c r="U35" i="1" s="1"/>
  <c r="V35" i="1" s="1"/>
  <c r="Q35" i="1"/>
  <c r="P35" i="1"/>
  <c r="X36" i="1"/>
  <c r="U36" i="1" s="1"/>
  <c r="V36" i="1" s="1"/>
  <c r="Q36" i="1"/>
  <c r="P36" i="1"/>
  <c r="X37" i="1"/>
  <c r="U37" i="1" s="1"/>
  <c r="V37" i="1" s="1"/>
  <c r="Q37" i="1"/>
  <c r="P37" i="1"/>
  <c r="X38" i="1"/>
  <c r="U38" i="1" s="1"/>
  <c r="V38" i="1" s="1"/>
  <c r="Q38" i="1"/>
  <c r="P38" i="1"/>
  <c r="X39" i="1"/>
  <c r="U39" i="1" s="1"/>
  <c r="V39" i="1" s="1"/>
  <c r="Q39" i="1"/>
  <c r="P39" i="1"/>
  <c r="X40" i="1"/>
  <c r="U40" i="1" s="1"/>
  <c r="V40" i="1" s="1"/>
  <c r="Q40" i="1"/>
  <c r="P40" i="1"/>
  <c r="X41" i="1"/>
  <c r="U41" i="1" s="1"/>
  <c r="V41" i="1" s="1"/>
  <c r="Q41" i="1"/>
  <c r="P41" i="1"/>
  <c r="X42" i="1"/>
  <c r="U42" i="1" s="1"/>
  <c r="V42" i="1" s="1"/>
  <c r="Q42" i="1"/>
  <c r="P42" i="1"/>
  <c r="X43" i="1"/>
  <c r="U43" i="1" s="1"/>
  <c r="V43" i="1" s="1"/>
  <c r="Q43" i="1"/>
  <c r="P43" i="1"/>
  <c r="X44" i="1"/>
  <c r="U44" i="1" s="1"/>
  <c r="V44" i="1" s="1"/>
  <c r="Q44" i="1"/>
  <c r="P44" i="1"/>
  <c r="X45" i="1"/>
  <c r="U45" i="1" s="1"/>
  <c r="V45" i="1" s="1"/>
  <c r="Q45" i="1"/>
  <c r="P45" i="1"/>
  <c r="X46" i="1"/>
  <c r="U46" i="1" s="1"/>
  <c r="V46" i="1" s="1"/>
  <c r="Q46" i="1"/>
  <c r="P46" i="1"/>
  <c r="X47" i="1"/>
  <c r="U47" i="1" s="1"/>
  <c r="V47" i="1" s="1"/>
  <c r="Q47" i="1"/>
  <c r="P47" i="1"/>
  <c r="X48" i="1"/>
  <c r="U48" i="1" s="1"/>
  <c r="V48" i="1" s="1"/>
  <c r="Q48" i="1"/>
  <c r="P48" i="1"/>
  <c r="X49" i="1"/>
  <c r="U49" i="1" s="1"/>
  <c r="V49" i="1" s="1"/>
  <c r="Q49" i="1"/>
  <c r="P49" i="1"/>
  <c r="X50" i="1"/>
  <c r="U50" i="1" s="1"/>
  <c r="V50" i="1" s="1"/>
  <c r="Q50" i="1"/>
  <c r="P50" i="1"/>
  <c r="X51" i="1"/>
  <c r="U51" i="1" s="1"/>
  <c r="V51" i="1" s="1"/>
  <c r="Q51" i="1"/>
  <c r="P51" i="1"/>
  <c r="X52" i="1"/>
  <c r="U52" i="1" s="1"/>
  <c r="V52" i="1" s="1"/>
  <c r="Q52" i="1"/>
  <c r="P52" i="1"/>
  <c r="X53" i="1"/>
  <c r="U53" i="1" s="1"/>
  <c r="V53" i="1" s="1"/>
  <c r="Q53" i="1"/>
  <c r="P53" i="1"/>
  <c r="X54" i="1"/>
  <c r="U54" i="1" s="1"/>
  <c r="V54" i="1" s="1"/>
  <c r="Q54" i="1"/>
  <c r="P54" i="1"/>
  <c r="X55" i="1"/>
  <c r="U55" i="1" s="1"/>
  <c r="V55" i="1" s="1"/>
  <c r="Q55" i="1"/>
  <c r="P55" i="1"/>
  <c r="X56" i="1"/>
  <c r="U56" i="1" s="1"/>
  <c r="V56" i="1" s="1"/>
  <c r="Q56" i="1"/>
  <c r="P56" i="1"/>
  <c r="X57" i="1"/>
  <c r="U57" i="1" s="1"/>
  <c r="V57" i="1" s="1"/>
  <c r="Q57" i="1"/>
  <c r="P57" i="1"/>
  <c r="X58" i="1"/>
  <c r="U58" i="1" s="1"/>
  <c r="V58" i="1" s="1"/>
  <c r="Q58" i="1"/>
  <c r="P58" i="1"/>
  <c r="X59" i="1"/>
  <c r="U59" i="1" s="1"/>
  <c r="V59" i="1" s="1"/>
  <c r="Q59" i="1"/>
  <c r="P59" i="1"/>
  <c r="X60" i="1"/>
  <c r="U60" i="1" s="1"/>
  <c r="V60" i="1" s="1"/>
  <c r="Q60" i="1"/>
  <c r="P60" i="1"/>
  <c r="X61" i="1"/>
  <c r="U61" i="1" s="1"/>
  <c r="V61" i="1" s="1"/>
  <c r="Q61" i="1"/>
  <c r="P61" i="1"/>
  <c r="X62" i="1"/>
  <c r="U62" i="1" s="1"/>
  <c r="V62" i="1" s="1"/>
  <c r="Q62" i="1"/>
  <c r="P62" i="1"/>
  <c r="X63" i="1"/>
  <c r="U63" i="1" s="1"/>
  <c r="V63" i="1" s="1"/>
  <c r="Q63" i="1"/>
  <c r="P63" i="1"/>
  <c r="X64" i="1"/>
  <c r="U64" i="1" s="1"/>
  <c r="V64" i="1" s="1"/>
  <c r="Q64" i="1"/>
  <c r="P64" i="1"/>
  <c r="X65" i="1"/>
  <c r="U65" i="1" s="1"/>
  <c r="V65" i="1" s="1"/>
  <c r="Q65" i="1"/>
  <c r="P65" i="1"/>
  <c r="X66" i="1"/>
  <c r="U66" i="1" s="1"/>
  <c r="V66" i="1" s="1"/>
  <c r="Q66" i="1"/>
  <c r="P66" i="1"/>
  <c r="X67" i="1"/>
  <c r="U67" i="1" s="1"/>
  <c r="V67" i="1" s="1"/>
  <c r="Q67" i="1"/>
  <c r="P67" i="1"/>
  <c r="X68" i="1"/>
  <c r="U68" i="1" s="1"/>
  <c r="V68" i="1" s="1"/>
  <c r="Q68" i="1"/>
  <c r="P68" i="1"/>
  <c r="X69" i="1"/>
  <c r="U69" i="1" s="1"/>
  <c r="V69" i="1" s="1"/>
  <c r="Q69" i="1"/>
  <c r="P69" i="1"/>
  <c r="X70" i="1"/>
  <c r="U70" i="1" s="1"/>
  <c r="V70" i="1" s="1"/>
  <c r="Q70" i="1"/>
  <c r="P70" i="1"/>
  <c r="X71" i="1"/>
  <c r="U71" i="1" s="1"/>
  <c r="V71" i="1" s="1"/>
  <c r="Q71" i="1"/>
  <c r="P71" i="1"/>
  <c r="X72" i="1"/>
  <c r="U72" i="1" s="1"/>
  <c r="V72" i="1" s="1"/>
  <c r="Q72" i="1"/>
  <c r="P72" i="1"/>
  <c r="X73" i="1"/>
  <c r="U73" i="1" s="1"/>
  <c r="V73" i="1" s="1"/>
  <c r="Q73" i="1"/>
  <c r="P73" i="1"/>
  <c r="X74" i="1"/>
  <c r="U74" i="1" s="1"/>
  <c r="V74" i="1" s="1"/>
  <c r="Q74" i="1"/>
  <c r="P74" i="1"/>
  <c r="X75" i="1"/>
  <c r="U75" i="1" s="1"/>
  <c r="V75" i="1" s="1"/>
  <c r="Q75" i="1"/>
  <c r="P75" i="1"/>
  <c r="X76" i="1"/>
  <c r="U76" i="1" s="1"/>
  <c r="V76" i="1" s="1"/>
  <c r="Q76" i="1"/>
  <c r="P76" i="1"/>
  <c r="X77" i="1"/>
  <c r="U77" i="1" s="1"/>
  <c r="V77" i="1" s="1"/>
  <c r="Q77" i="1"/>
  <c r="P77" i="1"/>
  <c r="X78" i="1"/>
  <c r="U78" i="1" s="1"/>
  <c r="V78" i="1" s="1"/>
  <c r="Q78" i="1"/>
  <c r="P78" i="1"/>
  <c r="X79" i="1"/>
  <c r="U79" i="1" s="1"/>
  <c r="V79" i="1" s="1"/>
  <c r="Q79" i="1"/>
  <c r="P79" i="1"/>
  <c r="X80" i="1"/>
  <c r="U80" i="1" s="1"/>
  <c r="V80" i="1" s="1"/>
  <c r="Q80" i="1"/>
  <c r="P80" i="1"/>
  <c r="X81" i="1"/>
  <c r="U81" i="1" s="1"/>
  <c r="V81" i="1" s="1"/>
  <c r="Q81" i="1"/>
  <c r="P81" i="1"/>
  <c r="X82" i="1"/>
  <c r="U82" i="1" s="1"/>
  <c r="V82" i="1" s="1"/>
  <c r="Q82" i="1"/>
  <c r="P82" i="1"/>
  <c r="X83" i="1"/>
  <c r="U83" i="1" s="1"/>
  <c r="V83" i="1" s="1"/>
  <c r="Q83" i="1"/>
  <c r="P83" i="1"/>
  <c r="X84" i="1"/>
  <c r="U84" i="1" s="1"/>
  <c r="V84" i="1" s="1"/>
  <c r="Q84" i="1"/>
  <c r="P84" i="1"/>
  <c r="X85" i="1"/>
  <c r="U85" i="1" s="1"/>
  <c r="V85" i="1" s="1"/>
  <c r="Q85" i="1"/>
  <c r="P85" i="1"/>
  <c r="X86" i="1"/>
  <c r="U86" i="1" s="1"/>
  <c r="V86" i="1" s="1"/>
  <c r="Q86" i="1"/>
  <c r="P86" i="1"/>
  <c r="X87" i="1"/>
  <c r="U87" i="1" s="1"/>
  <c r="V87" i="1" s="1"/>
  <c r="Q87" i="1"/>
  <c r="P87" i="1"/>
  <c r="X88" i="1"/>
  <c r="U88" i="1" s="1"/>
  <c r="V88" i="1" s="1"/>
  <c r="Q88" i="1"/>
  <c r="P88" i="1"/>
  <c r="X89" i="1"/>
  <c r="U89" i="1" s="1"/>
  <c r="V89" i="1" s="1"/>
  <c r="Q89" i="1"/>
  <c r="P89" i="1"/>
  <c r="X90" i="1"/>
  <c r="U90" i="1" s="1"/>
  <c r="V90" i="1" s="1"/>
  <c r="Q90" i="1"/>
  <c r="P90" i="1"/>
  <c r="X91" i="1"/>
  <c r="U91" i="1" s="1"/>
  <c r="V91" i="1" s="1"/>
  <c r="Q91" i="1"/>
  <c r="P91" i="1"/>
  <c r="X92" i="1"/>
  <c r="U92" i="1" s="1"/>
  <c r="V92" i="1" s="1"/>
  <c r="Q92" i="1"/>
  <c r="P92" i="1"/>
  <c r="X93" i="1"/>
  <c r="U93" i="1" s="1"/>
  <c r="V93" i="1" s="1"/>
  <c r="Q93" i="1"/>
  <c r="P93" i="1"/>
  <c r="X94" i="1"/>
  <c r="U94" i="1" s="1"/>
  <c r="V94" i="1" s="1"/>
  <c r="Q94" i="1"/>
  <c r="P94" i="1"/>
  <c r="X95" i="1"/>
  <c r="U95" i="1" s="1"/>
  <c r="V95" i="1" s="1"/>
  <c r="Q95" i="1"/>
  <c r="P95" i="1"/>
  <c r="X96" i="1"/>
  <c r="U96" i="1" s="1"/>
  <c r="V96" i="1" s="1"/>
  <c r="Q96" i="1"/>
  <c r="P96" i="1"/>
  <c r="X97" i="1"/>
  <c r="U97" i="1" s="1"/>
  <c r="V97" i="1" s="1"/>
  <c r="Q97" i="1"/>
  <c r="P97" i="1"/>
  <c r="X98" i="1"/>
  <c r="U98" i="1" s="1"/>
  <c r="V98" i="1" s="1"/>
  <c r="Q98" i="1"/>
  <c r="P98" i="1"/>
  <c r="X99" i="1"/>
  <c r="U99" i="1" s="1"/>
  <c r="V99" i="1" s="1"/>
  <c r="Q99" i="1"/>
  <c r="P99" i="1"/>
  <c r="X100" i="1"/>
  <c r="U100" i="1" s="1"/>
  <c r="V100" i="1" s="1"/>
  <c r="Q100" i="1"/>
  <c r="P100" i="1"/>
  <c r="X101" i="1"/>
  <c r="U101" i="1" s="1"/>
  <c r="V101" i="1" s="1"/>
  <c r="Q101" i="1"/>
  <c r="P101" i="1"/>
  <c r="X102" i="1"/>
  <c r="U102" i="1" s="1"/>
  <c r="V102" i="1" s="1"/>
  <c r="Q102" i="1"/>
  <c r="P102" i="1"/>
  <c r="X103" i="1"/>
  <c r="U103" i="1" s="1"/>
  <c r="V103" i="1" s="1"/>
  <c r="Q103" i="1"/>
  <c r="P103" i="1"/>
  <c r="X104" i="1"/>
  <c r="U104" i="1" s="1"/>
  <c r="V104" i="1" s="1"/>
  <c r="Q104" i="1"/>
  <c r="P104" i="1"/>
  <c r="X105" i="1"/>
  <c r="U105" i="1" s="1"/>
  <c r="V105" i="1" s="1"/>
  <c r="Q105" i="1"/>
  <c r="P105" i="1"/>
  <c r="X106" i="1"/>
  <c r="U106" i="1" s="1"/>
  <c r="V106" i="1" s="1"/>
  <c r="Q106" i="1"/>
  <c r="P106" i="1"/>
  <c r="X107" i="1"/>
  <c r="U107" i="1" s="1"/>
  <c r="V107" i="1" s="1"/>
  <c r="Q107" i="1"/>
  <c r="P107" i="1"/>
  <c r="X108" i="1"/>
  <c r="U108" i="1" s="1"/>
  <c r="V108" i="1" s="1"/>
  <c r="Q108" i="1"/>
  <c r="P108" i="1"/>
  <c r="X109" i="1"/>
  <c r="U109" i="1" s="1"/>
  <c r="V109" i="1" s="1"/>
  <c r="Q109" i="1"/>
  <c r="P109" i="1"/>
  <c r="X110" i="1"/>
  <c r="U110" i="1" s="1"/>
  <c r="V110" i="1" s="1"/>
  <c r="Q110" i="1"/>
  <c r="P110" i="1"/>
  <c r="X111" i="1"/>
  <c r="U111" i="1" s="1"/>
  <c r="V111" i="1" s="1"/>
  <c r="Q111" i="1"/>
  <c r="P111" i="1"/>
  <c r="X112" i="1"/>
  <c r="U112" i="1" s="1"/>
  <c r="V112" i="1" s="1"/>
  <c r="Q112" i="1"/>
  <c r="P112" i="1"/>
  <c r="X113" i="1"/>
  <c r="U113" i="1" s="1"/>
  <c r="V113" i="1" s="1"/>
  <c r="Q113" i="1"/>
  <c r="P113" i="1"/>
  <c r="X114" i="1"/>
  <c r="U114" i="1" s="1"/>
  <c r="V114" i="1" s="1"/>
  <c r="Q114" i="1"/>
  <c r="P114" i="1"/>
  <c r="X115" i="1"/>
  <c r="U115" i="1" s="1"/>
  <c r="V115" i="1" s="1"/>
  <c r="Q115" i="1"/>
  <c r="P115" i="1"/>
  <c r="X116" i="1"/>
  <c r="U116" i="1" s="1"/>
  <c r="V116" i="1" s="1"/>
  <c r="Q116" i="1"/>
  <c r="P116" i="1"/>
  <c r="X117" i="1"/>
  <c r="U117" i="1" s="1"/>
  <c r="V117" i="1" s="1"/>
  <c r="Q117" i="1"/>
  <c r="P117" i="1"/>
  <c r="X118" i="1"/>
  <c r="U118" i="1" s="1"/>
  <c r="V118" i="1" s="1"/>
  <c r="Q118" i="1"/>
  <c r="P118" i="1"/>
  <c r="X119" i="1"/>
  <c r="U119" i="1" s="1"/>
  <c r="V119" i="1" s="1"/>
  <c r="Q119" i="1"/>
  <c r="P119" i="1"/>
  <c r="X120" i="1"/>
  <c r="U120" i="1" s="1"/>
  <c r="V120" i="1" s="1"/>
  <c r="Q120" i="1"/>
  <c r="P120" i="1"/>
  <c r="X121" i="1"/>
  <c r="U121" i="1" s="1"/>
  <c r="V121" i="1" s="1"/>
  <c r="Q121" i="1"/>
  <c r="P121" i="1"/>
  <c r="X122" i="1"/>
  <c r="U122" i="1" s="1"/>
  <c r="V122" i="1" s="1"/>
  <c r="Q122" i="1"/>
  <c r="P122" i="1"/>
  <c r="X123" i="1"/>
  <c r="U123" i="1" s="1"/>
  <c r="V123" i="1" s="1"/>
  <c r="Q123" i="1"/>
  <c r="P123" i="1"/>
  <c r="X124" i="1"/>
  <c r="U124" i="1" s="1"/>
  <c r="V124" i="1" s="1"/>
  <c r="Q124" i="1"/>
  <c r="P124" i="1"/>
  <c r="X125" i="1"/>
  <c r="U125" i="1" s="1"/>
  <c r="V125" i="1" s="1"/>
  <c r="Q125" i="1"/>
  <c r="P125" i="1"/>
  <c r="X126" i="1"/>
  <c r="U126" i="1" s="1"/>
  <c r="V126" i="1" s="1"/>
  <c r="Q126" i="1"/>
  <c r="P126" i="1"/>
  <c r="X127" i="1"/>
  <c r="U127" i="1" s="1"/>
  <c r="V127" i="1" s="1"/>
  <c r="Q127" i="1"/>
  <c r="P127" i="1"/>
  <c r="X128" i="1"/>
  <c r="U128" i="1" s="1"/>
  <c r="V128" i="1" s="1"/>
  <c r="Q128" i="1"/>
  <c r="P128" i="1"/>
  <c r="X129" i="1"/>
  <c r="U129" i="1" s="1"/>
  <c r="V129" i="1" s="1"/>
  <c r="Q129" i="1"/>
  <c r="P129" i="1"/>
  <c r="X130" i="1"/>
  <c r="U130" i="1" s="1"/>
  <c r="V130" i="1" s="1"/>
  <c r="Q130" i="1"/>
  <c r="P130" i="1"/>
  <c r="X131" i="1"/>
  <c r="U131" i="1" s="1"/>
  <c r="V131" i="1" s="1"/>
  <c r="Q131" i="1"/>
  <c r="P131" i="1"/>
  <c r="X132" i="1"/>
  <c r="U132" i="1" s="1"/>
  <c r="V132" i="1" s="1"/>
  <c r="Q132" i="1"/>
  <c r="P132" i="1"/>
  <c r="X133" i="1"/>
  <c r="U133" i="1" s="1"/>
  <c r="V133" i="1" s="1"/>
  <c r="Q133" i="1"/>
  <c r="P133" i="1"/>
  <c r="X134" i="1"/>
  <c r="U134" i="1" s="1"/>
  <c r="V134" i="1" s="1"/>
  <c r="Q134" i="1"/>
  <c r="P134" i="1"/>
  <c r="X135" i="1"/>
  <c r="U135" i="1" s="1"/>
  <c r="V135" i="1" s="1"/>
  <c r="Q135" i="1"/>
  <c r="P135" i="1"/>
  <c r="X136" i="1"/>
  <c r="U136" i="1" s="1"/>
  <c r="V136" i="1" s="1"/>
  <c r="Q136" i="1"/>
  <c r="P136" i="1"/>
  <c r="X137" i="1"/>
  <c r="U137" i="1" s="1"/>
  <c r="V137" i="1" s="1"/>
  <c r="Q137" i="1"/>
  <c r="P137" i="1"/>
  <c r="X138" i="1"/>
  <c r="U138" i="1" s="1"/>
  <c r="V138" i="1" s="1"/>
  <c r="Q138" i="1"/>
  <c r="P138" i="1"/>
  <c r="X139" i="1"/>
  <c r="U139" i="1" s="1"/>
  <c r="V139" i="1" s="1"/>
  <c r="Q139" i="1"/>
  <c r="P139" i="1"/>
  <c r="X140" i="1"/>
  <c r="U140" i="1" s="1"/>
  <c r="V140" i="1" s="1"/>
  <c r="Q140" i="1"/>
  <c r="P140" i="1"/>
  <c r="X141" i="1"/>
  <c r="U141" i="1" s="1"/>
  <c r="V141" i="1" s="1"/>
  <c r="Q141" i="1"/>
  <c r="P141" i="1"/>
  <c r="X142" i="1"/>
  <c r="U142" i="1" s="1"/>
  <c r="V142" i="1" s="1"/>
  <c r="Q142" i="1"/>
  <c r="P142" i="1"/>
  <c r="X143" i="1"/>
  <c r="U143" i="1" s="1"/>
  <c r="V143" i="1" s="1"/>
  <c r="Q143" i="1"/>
  <c r="P143" i="1"/>
  <c r="X144" i="1"/>
  <c r="U144" i="1" s="1"/>
  <c r="V144" i="1" s="1"/>
  <c r="Q144" i="1"/>
  <c r="P144" i="1"/>
  <c r="X145" i="1"/>
  <c r="U145" i="1" s="1"/>
  <c r="V145" i="1" s="1"/>
  <c r="Q145" i="1"/>
  <c r="P145" i="1"/>
  <c r="X146" i="1"/>
  <c r="U146" i="1" s="1"/>
  <c r="V146" i="1" s="1"/>
  <c r="Q146" i="1"/>
  <c r="P146" i="1"/>
  <c r="X147" i="1"/>
  <c r="U147" i="1" s="1"/>
  <c r="V147" i="1" s="1"/>
  <c r="Q147" i="1"/>
  <c r="P147" i="1"/>
  <c r="X148" i="1"/>
  <c r="U148" i="1" s="1"/>
  <c r="V148" i="1" s="1"/>
  <c r="Q148" i="1"/>
  <c r="P148" i="1"/>
  <c r="X149" i="1"/>
  <c r="U149" i="1" s="1"/>
  <c r="V149" i="1" s="1"/>
  <c r="Q149" i="1"/>
  <c r="P149" i="1"/>
  <c r="X150" i="1"/>
  <c r="U150" i="1" s="1"/>
  <c r="V150" i="1" s="1"/>
  <c r="Q150" i="1"/>
  <c r="P150" i="1"/>
  <c r="X151" i="1"/>
  <c r="U151" i="1" s="1"/>
  <c r="V151" i="1" s="1"/>
  <c r="Q151" i="1"/>
  <c r="P151" i="1"/>
  <c r="X152" i="1"/>
  <c r="U152" i="1" s="1"/>
  <c r="V152" i="1" s="1"/>
  <c r="Q152" i="1"/>
  <c r="P152" i="1"/>
  <c r="X153" i="1"/>
  <c r="U153" i="1" s="1"/>
  <c r="V153" i="1" s="1"/>
  <c r="Q153" i="1"/>
  <c r="P153" i="1"/>
  <c r="X154" i="1"/>
  <c r="U154" i="1" s="1"/>
  <c r="V154" i="1" s="1"/>
  <c r="Q154" i="1"/>
  <c r="P154" i="1"/>
  <c r="X155" i="1"/>
  <c r="U155" i="1" s="1"/>
  <c r="V155" i="1" s="1"/>
  <c r="Q155" i="1"/>
  <c r="P155" i="1"/>
  <c r="X156" i="1"/>
  <c r="U156" i="1" s="1"/>
  <c r="V156" i="1" s="1"/>
  <c r="Q156" i="1"/>
  <c r="P156" i="1"/>
  <c r="X157" i="1"/>
  <c r="U157" i="1" s="1"/>
  <c r="V157" i="1" s="1"/>
  <c r="Q157" i="1"/>
  <c r="P157" i="1"/>
  <c r="X158" i="1"/>
  <c r="U158" i="1" s="1"/>
  <c r="V158" i="1" s="1"/>
  <c r="Q158" i="1"/>
  <c r="P158" i="1"/>
  <c r="X159" i="1"/>
  <c r="U159" i="1" s="1"/>
  <c r="V159" i="1" s="1"/>
  <c r="Q159" i="1"/>
  <c r="P159" i="1"/>
  <c r="X160" i="1"/>
  <c r="U160" i="1" s="1"/>
  <c r="V160" i="1" s="1"/>
  <c r="Q160" i="1"/>
  <c r="P160" i="1"/>
  <c r="X161" i="1"/>
  <c r="U161" i="1" s="1"/>
  <c r="V161" i="1" s="1"/>
  <c r="Q161" i="1"/>
  <c r="P161" i="1"/>
  <c r="X162" i="1"/>
  <c r="U162" i="1" s="1"/>
  <c r="V162" i="1" s="1"/>
  <c r="Q162" i="1"/>
  <c r="P162" i="1"/>
  <c r="X163" i="1"/>
  <c r="U163" i="1" s="1"/>
  <c r="V163" i="1" s="1"/>
  <c r="Q163" i="1"/>
  <c r="P163" i="1"/>
  <c r="X164" i="1"/>
  <c r="U164" i="1" s="1"/>
  <c r="V164" i="1" s="1"/>
  <c r="Q164" i="1"/>
  <c r="P164" i="1"/>
  <c r="X165" i="1"/>
  <c r="U165" i="1" s="1"/>
  <c r="V165" i="1" s="1"/>
  <c r="Q165" i="1"/>
  <c r="P165" i="1"/>
  <c r="X166" i="1"/>
  <c r="U166" i="1" s="1"/>
  <c r="V166" i="1" s="1"/>
  <c r="Q166" i="1"/>
  <c r="P166" i="1"/>
  <c r="X167" i="1"/>
  <c r="U167" i="1" s="1"/>
  <c r="V167" i="1" s="1"/>
  <c r="Q167" i="1"/>
  <c r="P167" i="1"/>
  <c r="X168" i="1"/>
  <c r="U168" i="1" s="1"/>
  <c r="V168" i="1" s="1"/>
  <c r="Q168" i="1"/>
  <c r="P168" i="1"/>
  <c r="X169" i="1"/>
  <c r="U169" i="1" s="1"/>
  <c r="V169" i="1" s="1"/>
  <c r="Q169" i="1"/>
  <c r="P169" i="1"/>
  <c r="X170" i="1"/>
  <c r="U170" i="1" s="1"/>
  <c r="V170" i="1" s="1"/>
  <c r="Q170" i="1"/>
  <c r="P170" i="1"/>
  <c r="X171" i="1"/>
  <c r="U171" i="1" s="1"/>
  <c r="V171" i="1" s="1"/>
  <c r="Q171" i="1"/>
  <c r="P171" i="1"/>
  <c r="X172" i="1"/>
  <c r="U172" i="1" s="1"/>
  <c r="V172" i="1" s="1"/>
  <c r="Q172" i="1"/>
  <c r="P172" i="1"/>
  <c r="X173" i="1"/>
  <c r="U173" i="1" s="1"/>
  <c r="V173" i="1" s="1"/>
  <c r="Q173" i="1"/>
  <c r="P173" i="1"/>
  <c r="X174" i="1"/>
  <c r="U174" i="1" s="1"/>
  <c r="V174" i="1" s="1"/>
  <c r="Q174" i="1"/>
  <c r="P174" i="1"/>
  <c r="X175" i="1"/>
  <c r="U175" i="1" s="1"/>
  <c r="V175" i="1" s="1"/>
  <c r="Q175" i="1"/>
  <c r="P175" i="1"/>
  <c r="X176" i="1"/>
  <c r="U176" i="1" s="1"/>
  <c r="V176" i="1" s="1"/>
  <c r="Q176" i="1"/>
  <c r="P176" i="1"/>
  <c r="X177" i="1"/>
  <c r="U177" i="1" s="1"/>
  <c r="V177" i="1" s="1"/>
  <c r="Q177" i="1"/>
  <c r="P177" i="1"/>
  <c r="X178" i="1"/>
  <c r="U178" i="1" s="1"/>
  <c r="V178" i="1" s="1"/>
  <c r="Q178" i="1"/>
  <c r="P178" i="1"/>
  <c r="X179" i="1"/>
  <c r="U179" i="1" s="1"/>
  <c r="V179" i="1" s="1"/>
  <c r="Q179" i="1"/>
  <c r="P179" i="1"/>
  <c r="X180" i="1"/>
  <c r="U180" i="1" s="1"/>
  <c r="V180" i="1" s="1"/>
  <c r="Q180" i="1"/>
  <c r="P180" i="1"/>
  <c r="X181" i="1"/>
  <c r="U181" i="1" s="1"/>
  <c r="V181" i="1" s="1"/>
  <c r="Q181" i="1"/>
  <c r="P181" i="1"/>
  <c r="X182" i="1"/>
  <c r="U182" i="1" s="1"/>
  <c r="V182" i="1" s="1"/>
  <c r="Q182" i="1"/>
  <c r="P182" i="1"/>
  <c r="X183" i="1"/>
  <c r="U183" i="1" s="1"/>
  <c r="V183" i="1" s="1"/>
  <c r="Q183" i="1"/>
  <c r="P183" i="1"/>
  <c r="X184" i="1"/>
  <c r="U184" i="1" s="1"/>
  <c r="V184" i="1" s="1"/>
  <c r="Q184" i="1"/>
  <c r="P184" i="1"/>
  <c r="X185" i="1"/>
  <c r="U185" i="1" s="1"/>
  <c r="V185" i="1" s="1"/>
  <c r="Q185" i="1"/>
  <c r="P185" i="1"/>
  <c r="X186" i="1"/>
  <c r="U186" i="1" s="1"/>
  <c r="V186" i="1" s="1"/>
  <c r="Q186" i="1"/>
  <c r="P186" i="1"/>
  <c r="X187" i="1"/>
  <c r="U187" i="1" s="1"/>
  <c r="V187" i="1" s="1"/>
  <c r="Q187" i="1"/>
  <c r="P187" i="1"/>
  <c r="X188" i="1"/>
  <c r="U188" i="1" s="1"/>
  <c r="V188" i="1" s="1"/>
  <c r="Q188" i="1"/>
  <c r="P188" i="1"/>
  <c r="X189" i="1"/>
  <c r="U189" i="1" s="1"/>
  <c r="V189" i="1" s="1"/>
  <c r="Q189" i="1"/>
  <c r="P189" i="1"/>
  <c r="X190" i="1"/>
  <c r="U190" i="1" s="1"/>
  <c r="V190" i="1" s="1"/>
  <c r="Q190" i="1"/>
  <c r="P190" i="1"/>
  <c r="X191" i="1"/>
  <c r="U191" i="1" s="1"/>
  <c r="V191" i="1" s="1"/>
  <c r="Q191" i="1"/>
  <c r="P191" i="1"/>
  <c r="X192" i="1"/>
  <c r="U192" i="1" s="1"/>
  <c r="V192" i="1" s="1"/>
  <c r="Q192" i="1"/>
  <c r="P192" i="1"/>
  <c r="X193" i="1"/>
  <c r="U193" i="1" s="1"/>
  <c r="V193" i="1" s="1"/>
  <c r="Q193" i="1"/>
  <c r="P193" i="1"/>
  <c r="X194" i="1"/>
  <c r="U194" i="1" s="1"/>
  <c r="V194" i="1" s="1"/>
  <c r="Q194" i="1"/>
  <c r="P194" i="1"/>
  <c r="AE1" i="3" a="1"/>
  <c r="AE1" i="3" s="1"/>
  <c r="AD1" i="3" a="1"/>
  <c r="AD1" i="3" s="1"/>
  <c r="AE2" i="3" a="1"/>
  <c r="AE2" i="3" s="1"/>
  <c r="AD2" i="3" a="1"/>
  <c r="AD2" i="3" s="1"/>
  <c r="AE3" i="3" a="1"/>
  <c r="AE3" i="3" s="1"/>
  <c r="AD3" i="3" a="1"/>
  <c r="AD3" i="3" s="1"/>
  <c r="AE4" i="3" a="1"/>
  <c r="AE4" i="3" s="1"/>
  <c r="AD4" i="3" a="1"/>
  <c r="AD4" i="3" s="1"/>
  <c r="AE5" i="3" a="1"/>
  <c r="AE5" i="3" s="1"/>
  <c r="AD5" i="3" a="1"/>
  <c r="AD5" i="3" s="1"/>
  <c r="AE6" i="3" a="1"/>
  <c r="AE6" i="3" s="1"/>
  <c r="AD6" i="3" a="1"/>
  <c r="AD6" i="3" s="1"/>
  <c r="AE7" i="3" a="1"/>
  <c r="AE7" i="3" s="1"/>
  <c r="AD7" i="3" a="1"/>
  <c r="AD7" i="3" s="1"/>
  <c r="AE8" i="3" a="1"/>
  <c r="AE8" i="3" s="1"/>
  <c r="AD8" i="3" a="1"/>
  <c r="AD8" i="3" s="1"/>
  <c r="AE9" i="3" a="1"/>
  <c r="AE9" i="3" s="1"/>
  <c r="AD9" i="3" a="1"/>
  <c r="AD9" i="3" s="1"/>
  <c r="AE10" i="3" a="1"/>
  <c r="AE10" i="3" s="1"/>
  <c r="AD10" i="3" a="1"/>
  <c r="AD10" i="3" s="1"/>
  <c r="AE11" i="3" a="1"/>
  <c r="AE11" i="3" s="1"/>
  <c r="AD11" i="3" a="1"/>
  <c r="AD11" i="3" s="1"/>
  <c r="AE12" i="3" a="1"/>
  <c r="AE12" i="3" s="1"/>
  <c r="AD12" i="3" a="1"/>
  <c r="AD12" i="3" s="1"/>
  <c r="AE13" i="3" a="1"/>
  <c r="AE13" i="3" s="1"/>
  <c r="AD13" i="3" a="1"/>
  <c r="AD13" i="3" s="1"/>
  <c r="AE14" i="3" a="1"/>
  <c r="AE14" i="3" s="1"/>
  <c r="AD14" i="3" a="1"/>
  <c r="AD14" i="3" s="1"/>
  <c r="AE15" i="3" a="1"/>
  <c r="AE15" i="3" s="1"/>
  <c r="AD15" i="3" a="1"/>
  <c r="AD15" i="3" s="1"/>
  <c r="AE16" i="3" a="1"/>
  <c r="AE16" i="3" s="1"/>
  <c r="AD16" i="3" a="1"/>
  <c r="AD16" i="3" s="1"/>
  <c r="AE17" i="3" a="1"/>
  <c r="AE17" i="3" s="1"/>
  <c r="AD17" i="3" a="1"/>
  <c r="AD17" i="3" s="1"/>
  <c r="AE18" i="3" a="1"/>
  <c r="AE18" i="3" s="1"/>
  <c r="AD18" i="3" a="1"/>
  <c r="AD18" i="3" s="1"/>
  <c r="AE19" i="3" a="1"/>
  <c r="AE19" i="3" s="1"/>
  <c r="AD19" i="3" a="1"/>
  <c r="AD19" i="3" s="1"/>
  <c r="AE20" i="3" a="1"/>
  <c r="AE20" i="3" s="1"/>
  <c r="AD20" i="3" a="1"/>
  <c r="AD20" i="3" s="1"/>
  <c r="AE21" i="3" a="1"/>
  <c r="AE21" i="3" s="1"/>
  <c r="AD21" i="3" a="1"/>
  <c r="AD21" i="3" s="1"/>
  <c r="AE22" i="3" a="1"/>
  <c r="AE22" i="3" s="1"/>
  <c r="AD22" i="3" a="1"/>
  <c r="AD22" i="3" s="1"/>
  <c r="AE23" i="3" a="1"/>
  <c r="AE23" i="3" s="1"/>
  <c r="AD23" i="3" a="1"/>
  <c r="AD23" i="3" s="1"/>
  <c r="AE24" i="3" a="1"/>
  <c r="AE24" i="3" s="1"/>
  <c r="AD24" i="3" a="1"/>
  <c r="AD24" i="3" s="1"/>
  <c r="AE25" i="3" a="1"/>
  <c r="AE25" i="3" s="1"/>
  <c r="AD25" i="3" a="1"/>
  <c r="AD25" i="3" s="1"/>
  <c r="AE26" i="3" a="1"/>
  <c r="AE26" i="3" s="1"/>
  <c r="AD26" i="3" a="1"/>
  <c r="AD26" i="3" s="1"/>
  <c r="AE27" i="3" a="1"/>
  <c r="AE27" i="3" s="1"/>
  <c r="AD27" i="3" a="1"/>
  <c r="AD27" i="3" s="1"/>
  <c r="AE28" i="3" a="1"/>
  <c r="AE28" i="3" s="1"/>
  <c r="AD28" i="3" a="1"/>
  <c r="AD28" i="3" s="1"/>
  <c r="AE29" i="3" a="1"/>
  <c r="AE29" i="3" s="1"/>
  <c r="AD29" i="3" a="1"/>
  <c r="AD29" i="3" s="1"/>
  <c r="AE30" i="3" a="1"/>
  <c r="AE30" i="3" s="1"/>
  <c r="AD30" i="3" a="1"/>
  <c r="AD30" i="3" s="1"/>
  <c r="R196" i="1" l="1"/>
  <c r="W31" i="1"/>
  <c r="Q196" i="1"/>
  <c r="X196" i="1"/>
  <c r="U30" i="1"/>
  <c r="V30" i="1" l="1"/>
  <c r="W30" i="1" l="1"/>
  <c r="V1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charset val="134"/>
          </rPr>
          <t>Generate Summary sheet.</t>
        </r>
        <r>
          <rPr>
            <sz val="8"/>
            <color indexed="16"/>
            <rFont val="Tahoma"/>
            <charset val="134"/>
          </rPr>
          <t xml:space="preserve">
</t>
        </r>
      </text>
    </comment>
    <comment ref="T8" authorId="0" shapeId="0" xr:uid="{00000000-0006-0000-0000-000002000000}">
      <text>
        <r>
          <rPr>
            <b/>
            <sz val="8"/>
            <color indexed="56"/>
            <rFont val="Tahoma"/>
            <charset val="134"/>
          </rPr>
          <t>Details Check.</t>
        </r>
      </text>
    </comment>
    <comment ref="T9" authorId="0" shapeId="0" xr:uid="{00000000-0006-0000-0000-000003000000}">
      <text>
        <r>
          <rPr>
            <b/>
            <sz val="8"/>
            <color indexed="56"/>
            <rFont val="Tahoma"/>
            <charset val="134"/>
          </rPr>
          <t>Moderator Check.</t>
        </r>
      </text>
    </comment>
    <comment ref="T10" authorId="0" shapeId="0" xr:uid="{00000000-0006-0000-0000-000004000000}">
      <text>
        <r>
          <rPr>
            <b/>
            <sz val="8"/>
            <color indexed="56"/>
            <rFont val="Tahoma"/>
            <charset val="134"/>
          </rPr>
          <t>Inspector Check.</t>
        </r>
      </text>
    </comment>
    <comment ref="T11" authorId="0" shapeId="0" xr:uid="{00000000-0006-0000-0000-000005000000}">
      <text>
        <r>
          <rPr>
            <b/>
            <sz val="8"/>
            <color indexed="18"/>
            <rFont val="Tahoma"/>
            <charset val="134"/>
          </rPr>
          <t>Summary path Name.</t>
        </r>
      </text>
    </comment>
    <comment ref="T12" authorId="0" shapeId="0" xr:uid="{00000000-0006-0000-0000-000006000000}">
      <text>
        <r>
          <rPr>
            <b/>
            <sz val="8"/>
            <color indexed="16"/>
            <rFont val="Tahoma"/>
            <charset val="134"/>
          </rPr>
          <t>Summary name with type.</t>
        </r>
        <r>
          <rPr>
            <sz val="8"/>
            <color indexed="16"/>
            <rFont val="Tahoma"/>
            <charset val="134"/>
          </rPr>
          <t xml:space="preserve">
</t>
        </r>
      </text>
    </comment>
    <comment ref="T13" authorId="0" shapeId="0" xr:uid="{00000000-0006-0000-0000-000007000000}">
      <text>
        <r>
          <rPr>
            <b/>
            <sz val="8"/>
            <color indexed="16"/>
            <rFont val="Tahoma"/>
            <charset val="134"/>
          </rPr>
          <t>Summary Sheet name.</t>
        </r>
        <r>
          <rPr>
            <sz val="8"/>
            <color indexed="16"/>
            <rFont val="Tahoma"/>
            <charset val="134"/>
          </rPr>
          <t xml:space="preserve">
</t>
        </r>
      </text>
    </comment>
    <comment ref="T14" authorId="0" shapeId="0" xr:uid="{00000000-0006-0000-0000-000008000000}">
      <text>
        <r>
          <rPr>
            <b/>
            <sz val="8"/>
            <color indexed="56"/>
            <rFont val="Tahoma"/>
            <charset val="134"/>
          </rPr>
          <t>Source path Name.</t>
        </r>
        <r>
          <rPr>
            <sz val="8"/>
            <color indexed="56"/>
            <rFont val="Tahoma"/>
            <charset val="134"/>
          </rPr>
          <t xml:space="preserve">
</t>
        </r>
      </text>
    </comment>
    <comment ref="AG17" authorId="1" shapeId="0" xr:uid="{00000000-0006-0000-0000-000009000000}">
      <text>
        <r>
          <rPr>
            <b/>
            <sz val="8"/>
            <rFont val="Tahoma"/>
            <charset val="134"/>
          </rPr>
          <t>New</t>
        </r>
      </text>
    </comment>
    <comment ref="AG20" authorId="2" shapeId="0" xr:uid="{00000000-0006-0000-0000-00000A000000}">
      <text>
        <r>
          <rPr>
            <b/>
            <sz val="10"/>
            <rFont val="Tahoma"/>
            <charset val="134"/>
          </rPr>
          <t>Row - AG</t>
        </r>
      </text>
    </comment>
    <comment ref="AG21" authorId="2" shapeId="0" xr:uid="{00000000-0006-0000-0000-00000B000000}">
      <text>
        <r>
          <rPr>
            <b/>
            <sz val="10"/>
            <rFont val="Tahoma"/>
            <charset val="134"/>
          </rPr>
          <t>Row - AE</t>
        </r>
      </text>
    </comment>
    <comment ref="B23" authorId="0" shapeId="0" xr:uid="{00000000-0006-0000-0000-00000C000000}">
      <text>
        <r>
          <rPr>
            <b/>
            <sz val="8"/>
            <color indexed="20"/>
            <rFont val="Tahoma"/>
            <charset val="134"/>
          </rPr>
          <t>Meeting Date / Time.</t>
        </r>
        <r>
          <rPr>
            <sz val="8"/>
            <color indexed="20"/>
            <rFont val="Tahoma"/>
            <charset val="134"/>
          </rPr>
          <t xml:space="preserve">
</t>
        </r>
      </text>
    </comment>
    <comment ref="H29" authorId="3" shapeId="0" xr:uid="{00000000-0006-0000-0000-00000D000000}">
      <text>
        <r>
          <rPr>
            <b/>
            <sz val="8"/>
            <rFont val="Tahoma"/>
            <charset val="134"/>
          </rPr>
          <t xml:space="preserve">Enter Aricent e-mail id only eg.
</t>
        </r>
      </text>
    </comment>
    <comment ref="Q30" authorId="0" shapeId="0" xr:uid="{00000000-0006-0000-0000-00000E000000}">
      <text>
        <r>
          <rPr>
            <b/>
            <sz val="8"/>
            <color indexed="56"/>
            <rFont val="Tahoma"/>
            <charset val="134"/>
          </rPr>
          <t>Inspection log path name.</t>
        </r>
        <r>
          <rPr>
            <sz val="8"/>
            <color indexed="56"/>
            <rFont val="Tahoma"/>
            <charset val="134"/>
          </rPr>
          <t xml:space="preserve">
</t>
        </r>
      </text>
    </comment>
    <comment ref="R30" authorId="0" shapeId="0" xr:uid="{00000000-0006-0000-0000-00000F000000}">
      <text>
        <r>
          <rPr>
            <b/>
            <sz val="8"/>
            <color indexed="56"/>
            <rFont val="Tahoma"/>
            <charset val="134"/>
          </rPr>
          <t xml:space="preserve">Comparision to generate unique defects Ids.
</t>
        </r>
      </text>
    </comment>
    <comment ref="S30" authorId="0" shapeId="0" xr:uid="{00000000-0006-0000-0000-000010000000}">
      <text>
        <r>
          <rPr>
            <b/>
            <sz val="8"/>
            <color indexed="56"/>
            <rFont val="Tahoma"/>
            <charset val="134"/>
          </rPr>
          <t xml:space="preserve">Comparision to generate unique ids.
</t>
        </r>
      </text>
    </comment>
    <comment ref="T30" authorId="0" shapeId="0" xr:uid="{00000000-0006-0000-0000-000011000000}">
      <text>
        <r>
          <rPr>
            <b/>
            <sz val="8"/>
            <color indexed="56"/>
            <rFont val="Tahoma"/>
            <charset val="134"/>
          </rPr>
          <t xml:space="preserve">Inspector name.
</t>
        </r>
      </text>
    </comment>
    <comment ref="U30" authorId="0" shapeId="0" xr:uid="{00000000-0006-0000-0000-000012000000}">
      <text>
        <r>
          <rPr>
            <b/>
            <sz val="8"/>
            <color indexed="56"/>
            <rFont val="Tahoma"/>
            <charset val="134"/>
          </rPr>
          <t>Comparison to avoid duplicate sheet.</t>
        </r>
        <r>
          <rPr>
            <sz val="8"/>
            <color indexed="56"/>
            <rFont val="Tahoma"/>
            <charset val="134"/>
          </rPr>
          <t xml:space="preserve">
</t>
        </r>
      </text>
    </comment>
    <comment ref="V30" authorId="0" shapeId="0" xr:uid="{00000000-0006-0000-0000-000013000000}">
      <text>
        <r>
          <rPr>
            <b/>
            <sz val="8"/>
            <color indexed="56"/>
            <rFont val="Tahoma"/>
            <charset val="134"/>
          </rPr>
          <t>Comparison to avoid duplicate sheet.</t>
        </r>
      </text>
    </comment>
    <comment ref="W30" authorId="0" shapeId="0" xr:uid="{00000000-0006-0000-0000-000014000000}">
      <text>
        <r>
          <rPr>
            <b/>
            <sz val="8"/>
            <color indexed="56"/>
            <rFont val="Tahoma"/>
            <charset val="134"/>
          </rPr>
          <t>Comparison to generate unique Inspection logs.</t>
        </r>
        <r>
          <rPr>
            <sz val="8"/>
            <color indexed="56"/>
            <rFont val="Tahoma"/>
            <charset val="134"/>
          </rPr>
          <t xml:space="preserve">
</t>
        </r>
      </text>
    </comment>
    <comment ref="W31" authorId="0" shapeId="0" xr:uid="{00000000-0006-0000-0000-000015000000}">
      <text>
        <r>
          <rPr>
            <b/>
            <sz val="8"/>
            <color indexed="56"/>
            <rFont val="Tahoma"/>
            <charset val="134"/>
          </rPr>
          <t>Comparison to generate unique Ids.</t>
        </r>
        <r>
          <rPr>
            <sz val="8"/>
            <color indexed="56"/>
            <rFont val="Tahoma"/>
            <charset val="134"/>
          </rPr>
          <t xml:space="preserve">
</t>
        </r>
      </text>
    </comment>
    <comment ref="W32" authorId="0" shapeId="0" xr:uid="{00000000-0006-0000-0000-000016000000}">
      <text>
        <r>
          <rPr>
            <b/>
            <sz val="8"/>
            <color indexed="56"/>
            <rFont val="Tahoma"/>
            <charset val="134"/>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1000000}">
      <text>
        <r>
          <rPr>
            <sz val="8"/>
            <color indexed="20"/>
            <rFont val="Tahoma"/>
            <charset val="134"/>
          </rPr>
          <t>Defect details count.</t>
        </r>
      </text>
    </comment>
    <comment ref="N8" authorId="1" shapeId="0" xr:uid="{00000000-0006-0000-0100-000002000000}">
      <text>
        <r>
          <rPr>
            <b/>
            <sz val="8"/>
            <color indexed="16"/>
            <rFont val="Tahoma"/>
            <charset val="134"/>
          </rPr>
          <t xml:space="preserve">Pre-meeting dispotion.
</t>
        </r>
        <r>
          <rPr>
            <b/>
            <sz val="8"/>
            <color indexed="18"/>
            <rFont val="Tahoma"/>
            <charset val="134"/>
          </rPr>
          <t>&lt;Not Used&gt;</t>
        </r>
      </text>
    </comment>
    <comment ref="E9" authorId="0" shapeId="0" xr:uid="{00000000-0006-0000-0100-000003000000}">
      <text>
        <r>
          <rPr>
            <b/>
            <sz val="9"/>
            <color indexed="56"/>
            <rFont val="Bookman Old Style"/>
            <charset val="134"/>
          </rPr>
          <t xml:space="preserve">Insert preparation time in minutes.
</t>
        </r>
      </text>
    </comment>
    <comment ref="H20" authorId="2" shapeId="0" xr:uid="{00000000-0006-0000-0100-000004000000}">
      <text>
        <r>
          <rPr>
            <b/>
            <sz val="8"/>
            <color indexed="17"/>
            <rFont val="Tahoma"/>
            <charset val="134"/>
          </rPr>
          <t>Defect Description: Describe the nature and context of the defect (filled by inspector)</t>
        </r>
      </text>
    </comment>
    <comment ref="I20" authorId="2" shapeId="0" xr:uid="{00000000-0006-0000-0100-000005000000}">
      <text>
        <r>
          <rPr>
            <b/>
            <sz val="8"/>
            <rFont val="Tahoma"/>
            <charset val="134"/>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300-000001000000}">
      <text>
        <r>
          <rPr>
            <b/>
            <sz val="8"/>
            <color indexed="16"/>
            <rFont val="Tahoma"/>
            <charset val="134"/>
          </rPr>
          <t>Disposition after -meeting.</t>
        </r>
        <r>
          <rPr>
            <sz val="8"/>
            <color indexed="16"/>
            <rFont val="Tahoma"/>
            <charset val="134"/>
          </rPr>
          <t xml:space="preserve">
</t>
        </r>
      </text>
    </comment>
    <comment ref="AB1" authorId="1" shapeId="0" xr:uid="{00000000-0006-0000-0300-000002000000}">
      <text>
        <r>
          <rPr>
            <sz val="8"/>
            <rFont val="Tahoma"/>
            <charset val="134"/>
          </rPr>
          <t>This is in the oder in which the reviewer's Initials appear in the Disposition Sheet</t>
        </r>
      </text>
    </comment>
    <comment ref="S2" authorId="0" shapeId="0" xr:uid="{00000000-0006-0000-0300-000003000000}">
      <text>
        <r>
          <rPr>
            <b/>
            <sz val="8"/>
            <color indexed="16"/>
            <rFont val="Tahoma"/>
            <charset val="134"/>
          </rPr>
          <t>Severity-wise sum.</t>
        </r>
        <r>
          <rPr>
            <sz val="8"/>
            <color indexed="16"/>
            <rFont val="Tahoma"/>
            <charset val="134"/>
          </rPr>
          <t xml:space="preserve">
</t>
        </r>
      </text>
    </comment>
    <comment ref="T2" authorId="2" shapeId="0" xr:uid="{00000000-0006-0000-0300-000004000000}">
      <text>
        <r>
          <rPr>
            <b/>
            <sz val="8"/>
            <color indexed="16"/>
            <rFont val="Tahoma"/>
            <charset val="134"/>
          </rPr>
          <t>Time taken for review/...</t>
        </r>
        <r>
          <rPr>
            <sz val="8"/>
            <color indexed="16"/>
            <rFont val="Tahoma"/>
            <charset val="134"/>
          </rPr>
          <t xml:space="preserve">
</t>
        </r>
      </text>
    </comment>
    <comment ref="S3" authorId="0" shapeId="0" xr:uid="{00000000-0006-0000-0300-000005000000}">
      <text>
        <r>
          <rPr>
            <b/>
            <sz val="8"/>
            <color indexed="16"/>
            <rFont val="Tahoma"/>
            <charset val="134"/>
          </rPr>
          <t>Root-cause-wise sum.</t>
        </r>
        <r>
          <rPr>
            <sz val="8"/>
            <color indexed="16"/>
            <rFont val="Tahoma"/>
            <charset val="134"/>
          </rPr>
          <t xml:space="preserve">
</t>
        </r>
      </text>
    </comment>
    <comment ref="S4" authorId="2" shapeId="0" xr:uid="{00000000-0006-0000-0300-000006000000}">
      <text>
        <r>
          <rPr>
            <b/>
            <sz val="8"/>
            <color indexed="16"/>
            <rFont val="Tahoma"/>
            <charset val="134"/>
          </rPr>
          <t xml:space="preserve">Rejected defect
</t>
        </r>
      </text>
    </comment>
    <comment ref="S6" authorId="2" shapeId="0" xr:uid="{00000000-0006-0000-0300-000007000000}">
      <text>
        <r>
          <rPr>
            <b/>
            <sz val="8"/>
            <color indexed="16"/>
            <rFont val="Tahoma"/>
            <charset val="134"/>
          </rPr>
          <t>'CLAD' disposition count.</t>
        </r>
      </text>
    </comment>
    <comment ref="S7" authorId="0" shapeId="0" xr:uid="{00000000-0006-0000-0300-000008000000}">
      <text>
        <r>
          <rPr>
            <b/>
            <sz val="8"/>
            <color indexed="16"/>
            <rFont val="Tahoma"/>
            <charset val="134"/>
          </rPr>
          <t>Disposition Pre -meeting.</t>
        </r>
        <r>
          <rPr>
            <sz val="8"/>
            <color indexed="16"/>
            <rFont val="Tahoma"/>
            <charset val="134"/>
          </rPr>
          <t xml:space="preserve">
</t>
        </r>
      </text>
    </comment>
    <comment ref="S8" authorId="2" shapeId="0" xr:uid="{00000000-0006-0000-0300-000009000000}">
      <text>
        <r>
          <rPr>
            <b/>
            <sz val="8"/>
            <color indexed="16"/>
            <rFont val="Tahoma"/>
            <charset val="134"/>
          </rPr>
          <t>Defects description.</t>
        </r>
      </text>
    </comment>
    <comment ref="S9" authorId="2" shapeId="0" xr:uid="{00000000-0006-0000-0300-00000A000000}">
      <text>
        <r>
          <rPr>
            <b/>
            <sz val="8"/>
            <color indexed="16"/>
            <rFont val="Tahoma"/>
            <charset val="134"/>
          </rPr>
          <t>Moderator log review check.</t>
        </r>
        <r>
          <rPr>
            <sz val="8"/>
            <color indexed="16"/>
            <rFont val="Tahoma"/>
            <charset val="134"/>
          </rPr>
          <t xml:space="preserve">
</t>
        </r>
      </text>
    </comment>
    <comment ref="S10" authorId="2" shapeId="0" xr:uid="{00000000-0006-0000-0300-00000B000000}">
      <text>
        <r>
          <rPr>
            <b/>
            <sz val="8"/>
            <color indexed="16"/>
            <rFont val="Tahoma"/>
            <charset val="134"/>
          </rPr>
          <t>Inspection disposition check.</t>
        </r>
        <r>
          <rPr>
            <sz val="8"/>
            <color indexed="16"/>
            <rFont val="Tahoma"/>
            <charset val="134"/>
          </rPr>
          <t xml:space="preserve">
</t>
        </r>
      </text>
    </comment>
    <comment ref="T16" authorId="2" shapeId="0" xr:uid="{00000000-0006-0000-0300-00000C000000}">
      <text>
        <r>
          <rPr>
            <b/>
            <sz val="8"/>
            <color indexed="16"/>
            <rFont val="Tahoma"/>
            <charset val="134"/>
          </rPr>
          <t xml:space="preserve">Sum of Root-cause-wise defects.
</t>
        </r>
      </text>
    </comment>
    <comment ref="I22" authorId="3" shapeId="0" xr:uid="{00000000-0006-0000-0300-00000D000000}">
      <text>
        <r>
          <rPr>
            <sz val="8"/>
            <color indexed="60"/>
            <rFont val="Arial"/>
            <charset val="134"/>
          </rPr>
          <t>Insert Overall REWORK effort (in Minutes) spend on fixing all accepted defects.</t>
        </r>
      </text>
    </comment>
    <comment ref="G30" authorId="4" shapeId="0" xr:uid="{00000000-0006-0000-0300-00000E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300-00000F000000}">
      <text>
        <r>
          <rPr>
            <b/>
            <sz val="8"/>
            <color indexed="56"/>
            <rFont val="Tahoma"/>
            <charset val="134"/>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300-000010000000}">
      <text>
        <r>
          <rPr>
            <b/>
            <sz val="7"/>
            <color indexed="56"/>
            <rFont val="Times New Roman"/>
            <charset val="134"/>
          </rPr>
          <t>It is mandatory for Critical, Major and Enhancement defects to put in comment section No./Location in a Document/code where defect has been disposed.</t>
        </r>
      </text>
    </comment>
    <comment ref="R30" authorId="4" shapeId="0" xr:uid="{00000000-0006-0000-0300-000011000000}">
      <text>
        <r>
          <rPr>
            <sz val="8"/>
            <rFont val="Tahoma"/>
            <charset val="134"/>
          </rPr>
          <t>to check if all  "REJ comment have a disposition comment given</t>
        </r>
      </text>
    </comment>
    <comment ref="U30" authorId="4" shapeId="0" xr:uid="{00000000-0006-0000-0300-000012000000}">
      <text>
        <r>
          <rPr>
            <sz val="8"/>
            <rFont val="Tahoma"/>
            <charset val="134"/>
          </rPr>
          <t>to check if all  "REJ comment have a disposition comment given</t>
        </r>
      </text>
    </comment>
    <comment ref="X30" authorId="4" shapeId="0" xr:uid="{00000000-0006-0000-0300-000013000000}">
      <text>
        <r>
          <rPr>
            <sz val="8"/>
            <rFont val="Tahoma"/>
            <charset val="134"/>
          </rPr>
          <t>to check if all  "ACC comment have a Type given</t>
        </r>
      </text>
    </comment>
    <comment ref="Y30" authorId="4" shapeId="0" xr:uid="{00000000-0006-0000-0300-000014000000}">
      <text>
        <r>
          <rPr>
            <sz val="8"/>
            <rFont val="Tahoma"/>
            <charset val="134"/>
          </rPr>
          <t>to check if all  "ACC comment have a Status given</t>
        </r>
      </text>
    </comment>
  </commentList>
</comments>
</file>

<file path=xl/sharedStrings.xml><?xml version="1.0" encoding="utf-8"?>
<sst xmlns="http://schemas.openxmlformats.org/spreadsheetml/2006/main" count="651" uniqueCount="330">
  <si>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</si>
  <si>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</si>
  <si>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</si>
  <si>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</si>
  <si>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</si>
  <si>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</si>
  <si>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</si>
  <si>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</si>
  <si>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</si>
  <si>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</si>
  <si>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</si>
  <si>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</si>
  <si>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</si>
  <si>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</si>
  <si>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</si>
  <si>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</si>
  <si>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</si>
  <si>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</si>
  <si>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</si>
  <si>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</si>
  <si>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</si>
  <si>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</si>
  <si>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</si>
  <si>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</si>
  <si>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</si>
  <si>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</si>
  <si>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</si>
  <si>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</si>
  <si>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</si>
  <si>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</si>
  <si>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</si>
  <si>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</si>
  <si>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</si>
  <si>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</si>
  <si>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</si>
  <si>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</si>
  <si>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</si>
  <si>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</si>
  <si>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</si>
  <si>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</si>
  <si>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</si>
  <si>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</si>
  <si>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</si>
  <si>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</si>
  <si>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</si>
  <si>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</si>
  <si>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</si>
  <si>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</si>
  <si>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</si>
  <si>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</si>
  <si>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</si>
  <si>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</si>
  <si>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</si>
  <si>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</si>
  <si>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</si>
  <si>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</si>
  <si>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</si>
  <si>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</si>
  <si>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</si>
  <si>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</si>
  <si>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</si>
  <si>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</si>
  <si>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</si>
  <si>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</si>
  <si>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</si>
  <si>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</si>
  <si>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</si>
  <si>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</si>
  <si>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</si>
  <si>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</si>
  <si>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</si>
  <si>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</si>
  <si>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</si>
  <si>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</si>
  <si>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</si>
  <si>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</si>
  <si>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</si>
  <si>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</si>
  <si>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</si>
  <si>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</si>
  <si>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</si>
  <si>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</si>
  <si>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</si>
  <si>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</si>
  <si>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</si>
  <si>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</si>
  <si>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</si>
  <si>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</si>
  <si>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</si>
  <si>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</si>
  <si>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</si>
  <si>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</si>
  <si>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</si>
  <si>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</si>
  <si>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</si>
  <si>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</si>
  <si>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</si>
  <si>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</si>
  <si>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</si>
  <si>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</si>
  <si>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</si>
  <si>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</si>
  <si>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</si>
  <si>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</si>
  <si>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</si>
  <si>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</si>
  <si>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</si>
  <si>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</si>
  <si>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</si>
  <si>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</si>
  <si>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</si>
  <si>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</si>
  <si>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charset val="134"/>
      </rPr>
      <t>Note:</t>
    </r>
    <r>
      <rPr>
        <i/>
        <sz val="9"/>
        <color rgb="FFC00000"/>
        <rFont val="Arial"/>
        <charset val="134"/>
      </rPr>
      <t xml:space="preserve"> </t>
    </r>
    <r>
      <rPr>
        <i/>
        <sz val="8"/>
        <color rgb="FFC00000"/>
        <rFont val="Arial"/>
        <charset val="134"/>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</si>
  <si>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</si>
  <si>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</si>
  <si>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</si>
  <si>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</si>
  <si>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</si>
  <si>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</si>
  <si>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</si>
  <si>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</si>
  <si>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</si>
  <si>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</si>
  <si>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</si>
  <si>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</si>
  <si>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</si>
  <si>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</si>
  <si>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</si>
  <si>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</si>
  <si>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</si>
  <si>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</si>
  <si>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</si>
  <si>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</si>
  <si>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</si>
  <si>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</si>
  <si>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</si>
  <si>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</si>
  <si>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</si>
  <si>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</si>
  <si>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</si>
  <si>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</si>
  <si>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</si>
  <si>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</si>
  <si>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</si>
  <si>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</si>
  <si>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</si>
  <si>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</si>
  <si>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</si>
  <si>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</si>
  <si>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</si>
  <si>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</si>
  <si>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</si>
  <si>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</si>
  <si>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</si>
  <si>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</si>
  <si>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</si>
  <si>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</si>
  <si>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</si>
  <si>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</si>
  <si>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</si>
  <si>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</si>
  <si>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</si>
  <si>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</si>
  <si>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</si>
  <si>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</si>
  <si>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</si>
  <si>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</si>
  <si>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</si>
  <si>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</si>
  <si>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Hotel Reservation/Management Software</t>
  </si>
  <si>
    <t>Function/ Class / Object</t>
  </si>
  <si>
    <t>Artifact Name</t>
  </si>
  <si>
    <t>Timing/ Serialization / Synchronization</t>
  </si>
  <si>
    <t>Artifact Type</t>
  </si>
  <si>
    <t>Interface/ O-O Messages</t>
  </si>
  <si>
    <t>Author</t>
  </si>
  <si>
    <t>Group 5</t>
  </si>
  <si>
    <t>Reviewer</t>
  </si>
  <si>
    <t>Srinivas. R</t>
  </si>
  <si>
    <t>Documentation</t>
  </si>
  <si>
    <t>Prepration Time (mins)</t>
  </si>
  <si>
    <t>Others (Please Specify)</t>
  </si>
  <si>
    <t>Cosmetic</t>
  </si>
  <si>
    <t>Filled in by Reviewer</t>
  </si>
  <si>
    <t>After meeting Dispostion</t>
  </si>
  <si>
    <r>
      <rPr>
        <b/>
        <sz val="9"/>
        <color rgb="FFC00000"/>
        <rFont val="Arial"/>
        <charset val="134"/>
      </rPr>
      <t>Rating Codes</t>
    </r>
    <r>
      <rPr>
        <i/>
        <sz val="9"/>
        <color rgb="FFC00000"/>
        <rFont val="Arial"/>
        <charset val="134"/>
      </rPr>
      <t xml:space="preserve"> (Filled by inspector)</t>
    </r>
  </si>
  <si>
    <r>
      <rPr>
        <b/>
        <sz val="9"/>
        <color rgb="FFC00000"/>
        <rFont val="Arial"/>
        <charset val="134"/>
      </rPr>
      <t xml:space="preserve">Phase-Injected Codes </t>
    </r>
    <r>
      <rPr>
        <i/>
        <sz val="9"/>
        <color rgb="FFC00000"/>
        <rFont val="Arial"/>
        <charset val="134"/>
      </rPr>
      <t>(Filled in by inspector)</t>
    </r>
  </si>
  <si>
    <r>
      <rPr>
        <b/>
        <sz val="9"/>
        <color rgb="FFC00000"/>
        <rFont val="Arial"/>
        <charset val="134"/>
      </rPr>
      <t xml:space="preserve">Disposition  Codes </t>
    </r>
    <r>
      <rPr>
        <i/>
        <sz val="9"/>
        <color rgb="FFC00000"/>
        <rFont val="Arial"/>
        <charset val="134"/>
      </rPr>
      <t>(Filled in by inspector)</t>
    </r>
  </si>
  <si>
    <t>Yes</t>
  </si>
  <si>
    <r>
      <rPr>
        <b/>
        <sz val="10"/>
        <color theme="9" tint="-0.249977111117893"/>
        <rFont val="Arial"/>
        <charset val="134"/>
      </rPr>
      <t xml:space="preserve">CR = </t>
    </r>
    <r>
      <rPr>
        <sz val="10"/>
        <color theme="9" tint="-0.249977111117893"/>
        <rFont val="Arial"/>
        <charset val="134"/>
      </rPr>
      <t>Critical</t>
    </r>
  </si>
  <si>
    <r>
      <rPr>
        <b/>
        <sz val="10"/>
        <color theme="9" tint="-0.249977111117893"/>
        <rFont val="Arial"/>
        <charset val="134"/>
      </rPr>
      <t xml:space="preserve">PP = </t>
    </r>
    <r>
      <rPr>
        <sz val="10"/>
        <color theme="9" tint="-0.249977111117893"/>
        <rFont val="Arial"/>
        <charset val="134"/>
      </rPr>
      <t xml:space="preserve">Project Plan     </t>
    </r>
    <r>
      <rPr>
        <b/>
        <sz val="10"/>
        <color theme="9" tint="-0.249977111117893"/>
        <rFont val="Arial"/>
        <charset val="134"/>
      </rPr>
      <t xml:space="preserve">               UT = </t>
    </r>
    <r>
      <rPr>
        <sz val="10"/>
        <color theme="9" tint="-0.249977111117893"/>
        <rFont val="Arial"/>
        <charset val="134"/>
      </rPr>
      <t>Unit Testing</t>
    </r>
  </si>
  <si>
    <r>
      <rPr>
        <b/>
        <sz val="10"/>
        <color theme="9" tint="-0.249977111117893"/>
        <rFont val="Arial"/>
        <charset val="134"/>
      </rPr>
      <t xml:space="preserve">ACC = </t>
    </r>
    <r>
      <rPr>
        <sz val="10"/>
        <color theme="9" tint="-0.249977111117893"/>
        <rFont val="Arial"/>
        <charset val="134"/>
      </rPr>
      <t>Accepted</t>
    </r>
  </si>
  <si>
    <r>
      <rPr>
        <b/>
        <sz val="10"/>
        <color theme="9" tint="-0.249977111117893"/>
        <rFont val="Arial"/>
        <charset val="134"/>
      </rPr>
      <t xml:space="preserve">MA = </t>
    </r>
    <r>
      <rPr>
        <sz val="10"/>
        <color theme="9" tint="-0.249977111117893"/>
        <rFont val="Arial"/>
        <charset val="134"/>
      </rPr>
      <t>Major</t>
    </r>
  </si>
  <si>
    <r>
      <rPr>
        <b/>
        <sz val="10"/>
        <color theme="9" tint="-0.249977111117893"/>
        <rFont val="Arial"/>
        <charset val="134"/>
      </rPr>
      <t xml:space="preserve">Req. = </t>
    </r>
    <r>
      <rPr>
        <sz val="10"/>
        <color theme="9" tint="-0.249977111117893"/>
        <rFont val="Arial"/>
        <charset val="134"/>
      </rPr>
      <t xml:space="preserve">Requirement </t>
    </r>
    <r>
      <rPr>
        <b/>
        <sz val="10"/>
        <color theme="9" tint="-0.249977111117893"/>
        <rFont val="Arial"/>
        <charset val="134"/>
      </rPr>
      <t xml:space="preserve">              SSIT = </t>
    </r>
    <r>
      <rPr>
        <sz val="10"/>
        <color theme="9" tint="-0.249977111117893"/>
        <rFont val="Arial"/>
        <charset val="134"/>
      </rPr>
      <t>SSI Testing</t>
    </r>
  </si>
  <si>
    <r>
      <rPr>
        <b/>
        <sz val="10"/>
        <color theme="9" tint="-0.249977111117893"/>
        <rFont val="Arial"/>
        <charset val="134"/>
      </rPr>
      <t xml:space="preserve">REJ = </t>
    </r>
    <r>
      <rPr>
        <sz val="10"/>
        <color theme="9" tint="-0.249977111117893"/>
        <rFont val="Arial"/>
        <charset val="134"/>
      </rPr>
      <t>Rejecetd</t>
    </r>
  </si>
  <si>
    <r>
      <rPr>
        <b/>
        <sz val="10"/>
        <color theme="9" tint="-0.249977111117893"/>
        <rFont val="Arial"/>
        <charset val="134"/>
      </rPr>
      <t xml:space="preserve">MI = </t>
    </r>
    <r>
      <rPr>
        <sz val="10"/>
        <color theme="9" tint="-0.249977111117893"/>
        <rFont val="Arial"/>
        <charset val="134"/>
      </rPr>
      <t>Minor</t>
    </r>
  </si>
  <si>
    <r>
      <rPr>
        <b/>
        <sz val="10"/>
        <color theme="9" tint="-0.249977111117893"/>
        <rFont val="Arial"/>
        <charset val="134"/>
      </rPr>
      <t xml:space="preserve">HLD = </t>
    </r>
    <r>
      <rPr>
        <sz val="10"/>
        <color theme="9" tint="-0.249977111117893"/>
        <rFont val="Arial"/>
        <charset val="134"/>
      </rPr>
      <t>High Level Design</t>
    </r>
    <r>
      <rPr>
        <b/>
        <sz val="10"/>
        <color theme="9" tint="-0.249977111117893"/>
        <rFont val="Arial"/>
        <charset val="134"/>
      </rPr>
      <t xml:space="preserve">      SIT = </t>
    </r>
    <r>
      <rPr>
        <sz val="10"/>
        <color theme="9" tint="-0.249977111117893"/>
        <rFont val="Arial"/>
        <charset val="134"/>
      </rPr>
      <t>SI Testing</t>
    </r>
  </si>
  <si>
    <r>
      <rPr>
        <b/>
        <sz val="10"/>
        <color theme="9" tint="-0.249977111117893"/>
        <rFont val="Arial"/>
        <charset val="134"/>
      </rPr>
      <t xml:space="preserve">DUP = </t>
    </r>
    <r>
      <rPr>
        <sz val="10"/>
        <color theme="9" tint="-0.249977111117893"/>
        <rFont val="Arial"/>
        <charset val="134"/>
      </rPr>
      <t>Duplicate</t>
    </r>
  </si>
  <si>
    <r>
      <rPr>
        <b/>
        <sz val="10"/>
        <color theme="9" tint="-0.249977111117893"/>
        <rFont val="Arial"/>
        <charset val="134"/>
      </rPr>
      <t xml:space="preserve">E = </t>
    </r>
    <r>
      <rPr>
        <sz val="10"/>
        <color theme="9" tint="-0.249977111117893"/>
        <rFont val="Arial"/>
        <charset val="134"/>
      </rPr>
      <t>Enhancement</t>
    </r>
  </si>
  <si>
    <r>
      <rPr>
        <b/>
        <sz val="10"/>
        <color theme="9" tint="-0.249977111117893"/>
        <rFont val="Arial"/>
        <charset val="134"/>
      </rPr>
      <t>LLD =</t>
    </r>
    <r>
      <rPr>
        <sz val="10"/>
        <color theme="9" tint="-0.249977111117893"/>
        <rFont val="Arial"/>
        <charset val="134"/>
      </rPr>
      <t xml:space="preserve"> Low Level Design  </t>
    </r>
    <r>
      <rPr>
        <b/>
        <sz val="10"/>
        <color theme="9" tint="-0.249977111117893"/>
        <rFont val="Arial"/>
        <charset val="134"/>
      </rPr>
      <t xml:space="preserve">      RT = </t>
    </r>
    <r>
      <rPr>
        <sz val="10"/>
        <color theme="9" tint="-0.249977111117893"/>
        <rFont val="Arial"/>
        <charset val="134"/>
      </rPr>
      <t>Release Testing</t>
    </r>
  </si>
  <si>
    <r>
      <rPr>
        <b/>
        <sz val="10"/>
        <color theme="9" tint="-0.249977111117893"/>
        <rFont val="Arial"/>
        <charset val="134"/>
      </rPr>
      <t xml:space="preserve">CO = </t>
    </r>
    <r>
      <rPr>
        <sz val="10"/>
        <color theme="9" tint="-0.249977111117893"/>
        <rFont val="Arial"/>
        <charset val="134"/>
      </rPr>
      <t>Cosmetic</t>
    </r>
  </si>
  <si>
    <r>
      <rPr>
        <b/>
        <sz val="10"/>
        <color theme="9" tint="-0.249977111117893"/>
        <rFont val="Arial"/>
        <charset val="134"/>
      </rPr>
      <t xml:space="preserve">Code = </t>
    </r>
    <r>
      <rPr>
        <sz val="10"/>
        <color theme="9" tint="-0.249977111117893"/>
        <rFont val="Arial"/>
        <charset val="134"/>
      </rPr>
      <t xml:space="preserve">Coding      </t>
    </r>
    <r>
      <rPr>
        <b/>
        <sz val="10"/>
        <color theme="9" tint="-0.249977111117893"/>
        <rFont val="Arial"/>
        <charset val="134"/>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</si>
  <si>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</si>
  <si>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</si>
  <si>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</si>
  <si>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</si>
  <si>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</si>
  <si>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</si>
  <si>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</si>
  <si>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</si>
  <si>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</si>
  <si>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</si>
  <si>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</si>
  <si>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</si>
  <si>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</si>
  <si>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</si>
  <si>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</si>
  <si>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</si>
  <si>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</si>
  <si>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</si>
  <si>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</si>
  <si>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</si>
  <si>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</si>
  <si>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</si>
  <si>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rPr>
        <b/>
        <sz val="10"/>
        <color rgb="FFFF0000"/>
        <rFont val="Arial"/>
        <charset val="134"/>
      </rPr>
      <t>STEP 1.</t>
    </r>
    <r>
      <rPr>
        <b/>
        <sz val="8"/>
        <color rgb="FFFF0000"/>
        <rFont val="Arial"/>
        <charset val="134"/>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</si>
  <si>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</si>
  <si>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</si>
  <si>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</si>
  <si>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</si>
  <si>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</si>
  <si>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</si>
  <si>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</si>
  <si>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</si>
  <si>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</si>
  <si>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</si>
  <si>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</si>
  <si>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</si>
  <si>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</si>
  <si>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</si>
  <si>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</si>
  <si>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</si>
  <si>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</si>
  <si>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</si>
  <si>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</si>
  <si>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</si>
  <si>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</si>
  <si>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</si>
  <si>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</si>
  <si>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</si>
  <si>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</si>
  <si>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</si>
  <si>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</si>
  <si>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</si>
  <si>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</si>
  <si>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</si>
  <si>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</si>
  <si>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</si>
  <si>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</si>
  <si>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</si>
  <si>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</si>
  <si>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</si>
  <si>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</si>
  <si>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</si>
  <si>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</si>
  <si>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</si>
  <si>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</si>
  <si>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</si>
  <si>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</si>
  <si>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</si>
  <si>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</si>
  <si>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</si>
  <si>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</si>
  <si>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</si>
  <si>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</si>
  <si>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</si>
  <si>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</si>
  <si>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</si>
  <si>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</si>
  <si>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</si>
  <si>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</si>
  <si>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</si>
  <si>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</si>
  <si>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</si>
  <si>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</si>
  <si>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</si>
  <si>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</si>
  <si>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</si>
  <si>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</si>
  <si>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</si>
  <si>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</si>
  <si>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</si>
  <si>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</si>
  <si>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</si>
  <si>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</si>
  <si>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</si>
  <si>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</si>
  <si>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</si>
  <si>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</si>
  <si>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</si>
  <si>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</si>
  <si>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</si>
  <si>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</si>
  <si>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</si>
  <si>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</si>
  <si>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</si>
  <si>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</si>
  <si>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</si>
  <si>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</si>
  <si>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</si>
  <si>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</si>
  <si>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</si>
  <si>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</si>
  <si>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</si>
  <si>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</si>
  <si>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</si>
  <si>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</si>
  <si>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</si>
  <si>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</si>
  <si>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</si>
  <si>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</si>
  <si>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</si>
  <si>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rPr>
        <sz val="10"/>
        <rFont val="Arial"/>
        <charset val="134"/>
      </rP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charset val="134"/>
      </rPr>
      <t xml:space="preserve">
</t>
    </r>
    <r>
      <rPr>
        <sz val="10"/>
        <rFont val="Arial"/>
        <charset val="134"/>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</si>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</sst>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dd/mmm/yy"/>
    <numFmt numFmtId="166" formatCode="0.000"/>
    <numFmt numFmtId="167" formatCode="dd/mmm"/>
  </numFmts>
  <fonts count="82">
    <font>
      <sz val="10"/>
      <name val="Arial"/>
      <charset val="134"/>
    </font>
    <font>
      <b/>
      <sz val="14"/>
      <color indexed="9"/>
      <name val="Arial"/>
      <charset val="134"/>
    </font>
    <font>
      <b/>
      <sz val="12"/>
      <color indexed="9"/>
      <name val="Arial"/>
      <charset val="134"/>
    </font>
    <font>
      <b/>
      <sz val="10"/>
      <color indexed="63"/>
      <name val="Arial"/>
      <charset val="134"/>
    </font>
    <font>
      <sz val="22"/>
      <name val="Arial"/>
      <charset val="134"/>
    </font>
    <font>
      <b/>
      <sz val="22"/>
      <color indexed="26"/>
      <name val="Arial"/>
      <charset val="134"/>
    </font>
    <font>
      <sz val="10"/>
      <name val="Bookman Old Style"/>
      <charset val="134"/>
    </font>
    <font>
      <sz val="10"/>
      <color indexed="31"/>
      <name val="Bookman Old Style"/>
      <charset val="134"/>
    </font>
    <font>
      <b/>
      <sz val="12"/>
      <color theme="9" tint="0.79995117038483843"/>
      <name val="Arial"/>
      <charset val="134"/>
    </font>
    <font>
      <b/>
      <sz val="11"/>
      <color rgb="FFC00000"/>
      <name val="Arial"/>
      <charset val="134"/>
    </font>
    <font>
      <b/>
      <sz val="10"/>
      <color rgb="FFEB8024"/>
      <name val="Arial"/>
      <charset val="134"/>
    </font>
    <font>
      <b/>
      <sz val="10"/>
      <color rgb="FFC00000"/>
      <name val="Arial"/>
      <charset val="134"/>
    </font>
    <font>
      <i/>
      <sz val="10"/>
      <name val="Verdana"/>
      <charset val="134"/>
    </font>
    <font>
      <sz val="10"/>
      <name val="Verdana"/>
      <charset val="134"/>
    </font>
    <font>
      <b/>
      <sz val="9"/>
      <color indexed="12"/>
      <name val="Verdana"/>
      <charset val="134"/>
    </font>
    <font>
      <b/>
      <sz val="10"/>
      <name val="Verdana"/>
      <charset val="134"/>
    </font>
    <font>
      <sz val="9"/>
      <name val="Verdana"/>
      <charset val="134"/>
    </font>
    <font>
      <b/>
      <sz val="9"/>
      <name val="Verdana"/>
      <charset val="134"/>
    </font>
    <font>
      <sz val="10"/>
      <color theme="0"/>
      <name val="Bookman Old Style"/>
      <charset val="134"/>
    </font>
    <font>
      <sz val="10"/>
      <color theme="0"/>
      <name val="Arial"/>
      <charset val="134"/>
    </font>
    <font>
      <b/>
      <sz val="22"/>
      <color theme="0"/>
      <name val="Arial"/>
      <charset val="134"/>
    </font>
    <font>
      <b/>
      <sz val="9"/>
      <color theme="9" tint="0.79995117038483843"/>
      <name val="Arial"/>
      <charset val="134"/>
    </font>
    <font>
      <b/>
      <sz val="10"/>
      <color theme="9" tint="0.79995117038483843"/>
      <name val="Arial"/>
      <charset val="134"/>
    </font>
    <font>
      <b/>
      <sz val="10"/>
      <color indexed="56"/>
      <name val="Bookman Old Style"/>
      <charset val="134"/>
    </font>
    <font>
      <b/>
      <sz val="10"/>
      <color indexed="31"/>
      <name val="Bookman Old Style"/>
      <charset val="134"/>
    </font>
    <font>
      <b/>
      <sz val="10"/>
      <color theme="9" tint="0.79995117038483843"/>
      <name val="Bookman Old Style"/>
      <charset val="134"/>
    </font>
    <font>
      <sz val="10"/>
      <color indexed="18"/>
      <name val="Arial"/>
      <charset val="134"/>
    </font>
    <font>
      <sz val="10"/>
      <color theme="1" tint="0.249977111117893"/>
      <name val="Arial"/>
      <charset val="134"/>
    </font>
    <font>
      <b/>
      <sz val="10"/>
      <color rgb="FFFF0000"/>
      <name val="Arial"/>
      <charset val="134"/>
    </font>
    <font>
      <i/>
      <sz val="10"/>
      <color indexed="18"/>
      <name val="Arial"/>
      <charset val="134"/>
    </font>
    <font>
      <i/>
      <sz val="10"/>
      <name val="Arial"/>
      <charset val="134"/>
    </font>
    <font>
      <sz val="10"/>
      <color indexed="9"/>
      <name val="Bookman Old Style"/>
      <charset val="134"/>
    </font>
    <font>
      <sz val="10"/>
      <color indexed="22"/>
      <name val="Bookman Old Style"/>
      <charset val="134"/>
    </font>
    <font>
      <b/>
      <sz val="10"/>
      <color theme="1" tint="0.499984740745262"/>
      <name val="Arial"/>
      <charset val="134"/>
    </font>
    <font>
      <b/>
      <sz val="11"/>
      <color theme="9" tint="0.79995117038483843"/>
      <name val="Arial"/>
      <charset val="134"/>
    </font>
    <font>
      <b/>
      <sz val="9"/>
      <color rgb="FFC00000"/>
      <name val="Arial"/>
      <charset val="134"/>
    </font>
    <font>
      <b/>
      <sz val="10"/>
      <color theme="9" tint="-0.249977111117893"/>
      <name val="Arial"/>
      <charset val="134"/>
    </font>
    <font>
      <sz val="10"/>
      <color theme="1" tint="0.24994659260841701"/>
      <name val="Arial"/>
      <charset val="134"/>
    </font>
    <font>
      <b/>
      <sz val="10"/>
      <color indexed="55"/>
      <name val="Bookman Old Style"/>
      <charset val="134"/>
    </font>
    <font>
      <b/>
      <sz val="10"/>
      <color indexed="23"/>
      <name val="Bookman Old Style"/>
      <charset val="134"/>
    </font>
    <font>
      <b/>
      <sz val="10"/>
      <color indexed="22"/>
      <name val="Bookman Old Style"/>
      <charset val="134"/>
    </font>
    <font>
      <b/>
      <sz val="10"/>
      <color indexed="20"/>
      <name val="Bookman Old Style"/>
      <charset val="134"/>
    </font>
    <font>
      <sz val="10"/>
      <color indexed="23"/>
      <name val="Bookman Old Style"/>
      <charset val="134"/>
    </font>
    <font>
      <b/>
      <sz val="11"/>
      <color indexed="49"/>
      <name val="Bookman Old Style"/>
      <charset val="134"/>
    </font>
    <font>
      <sz val="10"/>
      <color indexed="55"/>
      <name val="Bookman Old Style"/>
      <charset val="134"/>
    </font>
    <font>
      <b/>
      <sz val="10"/>
      <color indexed="16"/>
      <name val="Bookman Old Style"/>
      <charset val="134"/>
    </font>
    <font>
      <sz val="10"/>
      <color indexed="12"/>
      <name val="Bookman Old Style"/>
      <charset val="134"/>
    </font>
    <font>
      <sz val="10"/>
      <color rgb="FFFF0000"/>
      <name val="Arial"/>
      <charset val="134"/>
    </font>
    <font>
      <sz val="10"/>
      <color rgb="FFFF0000"/>
      <name val="Bookman Old Style"/>
      <charset val="134"/>
    </font>
    <font>
      <b/>
      <u/>
      <sz val="14"/>
      <color rgb="FFEB8024"/>
      <name val="Arial"/>
      <charset val="134"/>
    </font>
    <font>
      <sz val="9"/>
      <color theme="1" tint="0.34998626667073579"/>
      <name val="Arial"/>
      <charset val="134"/>
    </font>
    <font>
      <u/>
      <sz val="10"/>
      <color indexed="12"/>
      <name val="Arial"/>
      <charset val="134"/>
    </font>
    <font>
      <u/>
      <sz val="9"/>
      <color theme="1" tint="0.34998626667073579"/>
      <name val="Arial"/>
      <charset val="134"/>
    </font>
    <font>
      <i/>
      <sz val="9"/>
      <color rgb="FFC00000"/>
      <name val="Arial"/>
      <charset val="134"/>
    </font>
    <font>
      <b/>
      <sz val="11"/>
      <color theme="9" tint="0.79995117038483843"/>
      <name val="Bookman Old Style"/>
      <charset val="134"/>
    </font>
    <font>
      <b/>
      <sz val="10"/>
      <name val="Bookman Old Style"/>
      <charset val="134"/>
    </font>
    <font>
      <b/>
      <sz val="11"/>
      <color theme="0"/>
      <name val="Arial"/>
      <charset val="134"/>
    </font>
    <font>
      <b/>
      <sz val="11"/>
      <color theme="0"/>
      <name val="Bookman Old Style"/>
      <charset val="134"/>
    </font>
    <font>
      <b/>
      <sz val="10"/>
      <color rgb="FFFF0000"/>
      <name val="Bookman Old Style"/>
      <charset val="134"/>
    </font>
    <font>
      <b/>
      <sz val="10"/>
      <color theme="0"/>
      <name val="Bookman Old Style"/>
      <charset val="134"/>
    </font>
    <font>
      <sz val="10"/>
      <color indexed="44"/>
      <name val="Bookman Old Style"/>
      <charset val="134"/>
    </font>
    <font>
      <b/>
      <sz val="10"/>
      <color theme="0"/>
      <name val="Arial"/>
      <charset val="134"/>
    </font>
    <font>
      <u/>
      <sz val="10"/>
      <name val="Arial"/>
      <charset val="134"/>
    </font>
    <font>
      <b/>
      <sz val="8"/>
      <color rgb="FFFF0000"/>
      <name val="Arial"/>
      <charset val="134"/>
    </font>
    <font>
      <sz val="10"/>
      <color theme="9" tint="-0.249977111117893"/>
      <name val="Arial"/>
      <charset val="134"/>
    </font>
    <font>
      <b/>
      <u/>
      <sz val="9"/>
      <color rgb="FFC00000"/>
      <name val="Arial"/>
      <charset val="134"/>
    </font>
    <font>
      <i/>
      <sz val="8"/>
      <color rgb="FFC00000"/>
      <name val="Arial"/>
      <charset val="134"/>
    </font>
    <font>
      <b/>
      <sz val="8"/>
      <color indexed="17"/>
      <name val="Tahoma"/>
      <charset val="134"/>
    </font>
    <font>
      <b/>
      <sz val="8"/>
      <color indexed="16"/>
      <name val="Tahoma"/>
      <charset val="134"/>
    </font>
    <font>
      <b/>
      <sz val="8"/>
      <color indexed="56"/>
      <name val="Tahoma"/>
      <charset val="134"/>
    </font>
    <font>
      <sz val="8"/>
      <color indexed="16"/>
      <name val="Tahoma"/>
      <charset val="134"/>
    </font>
    <font>
      <b/>
      <sz val="8"/>
      <name val="Tahoma"/>
      <charset val="134"/>
    </font>
    <font>
      <b/>
      <sz val="8"/>
      <color indexed="18"/>
      <name val="Tahoma"/>
      <charset val="134"/>
    </font>
    <font>
      <b/>
      <sz val="10"/>
      <name val="Tahoma"/>
      <charset val="134"/>
    </font>
    <font>
      <sz val="8"/>
      <name val="Tahoma"/>
      <charset val="134"/>
    </font>
    <font>
      <sz val="8"/>
      <color indexed="56"/>
      <name val="Tahoma"/>
      <charset val="134"/>
    </font>
    <font>
      <b/>
      <sz val="8"/>
      <color indexed="20"/>
      <name val="Tahoma"/>
      <charset val="134"/>
    </font>
    <font>
      <sz val="8"/>
      <color indexed="20"/>
      <name val="Tahoma"/>
      <charset val="134"/>
    </font>
    <font>
      <b/>
      <sz val="9"/>
      <color indexed="56"/>
      <name val="Bookman Old Style"/>
      <charset val="134"/>
    </font>
    <font>
      <sz val="8"/>
      <color indexed="60"/>
      <name val="Arial"/>
      <charset val="134"/>
    </font>
    <font>
      <b/>
      <sz val="7"/>
      <color indexed="56"/>
      <name val="Times New Roman"/>
      <charset val="134"/>
    </font>
    <font>
      <sz val="10"/>
      <name val="Arial"/>
      <charset val="134"/>
    </font>
  </fonts>
  <fills count="26">
    <fill>
      <patternFill patternType="none"/>
    </fill>
    <fill>
      <patternFill patternType="gray125"/>
    </fill>
    <fill>
      <patternFill patternType="mediumGray">
        <fgColor indexed="9"/>
        <bgColor indexed="22"/>
      </patternFill>
    </fill>
    <fill>
      <patternFill patternType="solid">
        <fgColor indexed="62"/>
        <bgColor indexed="9"/>
      </patternFill>
    </fill>
    <fill>
      <patternFill patternType="mediumGray">
        <fgColor indexed="23"/>
        <bgColor indexed="63"/>
      </patternFill>
    </fill>
    <fill>
      <patternFill patternType="mediumGray">
        <fgColor indexed="9"/>
        <bgColor indexed="31"/>
      </patternFill>
    </fill>
    <fill>
      <patternFill patternType="solid">
        <fgColor rgb="FFC00000"/>
        <bgColor indexed="9"/>
      </patternFill>
    </fill>
    <fill>
      <patternFill patternType="solid">
        <fgColor rgb="FFC00000"/>
        <bgColor indexed="64"/>
      </patternFill>
    </fill>
    <fill>
      <patternFill patternType="solid">
        <fgColor theme="9" tint="-0.249977111117893"/>
        <bgColor indexed="9"/>
      </patternFill>
    </fill>
    <fill>
      <patternFill patternType="solid">
        <fgColor rgb="FFFFC000"/>
        <bgColor indexed="64"/>
      </patternFill>
    </fill>
    <fill>
      <patternFill patternType="solid">
        <fgColor theme="9" tint="0.79995117038483843"/>
        <bgColor indexed="64"/>
      </patternFill>
    </fill>
    <fill>
      <patternFill patternType="solid">
        <fgColor indexed="9"/>
        <bgColor indexed="64"/>
      </patternFill>
    </fill>
    <fill>
      <patternFill patternType="mediumGray">
        <fgColor indexed="22"/>
        <bgColor indexed="44"/>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darkGray">
        <fgColor indexed="9"/>
        <bgColor indexed="9"/>
      </patternFill>
    </fill>
    <fill>
      <patternFill patternType="solid">
        <fgColor theme="9" tint="-0.249977111117893"/>
        <bgColor indexed="64"/>
      </patternFill>
    </fill>
    <fill>
      <patternFill patternType="solid">
        <fgColor theme="0"/>
        <bgColor indexed="9"/>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mediumGray">
        <fgColor indexed="9"/>
        <bgColor theme="9" tint="-0.249977111117893"/>
      </patternFill>
    </fill>
    <fill>
      <patternFill patternType="darkGray">
        <fgColor indexed="9"/>
        <bgColor theme="2"/>
      </patternFill>
    </fill>
    <fill>
      <patternFill patternType="solid">
        <fgColor theme="2"/>
        <bgColor indexed="64"/>
      </patternFill>
    </fill>
  </fills>
  <borders count="85">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indexed="55"/>
      </left>
      <right style="thin">
        <color indexed="55"/>
      </right>
      <top style="thin">
        <color indexed="55"/>
      </top>
      <bottom style="thin">
        <color indexed="55"/>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double">
        <color theme="9" tint="-0.24994659260841701"/>
      </left>
      <right/>
      <top style="double">
        <color theme="9" tint="-0.24994659260841701"/>
      </top>
      <bottom style="double">
        <color theme="9" tint="0.79995117038483843"/>
      </bottom>
      <diagonal/>
    </border>
    <border>
      <left/>
      <right/>
      <top style="double">
        <color theme="9" tint="-0.24994659260841701"/>
      </top>
      <bottom style="double">
        <color theme="9" tint="0.79995117038483843"/>
      </bottom>
      <diagonal/>
    </border>
    <border>
      <left/>
      <right style="double">
        <color theme="9" tint="0.59996337778862885"/>
      </right>
      <top style="double">
        <color theme="9" tint="-0.24994659260841701"/>
      </top>
      <bottom style="double">
        <color theme="9" tint="0.79995117038483843"/>
      </bottom>
      <diagonal/>
    </border>
    <border>
      <left/>
      <right/>
      <top/>
      <bottom style="thin">
        <color theme="0" tint="-0.24994659260841701"/>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style="double">
        <color theme="9" tint="-0.24994659260841701"/>
      </left>
      <right/>
      <top style="double">
        <color theme="9" tint="0.79995117038483843"/>
      </top>
      <bottom/>
      <diagonal/>
    </border>
    <border>
      <left/>
      <right/>
      <top style="double">
        <color theme="9" tint="0.79995117038483843"/>
      </top>
      <bottom/>
      <diagonal/>
    </border>
    <border>
      <left/>
      <right style="double">
        <color theme="9" tint="0.59996337778862885"/>
      </right>
      <top style="double">
        <color theme="9" tint="0.79995117038483843"/>
      </top>
      <bottom/>
      <diagonal/>
    </border>
    <border>
      <left/>
      <right/>
      <top style="thin">
        <color theme="0" tint="-0.24994659260841701"/>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medium">
        <color auto="1"/>
      </left>
      <right style="medium">
        <color auto="1"/>
      </right>
      <top style="medium">
        <color auto="1"/>
      </top>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medium">
        <color auto="1"/>
      </left>
      <right style="dashed">
        <color auto="1"/>
      </right>
      <top style="medium">
        <color auto="1"/>
      </top>
      <bottom style="medium">
        <color auto="1"/>
      </bottom>
      <diagonal/>
    </border>
    <border>
      <left style="dashed">
        <color auto="1"/>
      </left>
      <right style="medium">
        <color auto="1"/>
      </right>
      <top style="medium">
        <color auto="1"/>
      </top>
      <bottom style="medium">
        <color auto="1"/>
      </bottom>
      <diagonal/>
    </border>
    <border>
      <left style="medium">
        <color auto="1"/>
      </left>
      <right style="dashed">
        <color auto="1"/>
      </right>
      <top/>
      <bottom style="medium">
        <color auto="1"/>
      </bottom>
      <diagonal/>
    </border>
    <border>
      <left style="medium">
        <color auto="1"/>
      </left>
      <right style="dashed">
        <color auto="1"/>
      </right>
      <top/>
      <bottom style="dashed">
        <color auto="1"/>
      </bottom>
      <diagonal/>
    </border>
    <border>
      <left style="dashed">
        <color auto="1"/>
      </left>
      <right style="medium">
        <color auto="1"/>
      </right>
      <top/>
      <bottom style="dashed">
        <color auto="1"/>
      </bottom>
      <diagonal/>
    </border>
    <border>
      <left style="medium">
        <color auto="1"/>
      </left>
      <right style="dashed">
        <color auto="1"/>
      </right>
      <top style="dashed">
        <color auto="1"/>
      </top>
      <bottom style="dashed">
        <color auto="1"/>
      </bottom>
      <diagonal/>
    </border>
    <border>
      <left style="dashed">
        <color auto="1"/>
      </left>
      <right style="medium">
        <color auto="1"/>
      </right>
      <top style="dashed">
        <color auto="1"/>
      </top>
      <bottom style="dashed">
        <color auto="1"/>
      </bottom>
      <diagonal/>
    </border>
    <border>
      <left style="medium">
        <color auto="1"/>
      </left>
      <right/>
      <top/>
      <bottom/>
      <diagonal/>
    </border>
    <border>
      <left/>
      <right/>
      <top style="medium">
        <color auto="1"/>
      </top>
      <bottom/>
      <diagonal/>
    </border>
    <border>
      <left style="medium">
        <color auto="1"/>
      </left>
      <right style="dashed">
        <color auto="1"/>
      </right>
      <top style="medium">
        <color auto="1"/>
      </top>
      <bottom style="dashed">
        <color auto="1"/>
      </bottom>
      <diagonal/>
    </border>
    <border>
      <left style="dashed">
        <color auto="1"/>
      </left>
      <right style="medium">
        <color auto="1"/>
      </right>
      <top style="medium">
        <color auto="1"/>
      </top>
      <bottom style="dashed">
        <color auto="1"/>
      </bottom>
      <diagonal/>
    </border>
    <border>
      <left/>
      <right/>
      <top style="thin">
        <color theme="0" tint="-0.24994659260841701"/>
      </top>
      <bottom/>
      <diagonal/>
    </border>
    <border>
      <left/>
      <right/>
      <top/>
      <bottom style="thin">
        <color theme="9" tint="-0.24994659260841701"/>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double">
        <color theme="9" tint="0.39991454817346722"/>
      </left>
      <right style="double">
        <color theme="9" tint="0.79992065187536243"/>
      </right>
      <top style="double">
        <color theme="9" tint="0.39991454817346722"/>
      </top>
      <bottom style="double">
        <color theme="9" tint="0.79992065187536243"/>
      </bottom>
      <diagonal/>
    </border>
    <border>
      <left style="double">
        <color theme="9" tint="0.39991454817346722"/>
      </left>
      <right style="double">
        <color theme="9" tint="0.79995117038483843"/>
      </right>
      <top style="double">
        <color theme="9" tint="0.39991454817346722"/>
      </top>
      <bottom style="double">
        <color theme="9" tint="0.79995117038483843"/>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style="thin">
        <color indexed="24"/>
      </left>
      <right/>
      <top/>
      <bottom style="thin">
        <color indexed="24"/>
      </bottom>
      <diagonal/>
    </border>
    <border>
      <left/>
      <right style="thin">
        <color indexed="24"/>
      </right>
      <top/>
      <bottom style="thin">
        <color indexed="24"/>
      </bottom>
      <diagonal/>
    </border>
    <border>
      <left/>
      <right/>
      <top/>
      <bottom style="thin">
        <color indexed="24"/>
      </bottom>
      <diagonal/>
    </border>
    <border>
      <left style="thin">
        <color indexed="24"/>
      </left>
      <right/>
      <top style="thin">
        <color auto="1"/>
      </top>
      <bottom style="thin">
        <color indexed="24"/>
      </bottom>
      <diagonal/>
    </border>
    <border>
      <left/>
      <right style="thin">
        <color indexed="24"/>
      </right>
      <top style="thin">
        <color auto="1"/>
      </top>
      <bottom style="thin">
        <color indexed="24"/>
      </bottom>
      <diagonal/>
    </border>
    <border>
      <left/>
      <right/>
      <top style="thin">
        <color auto="1"/>
      </top>
      <bottom style="thin">
        <color indexed="24"/>
      </bottom>
      <diagonal/>
    </border>
    <border>
      <left/>
      <right style="thin">
        <color theme="0" tint="-0.24994659260841701"/>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
      <left/>
      <right style="double">
        <color indexed="33"/>
      </right>
      <top style="double">
        <color indexed="33"/>
      </top>
      <bottom style="double">
        <color indexed="33"/>
      </bottom>
      <diagonal/>
    </border>
    <border>
      <left style="double">
        <color indexed="32"/>
      </left>
      <right style="double">
        <color indexed="32"/>
      </right>
      <top style="double">
        <color indexed="32"/>
      </top>
      <bottom style="double">
        <color indexed="32"/>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theme="0" tint="-0.24994659260841701"/>
      </left>
      <right/>
      <top style="thin">
        <color theme="0" tint="-0.24994659260841701"/>
      </top>
      <bottom style="thin">
        <color theme="0" tint="-0.24994659260841701"/>
      </bottom>
      <diagonal/>
    </border>
    <border>
      <left style="thin">
        <color theme="0"/>
      </left>
      <right/>
      <top/>
      <bottom/>
      <diagonal/>
    </border>
    <border>
      <left style="medium">
        <color auto="1"/>
      </left>
      <right style="thin">
        <color indexed="32"/>
      </right>
      <top/>
      <bottom style="medium">
        <color auto="1"/>
      </bottom>
      <diagonal/>
    </border>
    <border>
      <left style="thin">
        <color indexed="32"/>
      </left>
      <right style="thin">
        <color indexed="32"/>
      </right>
      <top/>
      <bottom style="medium">
        <color auto="1"/>
      </bottom>
      <diagonal/>
    </border>
    <border>
      <left style="thin">
        <color indexed="30"/>
      </left>
      <right style="thin">
        <color indexed="30"/>
      </right>
      <top/>
      <bottom style="medium">
        <color auto="1"/>
      </bottom>
      <diagonal/>
    </border>
    <border>
      <left style="thin">
        <color indexed="30"/>
      </left>
      <right style="thin">
        <color indexed="30"/>
      </right>
      <top/>
      <bottom style="thin">
        <color indexed="30"/>
      </bottom>
      <diagonal/>
    </border>
    <border>
      <left/>
      <right/>
      <top/>
      <bottom style="medium">
        <color auto="1"/>
      </bottom>
      <diagonal/>
    </border>
    <border>
      <left style="thin">
        <color indexed="32"/>
      </left>
      <right style="medium">
        <color auto="1"/>
      </right>
      <top/>
      <bottom style="medium">
        <color auto="1"/>
      </bottom>
      <diagonal/>
    </border>
    <border>
      <left style="thick">
        <color indexed="9"/>
      </left>
      <right/>
      <top style="thick">
        <color indexed="9"/>
      </top>
      <bottom/>
      <diagonal/>
    </border>
    <border>
      <left/>
      <right/>
      <top style="thick">
        <color indexed="9"/>
      </top>
      <bottom/>
      <diagonal/>
    </border>
  </borders>
  <cellStyleXfs count="3">
    <xf numFmtId="0" fontId="0" fillId="0" borderId="0"/>
    <xf numFmtId="0" fontId="51" fillId="0" borderId="0" applyNumberFormat="0" applyFill="0" applyBorder="0" applyAlignment="0" applyProtection="0">
      <alignment vertical="top"/>
      <protection locked="0"/>
    </xf>
    <xf numFmtId="0" fontId="81" fillId="0" borderId="0"/>
  </cellStyleXfs>
  <cellXfs count="264">
    <xf numFmtId="0" fontId="0" fillId="0" borderId="0" xfId="0"/>
    <xf numFmtId="0" fontId="0" fillId="2" borderId="0" xfId="0" applyFill="1"/>
    <xf numFmtId="0" fontId="2" fillId="4" borderId="4" xfId="0" applyFont="1" applyFill="1" applyBorder="1" applyAlignment="1">
      <alignment horizontal="center" vertical="center"/>
    </xf>
    <xf numFmtId="164" fontId="0" fillId="5" borderId="5" xfId="0" applyNumberFormat="1" applyFill="1" applyBorder="1" applyAlignment="1">
      <alignment horizontal="center" vertical="center"/>
    </xf>
    <xf numFmtId="165" fontId="0" fillId="5" borderId="5" xfId="0" applyNumberFormat="1" applyFill="1" applyBorder="1" applyAlignment="1">
      <alignment horizontal="center" vertical="center"/>
    </xf>
    <xf numFmtId="0" fontId="0" fillId="5" borderId="5" xfId="0" applyFill="1" applyBorder="1" applyAlignment="1">
      <alignment horizontal="left" vertical="center" wrapText="1"/>
    </xf>
    <xf numFmtId="0" fontId="3" fillId="5" borderId="5" xfId="0" applyFont="1" applyFill="1" applyBorder="1" applyAlignment="1">
      <alignment horizontal="center" vertical="center"/>
    </xf>
    <xf numFmtId="0" fontId="0" fillId="2" borderId="0" xfId="0" applyFill="1" applyAlignment="1">
      <alignment horizontal="left"/>
    </xf>
    <xf numFmtId="0" fontId="0" fillId="5" borderId="5" xfId="0"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vertical="center" wrapText="1"/>
    </xf>
    <xf numFmtId="165" fontId="0" fillId="2" borderId="0" xfId="0" applyNumberFormat="1" applyFill="1" applyAlignment="1">
      <alignment horizontal="center" vertical="center"/>
    </xf>
    <xf numFmtId="0" fontId="0" fillId="0" borderId="0" xfId="0" applyProtection="1">
      <protection hidden="1"/>
    </xf>
    <xf numFmtId="0" fontId="4" fillId="0" borderId="0" xfId="0" applyFont="1" applyProtection="1">
      <protection hidden="1"/>
    </xf>
    <xf numFmtId="0" fontId="6" fillId="0" borderId="0" xfId="2" applyFont="1" applyAlignment="1" applyProtection="1">
      <alignment horizontal="center"/>
      <protection hidden="1"/>
    </xf>
    <xf numFmtId="0" fontId="7" fillId="0" borderId="0" xfId="2" applyFont="1" applyAlignment="1" applyProtection="1">
      <alignment horizontal="center"/>
      <protection hidden="1"/>
    </xf>
    <xf numFmtId="0" fontId="8" fillId="8" borderId="6" xfId="0" applyFont="1" applyFill="1" applyBorder="1" applyAlignment="1" applyProtection="1">
      <alignment horizontal="left" vertical="center" indent="1"/>
      <protection hidden="1"/>
    </xf>
    <xf numFmtId="0" fontId="8" fillId="8" borderId="7" xfId="0" applyFont="1" applyFill="1" applyBorder="1" applyAlignment="1" applyProtection="1">
      <alignment horizontal="center" vertical="center"/>
      <protection hidden="1"/>
    </xf>
    <xf numFmtId="0" fontId="8" fillId="8" borderId="8" xfId="0" applyFont="1" applyFill="1" applyBorder="1" applyAlignment="1" applyProtection="1">
      <alignment horizontal="center" vertical="center"/>
      <protection hidden="1"/>
    </xf>
    <xf numFmtId="0" fontId="10" fillId="0" borderId="12" xfId="0" applyFont="1" applyBorder="1" applyAlignment="1" applyProtection="1">
      <alignment horizontal="left" vertical="center" indent="1"/>
      <protection locked="0"/>
    </xf>
    <xf numFmtId="166" fontId="11" fillId="0" borderId="13" xfId="2" applyNumberFormat="1" applyFont="1" applyBorder="1" applyAlignment="1" applyProtection="1">
      <alignment horizontal="center" vertical="center"/>
      <protection locked="0"/>
    </xf>
    <xf numFmtId="166" fontId="11" fillId="0" borderId="14" xfId="2" applyNumberFormat="1" applyFont="1" applyBorder="1" applyAlignment="1" applyProtection="1">
      <alignment horizontal="center" vertical="center"/>
      <protection locked="0"/>
    </xf>
    <xf numFmtId="0" fontId="0" fillId="10" borderId="15" xfId="0" applyFill="1" applyBorder="1" applyAlignment="1">
      <alignment vertical="center"/>
    </xf>
    <xf numFmtId="0" fontId="0" fillId="10" borderId="16" xfId="0" applyFill="1" applyBorder="1" applyAlignment="1">
      <alignment vertical="center"/>
    </xf>
    <xf numFmtId="0" fontId="0" fillId="10" borderId="17" xfId="0" applyFill="1" applyBorder="1" applyAlignment="1">
      <alignment vertical="center"/>
    </xf>
    <xf numFmtId="0" fontId="10" fillId="0" borderId="18" xfId="0" applyFont="1" applyBorder="1" applyAlignment="1" applyProtection="1">
      <alignment horizontal="left" vertical="center" indent="1"/>
      <protection locked="0"/>
    </xf>
    <xf numFmtId="166" fontId="11" fillId="0" borderId="19" xfId="2" applyNumberFormat="1" applyFont="1" applyBorder="1" applyAlignment="1" applyProtection="1">
      <alignment horizontal="center" vertical="center"/>
      <protection locked="0"/>
    </xf>
    <xf numFmtId="166" fontId="11" fillId="0" borderId="20" xfId="2" applyNumberFormat="1" applyFont="1" applyBorder="1" applyAlignment="1" applyProtection="1">
      <alignment horizontal="center" vertical="center"/>
      <protection locked="0"/>
    </xf>
    <xf numFmtId="0" fontId="0" fillId="10" borderId="21" xfId="0" applyFill="1" applyBorder="1" applyAlignment="1">
      <alignment vertical="center"/>
    </xf>
    <xf numFmtId="0" fontId="0" fillId="10" borderId="0" xfId="0" applyFill="1" applyAlignment="1">
      <alignment vertical="center"/>
    </xf>
    <xf numFmtId="0" fontId="0" fillId="10" borderId="22" xfId="0" applyFill="1" applyBorder="1" applyAlignment="1">
      <alignment vertical="center"/>
    </xf>
    <xf numFmtId="0" fontId="0" fillId="10" borderId="23" xfId="0" applyFill="1" applyBorder="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0" fillId="11" borderId="0" xfId="0" applyFill="1"/>
    <xf numFmtId="0" fontId="13" fillId="12" borderId="27" xfId="2" applyFont="1" applyFill="1" applyBorder="1" applyAlignment="1" applyProtection="1">
      <alignment vertical="center" wrapText="1"/>
      <protection hidden="1"/>
    </xf>
    <xf numFmtId="0" fontId="14" fillId="11" borderId="28" xfId="0" applyFont="1" applyFill="1" applyBorder="1" applyAlignment="1">
      <alignment vertical="center" wrapText="1"/>
    </xf>
    <xf numFmtId="0" fontId="13" fillId="13" borderId="30" xfId="2" applyFont="1" applyFill="1" applyBorder="1" applyAlignment="1" applyProtection="1">
      <alignment vertical="center" wrapText="1"/>
      <protection hidden="1"/>
    </xf>
    <xf numFmtId="0" fontId="15" fillId="11" borderId="0" xfId="0" applyFont="1" applyFill="1" applyAlignment="1">
      <alignment vertical="center" wrapText="1"/>
    </xf>
    <xf numFmtId="0" fontId="13" fillId="11" borderId="0" xfId="0" applyFont="1" applyFill="1" applyAlignment="1">
      <alignment vertical="center" wrapText="1"/>
    </xf>
    <xf numFmtId="0" fontId="16" fillId="11" borderId="0" xfId="0" applyFont="1" applyFill="1" applyAlignment="1">
      <alignment vertical="center" wrapText="1"/>
    </xf>
    <xf numFmtId="0" fontId="15" fillId="14" borderId="31" xfId="0" applyFont="1" applyFill="1" applyBorder="1" applyAlignment="1">
      <alignment vertical="center" wrapText="1"/>
    </xf>
    <xf numFmtId="0" fontId="15" fillId="15" borderId="32" xfId="0" applyFont="1" applyFill="1" applyBorder="1" applyAlignment="1">
      <alignment vertical="center" wrapText="1"/>
    </xf>
    <xf numFmtId="0" fontId="17" fillId="11" borderId="0" xfId="0" applyFont="1" applyFill="1" applyAlignment="1">
      <alignment horizontal="center" vertical="center" wrapText="1"/>
    </xf>
    <xf numFmtId="0" fontId="15" fillId="16" borderId="33" xfId="0" applyFont="1" applyFill="1" applyBorder="1" applyAlignment="1">
      <alignment vertical="center" wrapText="1"/>
    </xf>
    <xf numFmtId="0" fontId="15" fillId="16" borderId="32" xfId="0" applyFont="1" applyFill="1" applyBorder="1" applyAlignment="1">
      <alignment horizontal="center" vertical="center" wrapText="1"/>
    </xf>
    <xf numFmtId="0" fontId="15" fillId="12" borderId="34" xfId="2" applyFont="1" applyFill="1" applyBorder="1" applyAlignment="1" applyProtection="1">
      <alignment vertical="center" wrapText="1"/>
      <protection hidden="1"/>
    </xf>
    <xf numFmtId="0" fontId="16" fillId="11" borderId="35" xfId="2" applyFont="1" applyFill="1" applyBorder="1" applyAlignment="1" applyProtection="1">
      <alignment vertical="center" wrapText="1"/>
      <protection hidden="1"/>
    </xf>
    <xf numFmtId="0" fontId="15" fillId="12" borderId="36" xfId="2" applyFont="1" applyFill="1" applyBorder="1" applyAlignment="1" applyProtection="1">
      <alignment vertical="center" wrapText="1"/>
      <protection hidden="1"/>
    </xf>
    <xf numFmtId="0" fontId="16" fillId="11" borderId="37" xfId="2" applyFont="1" applyFill="1" applyBorder="1" applyAlignment="1" applyProtection="1">
      <alignment vertical="center" wrapText="1"/>
      <protection hidden="1"/>
    </xf>
    <xf numFmtId="0" fontId="15" fillId="11" borderId="38" xfId="0" applyFont="1" applyFill="1" applyBorder="1" applyAlignment="1">
      <alignment horizontal="center" vertical="center" wrapText="1"/>
    </xf>
    <xf numFmtId="0" fontId="15" fillId="11" borderId="0" xfId="0" applyFont="1" applyFill="1" applyAlignment="1">
      <alignment horizontal="center" vertical="center" wrapText="1"/>
    </xf>
    <xf numFmtId="0" fontId="15" fillId="11" borderId="39" xfId="0" applyFont="1" applyFill="1" applyBorder="1" applyAlignment="1">
      <alignment horizontal="center" vertical="center" wrapText="1"/>
    </xf>
    <xf numFmtId="0" fontId="15" fillId="12" borderId="40" xfId="2" applyFont="1" applyFill="1" applyBorder="1" applyAlignment="1" applyProtection="1">
      <alignment vertical="center" wrapText="1"/>
      <protection hidden="1"/>
    </xf>
    <xf numFmtId="0" fontId="16" fillId="0" borderId="41" xfId="2" applyFont="1" applyBorder="1" applyAlignment="1" applyProtection="1">
      <alignment vertical="center" wrapText="1"/>
      <protection hidden="1"/>
    </xf>
    <xf numFmtId="0" fontId="16" fillId="0" borderId="37" xfId="2" applyFont="1" applyBorder="1" applyAlignment="1" applyProtection="1">
      <alignment vertical="center" wrapText="1"/>
      <protection hidden="1"/>
    </xf>
    <xf numFmtId="0" fontId="15" fillId="13" borderId="36" xfId="2" applyFont="1" applyFill="1" applyBorder="1" applyAlignment="1" applyProtection="1">
      <alignment vertical="center" wrapText="1"/>
      <protection hidden="1"/>
    </xf>
    <xf numFmtId="0" fontId="16" fillId="13" borderId="37" xfId="2" applyFont="1" applyFill="1" applyBorder="1" applyAlignment="1" applyProtection="1">
      <alignment vertical="center" wrapText="1"/>
      <protection hidden="1"/>
    </xf>
    <xf numFmtId="0" fontId="15" fillId="11" borderId="39" xfId="0" applyFont="1" applyFill="1" applyBorder="1" applyAlignment="1">
      <alignment vertical="center" wrapText="1"/>
    </xf>
    <xf numFmtId="0" fontId="16" fillId="0" borderId="35" xfId="2" applyFont="1" applyBorder="1" applyAlignment="1" applyProtection="1">
      <alignment vertical="center" wrapText="1"/>
      <protection hidden="1"/>
    </xf>
    <xf numFmtId="0" fontId="6" fillId="0" borderId="0" xfId="2" applyFont="1"/>
    <xf numFmtId="0" fontId="18" fillId="0" borderId="0" xfId="2" applyFont="1"/>
    <xf numFmtId="0" fontId="19" fillId="0" borderId="0" xfId="0" applyFont="1" applyProtection="1">
      <protection hidden="1"/>
    </xf>
    <xf numFmtId="0" fontId="81" fillId="0" borderId="0" xfId="2"/>
    <xf numFmtId="0" fontId="11" fillId="21" borderId="50" xfId="0" applyFont="1" applyFill="1" applyBorder="1" applyAlignment="1" applyProtection="1">
      <alignment horizontal="center" vertical="center"/>
      <protection locked="0"/>
    </xf>
    <xf numFmtId="0" fontId="19" fillId="0" borderId="0" xfId="2" applyFont="1" applyProtection="1">
      <protection locked="0"/>
    </xf>
    <xf numFmtId="0" fontId="11" fillId="21" borderId="51" xfId="0" applyFont="1" applyFill="1" applyBorder="1" applyAlignment="1" applyProtection="1">
      <alignment horizontal="center" vertical="center"/>
      <protection locked="0"/>
    </xf>
    <xf numFmtId="0" fontId="26" fillId="22" borderId="55" xfId="0" applyFont="1" applyFill="1" applyBorder="1" applyAlignment="1" applyProtection="1">
      <alignment horizontal="center" vertical="top" wrapText="1"/>
      <protection locked="0"/>
    </xf>
    <xf numFmtId="0" fontId="26" fillId="22" borderId="55" xfId="0" applyFont="1" applyFill="1" applyBorder="1" applyAlignment="1" applyProtection="1">
      <alignment horizontal="left" vertical="top" wrapText="1"/>
      <protection locked="0"/>
    </xf>
    <xf numFmtId="0" fontId="26" fillId="22" borderId="55" xfId="0" applyFont="1" applyFill="1" applyBorder="1" applyAlignment="1" applyProtection="1">
      <alignment horizontal="center" vertical="center" wrapText="1"/>
      <protection locked="0"/>
    </xf>
    <xf numFmtId="0" fontId="28" fillId="0" borderId="0" xfId="2" applyFont="1"/>
    <xf numFmtId="0" fontId="29" fillId="22" borderId="55" xfId="0" applyFont="1" applyFill="1" applyBorder="1" applyAlignment="1" applyProtection="1">
      <alignment horizontal="left" vertical="top" wrapText="1"/>
      <protection locked="0"/>
    </xf>
    <xf numFmtId="0" fontId="0" fillId="22" borderId="55" xfId="0" applyFill="1" applyBorder="1" applyAlignment="1" applyProtection="1">
      <alignment horizontal="left" vertical="top" wrapText="1"/>
      <protection locked="0"/>
    </xf>
    <xf numFmtId="0" fontId="19" fillId="0" borderId="0" xfId="0" applyFont="1"/>
    <xf numFmtId="0" fontId="0" fillId="0" borderId="0" xfId="0" applyAlignment="1">
      <alignment horizontal="center" vertical="center"/>
    </xf>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30"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0" fillId="0" borderId="0" xfId="0" applyAlignment="1" applyProtection="1">
      <alignment horizontal="center"/>
      <protection hidden="1"/>
    </xf>
    <xf numFmtId="0" fontId="30" fillId="0" borderId="0" xfId="0" applyFont="1" applyAlignment="1" applyProtection="1">
      <alignment horizontal="left" vertical="top" wrapText="1"/>
      <protection hidden="1"/>
    </xf>
    <xf numFmtId="0" fontId="6" fillId="0" borderId="0" xfId="0" applyFont="1" applyProtection="1">
      <protection hidden="1"/>
    </xf>
    <xf numFmtId="0" fontId="6" fillId="0" borderId="0" xfId="0" applyFont="1"/>
    <xf numFmtId="0" fontId="31" fillId="0" borderId="0" xfId="0" applyFont="1" applyProtection="1">
      <protection hidden="1"/>
    </xf>
    <xf numFmtId="0" fontId="32" fillId="0" borderId="0" xfId="0" applyFont="1" applyProtection="1">
      <protection hidden="1"/>
    </xf>
    <xf numFmtId="0" fontId="37" fillId="22" borderId="69" xfId="0" applyFont="1" applyFill="1" applyBorder="1" applyAlignment="1" applyProtection="1">
      <alignment horizontal="center" vertical="top" wrapText="1"/>
      <protection hidden="1"/>
    </xf>
    <xf numFmtId="0" fontId="37" fillId="22" borderId="55" xfId="0" applyFont="1" applyFill="1" applyBorder="1" applyAlignment="1" applyProtection="1">
      <alignment horizontal="center" vertical="center" wrapText="1"/>
      <protection locked="0"/>
    </xf>
    <xf numFmtId="0" fontId="37" fillId="22" borderId="55" xfId="0" applyFont="1" applyFill="1" applyBorder="1" applyAlignment="1" applyProtection="1">
      <alignment horizontal="center" vertical="center" wrapText="1"/>
      <protection hidden="1"/>
    </xf>
    <xf numFmtId="0" fontId="37" fillId="22" borderId="55" xfId="0" applyFont="1" applyFill="1" applyBorder="1" applyAlignment="1" applyProtection="1">
      <alignment horizontal="left" vertical="top" wrapText="1"/>
      <protection locked="0"/>
    </xf>
    <xf numFmtId="0" fontId="38" fillId="0" borderId="0" xfId="0" applyFont="1" applyAlignment="1" applyProtection="1">
      <alignment horizontal="center"/>
      <protection hidden="1"/>
    </xf>
    <xf numFmtId="0" fontId="39" fillId="0" borderId="0" xfId="0" applyFont="1" applyAlignment="1" applyProtection="1">
      <alignment horizontal="center"/>
      <protection hidden="1"/>
    </xf>
    <xf numFmtId="0" fontId="40" fillId="0" borderId="0" xfId="0" applyFont="1" applyAlignment="1" applyProtection="1">
      <alignment horizontal="center"/>
      <protection hidden="1"/>
    </xf>
    <xf numFmtId="0" fontId="40" fillId="0" borderId="0" xfId="0" applyFont="1" applyProtection="1">
      <protection hidden="1"/>
    </xf>
    <xf numFmtId="0" fontId="41" fillId="0" borderId="0" xfId="0" applyFont="1" applyProtection="1">
      <protection hidden="1"/>
    </xf>
    <xf numFmtId="0" fontId="41" fillId="0" borderId="71" xfId="0" applyFont="1" applyBorder="1" applyProtection="1">
      <protection hidden="1"/>
    </xf>
    <xf numFmtId="0" fontId="41" fillId="0" borderId="72" xfId="0" applyFont="1" applyBorder="1" applyProtection="1">
      <protection hidden="1"/>
    </xf>
    <xf numFmtId="0" fontId="42" fillId="0" borderId="0" xfId="0" applyFont="1" applyProtection="1">
      <protection hidden="1"/>
    </xf>
    <xf numFmtId="0" fontId="43" fillId="0" borderId="73" xfId="0" applyFont="1" applyBorder="1" applyAlignment="1" applyProtection="1">
      <alignment horizontal="center"/>
      <protection locked="0"/>
    </xf>
    <xf numFmtId="0" fontId="44" fillId="0" borderId="0" xfId="0" applyFont="1" applyProtection="1">
      <protection hidden="1"/>
    </xf>
    <xf numFmtId="0" fontId="45" fillId="0" borderId="74" xfId="0" applyFont="1" applyBorder="1" applyAlignment="1" applyProtection="1">
      <alignment horizontal="center" vertical="center" wrapText="1"/>
      <protection locked="0"/>
    </xf>
    <xf numFmtId="0" fontId="40" fillId="0" borderId="0" xfId="0" applyFont="1" applyAlignment="1" applyProtection="1">
      <alignment horizontal="left" vertical="center"/>
      <protection hidden="1"/>
    </xf>
    <xf numFmtId="0" fontId="37" fillId="22" borderId="75" xfId="0" applyFont="1" applyFill="1" applyBorder="1" applyAlignment="1" applyProtection="1">
      <alignment horizontal="center" vertical="center" wrapText="1"/>
      <protection locked="0"/>
    </xf>
    <xf numFmtId="0" fontId="46" fillId="0" borderId="0" xfId="0" applyFont="1" applyAlignment="1" applyProtection="1">
      <alignment horizontal="center"/>
      <protection hidden="1"/>
    </xf>
    <xf numFmtId="0" fontId="42" fillId="0" borderId="0" xfId="0" applyFont="1" applyAlignment="1" applyProtection="1">
      <alignment shrinkToFit="1"/>
      <protection hidden="1"/>
    </xf>
    <xf numFmtId="0" fontId="6" fillId="0" borderId="0" xfId="0" applyFont="1" applyAlignment="1" applyProtection="1">
      <alignment wrapText="1"/>
      <protection hidden="1"/>
    </xf>
    <xf numFmtId="0" fontId="6" fillId="0" borderId="0" xfId="0" applyFont="1" applyAlignment="1" applyProtection="1">
      <alignment horizontal="center" vertical="top" wrapText="1"/>
      <protection locked="0"/>
    </xf>
    <xf numFmtId="0" fontId="6" fillId="0" borderId="0" xfId="0" applyFont="1" applyAlignment="1" applyProtection="1">
      <alignment horizontal="left" vertical="top" wrapText="1"/>
      <protection locked="0"/>
    </xf>
    <xf numFmtId="0" fontId="6" fillId="0" borderId="0" xfId="0" applyFont="1" applyAlignment="1" applyProtection="1">
      <alignment horizontal="left" vertical="top" wrapText="1"/>
      <protection hidden="1"/>
    </xf>
    <xf numFmtId="0" fontId="31" fillId="0" borderId="0" xfId="0" applyFont="1" applyAlignment="1" applyProtection="1">
      <alignment wrapText="1"/>
      <protection locked="0"/>
    </xf>
    <xf numFmtId="0" fontId="6" fillId="0" borderId="0" xfId="0" applyFont="1" applyAlignment="1" applyProtection="1">
      <alignment wrapText="1"/>
      <protection locked="0"/>
    </xf>
    <xf numFmtId="0" fontId="6" fillId="0" borderId="0" xfId="0" applyFont="1" applyAlignment="1" applyProtection="1">
      <alignment horizontal="center" wrapText="1"/>
      <protection locked="0"/>
    </xf>
    <xf numFmtId="0" fontId="6" fillId="0" borderId="0" xfId="0" applyFont="1" applyAlignment="1" applyProtection="1">
      <alignment vertical="top" wrapText="1"/>
      <protection locked="0"/>
    </xf>
    <xf numFmtId="0" fontId="6" fillId="0" borderId="0" xfId="0" applyFont="1" applyAlignment="1" applyProtection="1">
      <alignment vertical="top" wrapText="1"/>
      <protection hidden="1"/>
    </xf>
    <xf numFmtId="0" fontId="32" fillId="0" borderId="0" xfId="0" applyFont="1" applyProtection="1">
      <protection locked="0"/>
    </xf>
    <xf numFmtId="0" fontId="6" fillId="0" borderId="0" xfId="0" applyFont="1" applyProtection="1">
      <protection locked="0"/>
    </xf>
    <xf numFmtId="0" fontId="6" fillId="0" borderId="0" xfId="2" applyFont="1" applyProtection="1">
      <protection hidden="1"/>
    </xf>
    <xf numFmtId="0" fontId="0" fillId="0" borderId="0" xfId="0" applyAlignment="1" applyProtection="1">
      <alignment vertical="center" wrapText="1"/>
      <protection hidden="1"/>
    </xf>
    <xf numFmtId="0" fontId="47" fillId="0" borderId="0" xfId="0" applyFont="1" applyProtection="1">
      <protection hidden="1"/>
    </xf>
    <xf numFmtId="0" fontId="18" fillId="0" borderId="0" xfId="2" applyFont="1" applyProtection="1">
      <protection hidden="1"/>
    </xf>
    <xf numFmtId="0" fontId="48" fillId="0" borderId="0" xfId="2" applyFont="1" applyProtection="1">
      <protection hidden="1"/>
    </xf>
    <xf numFmtId="0" fontId="81" fillId="0" borderId="0" xfId="2" applyProtection="1">
      <protection hidden="1"/>
    </xf>
    <xf numFmtId="0" fontId="81" fillId="0" borderId="12" xfId="2" applyBorder="1" applyProtection="1">
      <protection hidden="1"/>
    </xf>
    <xf numFmtId="0" fontId="81" fillId="0" borderId="18" xfId="2" applyBorder="1" applyProtection="1">
      <protection hidden="1"/>
    </xf>
    <xf numFmtId="0" fontId="53" fillId="0" borderId="0" xfId="2" applyFont="1" applyAlignment="1" applyProtection="1">
      <alignment horizontal="left" vertical="top" indent="1"/>
      <protection hidden="1"/>
    </xf>
    <xf numFmtId="0" fontId="0" fillId="0" borderId="0" xfId="0" applyAlignment="1" applyProtection="1">
      <alignment vertical="top" wrapText="1"/>
      <protection hidden="1"/>
    </xf>
    <xf numFmtId="0" fontId="6" fillId="0" borderId="0" xfId="2" applyFont="1" applyAlignment="1" applyProtection="1">
      <alignment vertical="center" wrapText="1"/>
      <protection hidden="1"/>
    </xf>
    <xf numFmtId="0" fontId="54" fillId="8" borderId="0" xfId="0" applyFont="1" applyFill="1" applyAlignment="1" applyProtection="1">
      <alignment horizontal="center" vertical="center" wrapText="1"/>
      <protection hidden="1"/>
    </xf>
    <xf numFmtId="0" fontId="55" fillId="22" borderId="52"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locked="0"/>
    </xf>
    <xf numFmtId="0" fontId="19" fillId="0" borderId="0" xfId="2" applyFont="1" applyProtection="1">
      <protection hidden="1"/>
    </xf>
    <xf numFmtId="0" fontId="18" fillId="0" borderId="0" xfId="2" applyFont="1" applyAlignment="1" applyProtection="1">
      <alignment horizontal="center"/>
      <protection hidden="1"/>
    </xf>
    <xf numFmtId="0" fontId="56" fillId="18" borderId="0" xfId="0" applyFont="1" applyFill="1" applyAlignment="1" applyProtection="1">
      <alignment horizontal="center" vertical="center" wrapText="1"/>
      <protection hidden="1"/>
    </xf>
    <xf numFmtId="0" fontId="19" fillId="22" borderId="52" xfId="0" applyFont="1" applyFill="1" applyBorder="1" applyAlignment="1" applyProtection="1">
      <alignment horizontal="left"/>
      <protection hidden="1"/>
    </xf>
    <xf numFmtId="0" fontId="19" fillId="22" borderId="55" xfId="0" applyFont="1" applyFill="1" applyBorder="1" applyAlignment="1" applyProtection="1">
      <alignment horizontal="left"/>
      <protection hidden="1"/>
    </xf>
    <xf numFmtId="0" fontId="19" fillId="22" borderId="52" xfId="0" applyFont="1" applyFill="1" applyBorder="1" applyAlignment="1" applyProtection="1">
      <alignment horizontal="left" shrinkToFit="1"/>
      <protection hidden="1"/>
    </xf>
    <xf numFmtId="0" fontId="19" fillId="22" borderId="52" xfId="0" applyFont="1" applyFill="1" applyBorder="1" applyAlignment="1" applyProtection="1">
      <alignment horizontal="center"/>
      <protection hidden="1"/>
    </xf>
    <xf numFmtId="0" fontId="19" fillId="22" borderId="52" xfId="0" applyFont="1" applyFill="1" applyBorder="1" applyProtection="1">
      <protection hidden="1"/>
    </xf>
    <xf numFmtId="0" fontId="19" fillId="22" borderId="55" xfId="0" applyFont="1" applyFill="1" applyBorder="1" applyAlignment="1" applyProtection="1">
      <alignment horizontal="left" shrinkToFit="1"/>
      <protection hidden="1"/>
    </xf>
    <xf numFmtId="0" fontId="19" fillId="22" borderId="55" xfId="0" applyFont="1" applyFill="1" applyBorder="1" applyAlignment="1" applyProtection="1">
      <alignment horizontal="center"/>
      <protection hidden="1"/>
    </xf>
    <xf numFmtId="0" fontId="19" fillId="22" borderId="55" xfId="0" applyFont="1" applyFill="1" applyBorder="1" applyProtection="1">
      <protection hidden="1"/>
    </xf>
    <xf numFmtId="0" fontId="6" fillId="0" borderId="0" xfId="2" applyFont="1" applyProtection="1">
      <protection locked="0"/>
    </xf>
    <xf numFmtId="166" fontId="6" fillId="0" borderId="0" xfId="2" applyNumberFormat="1" applyFont="1" applyProtection="1">
      <protection locked="0"/>
    </xf>
    <xf numFmtId="0" fontId="0" fillId="0" borderId="0" xfId="0" applyProtection="1">
      <protection locked="0"/>
    </xf>
    <xf numFmtId="0" fontId="48" fillId="0" borderId="0" xfId="2" applyFont="1" applyAlignment="1" applyProtection="1">
      <alignment horizontal="center"/>
      <protection hidden="1"/>
    </xf>
    <xf numFmtId="0" fontId="57" fillId="8" borderId="0" xfId="0" applyFont="1" applyFill="1" applyAlignment="1" applyProtection="1">
      <alignment horizontal="center" vertical="center" wrapText="1"/>
      <protection hidden="1"/>
    </xf>
    <xf numFmtId="0" fontId="58" fillId="22" borderId="52" xfId="0" applyFont="1" applyFill="1" applyBorder="1" applyAlignment="1" applyProtection="1">
      <alignment horizontal="left" vertical="center" wrapText="1"/>
      <protection locked="0"/>
    </xf>
    <xf numFmtId="0" fontId="58" fillId="22" borderId="55" xfId="0" applyFont="1" applyFill="1" applyBorder="1" applyAlignment="1" applyProtection="1">
      <alignment horizontal="left" vertical="center" wrapText="1"/>
      <protection locked="0"/>
    </xf>
    <xf numFmtId="0" fontId="58" fillId="22" borderId="75" xfId="0" applyFont="1" applyFill="1" applyBorder="1" applyAlignment="1" applyProtection="1">
      <alignment horizontal="left" vertical="center" wrapText="1"/>
      <protection locked="0"/>
    </xf>
    <xf numFmtId="0" fontId="59" fillId="0" borderId="0" xfId="2" applyFont="1" applyProtection="1">
      <protection hidden="1"/>
    </xf>
    <xf numFmtId="0" fontId="18" fillId="0" borderId="0" xfId="2" applyFont="1" applyAlignment="1" applyProtection="1">
      <alignment vertical="center" wrapText="1"/>
      <protection hidden="1"/>
    </xf>
    <xf numFmtId="0" fontId="60" fillId="0" borderId="0" xfId="2" applyFont="1" applyProtection="1">
      <protection hidden="1"/>
    </xf>
    <xf numFmtId="0" fontId="58" fillId="22" borderId="75" xfId="0" applyFont="1" applyFill="1" applyBorder="1" applyAlignment="1" applyProtection="1">
      <alignment horizontal="left" vertical="center" wrapText="1"/>
      <protection hidden="1"/>
    </xf>
    <xf numFmtId="0" fontId="55" fillId="24" borderId="78" xfId="0" applyFont="1" applyFill="1" applyBorder="1" applyAlignment="1" applyProtection="1">
      <alignment horizontal="left" vertical="center" wrapText="1"/>
      <protection locked="0"/>
    </xf>
    <xf numFmtId="0" fontId="19" fillId="25" borderId="80" xfId="0" applyFont="1" applyFill="1" applyBorder="1" applyAlignment="1" applyProtection="1">
      <alignment horizontal="left"/>
      <protection hidden="1"/>
    </xf>
    <xf numFmtId="0" fontId="19" fillId="25" borderId="80" xfId="0" applyFont="1" applyFill="1" applyBorder="1" applyAlignment="1" applyProtection="1">
      <alignment horizontal="left" shrinkToFit="1"/>
      <protection hidden="1"/>
    </xf>
    <xf numFmtId="0" fontId="19" fillId="25" borderId="79" xfId="0" applyFont="1" applyFill="1" applyBorder="1" applyAlignment="1" applyProtection="1">
      <alignment horizontal="center"/>
      <protection hidden="1"/>
    </xf>
    <xf numFmtId="0" fontId="19" fillId="25" borderId="81" xfId="0" applyFont="1" applyFill="1" applyBorder="1" applyProtection="1">
      <protection hidden="1"/>
    </xf>
    <xf numFmtId="0" fontId="19" fillId="25" borderId="79" xfId="0" applyFont="1" applyFill="1" applyBorder="1" applyProtection="1">
      <protection hidden="1"/>
    </xf>
    <xf numFmtId="0" fontId="19" fillId="25" borderId="81" xfId="0" applyFont="1" applyFill="1" applyBorder="1" applyAlignment="1" applyProtection="1">
      <alignment horizontal="center"/>
      <protection hidden="1"/>
    </xf>
    <xf numFmtId="0" fontId="58" fillId="24" borderId="82" xfId="0" applyFont="1" applyFill="1" applyBorder="1" applyAlignment="1" applyProtection="1">
      <alignment horizontal="left" vertical="center" wrapText="1"/>
      <protection hidden="1"/>
    </xf>
    <xf numFmtId="0" fontId="61" fillId="0" borderId="83" xfId="0" applyFont="1" applyBorder="1" applyAlignment="1" applyProtection="1">
      <alignment horizontal="center" vertical="center"/>
      <protection hidden="1"/>
    </xf>
    <xf numFmtId="0" fontId="61" fillId="0" borderId="84" xfId="0" applyFont="1" applyBorder="1" applyAlignment="1" applyProtection="1">
      <alignment horizontal="center" vertical="center"/>
      <protection hidden="1"/>
    </xf>
    <xf numFmtId="0" fontId="55" fillId="22" borderId="69"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indent="1"/>
      <protection locked="0"/>
    </xf>
    <xf numFmtId="0" fontId="55" fillId="22" borderId="55" xfId="0" applyFont="1" applyFill="1" applyBorder="1" applyAlignment="1" applyProtection="1">
      <alignment horizontal="left" vertical="center" wrapText="1"/>
      <protection locked="0"/>
    </xf>
    <xf numFmtId="0" fontId="55" fillId="22" borderId="55" xfId="0" applyFont="1" applyFill="1" applyBorder="1" applyAlignment="1" applyProtection="1">
      <alignment horizontal="left" vertical="center" wrapText="1"/>
      <protection hidden="1"/>
    </xf>
    <xf numFmtId="0" fontId="55" fillId="24" borderId="77"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indent="1"/>
      <protection locked="0"/>
    </xf>
    <xf numFmtId="0" fontId="55" fillId="24" borderId="78" xfId="0" applyFont="1" applyFill="1" applyBorder="1" applyAlignment="1" applyProtection="1">
      <alignment horizontal="left" vertical="center" wrapText="1"/>
      <protection locked="0"/>
    </xf>
    <xf numFmtId="0" fontId="55" fillId="24" borderId="79" xfId="0" applyFont="1" applyFill="1" applyBorder="1" applyAlignment="1" applyProtection="1">
      <alignment horizontal="left" vertical="center" wrapText="1"/>
      <protection hidden="1"/>
    </xf>
    <xf numFmtId="0" fontId="54" fillId="8" borderId="0" xfId="0" applyFont="1" applyFill="1" applyAlignment="1" applyProtection="1">
      <alignment horizontal="center" vertical="center" wrapText="1"/>
      <protection hidden="1"/>
    </xf>
    <xf numFmtId="0" fontId="34" fillId="23" borderId="0" xfId="0" applyFont="1" applyFill="1" applyAlignment="1" applyProtection="1">
      <alignment horizontal="center" vertical="center" wrapText="1"/>
      <protection hidden="1"/>
    </xf>
    <xf numFmtId="0" fontId="55" fillId="22" borderId="57"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indent="1"/>
      <protection locked="0"/>
    </xf>
    <xf numFmtId="0" fontId="55" fillId="22" borderId="52" xfId="0" applyFont="1" applyFill="1" applyBorder="1" applyAlignment="1" applyProtection="1">
      <alignment horizontal="left" vertical="center" wrapText="1"/>
      <protection locked="0"/>
    </xf>
    <xf numFmtId="0" fontId="55" fillId="22" borderId="52" xfId="0" applyFont="1" applyFill="1" applyBorder="1" applyAlignment="1" applyProtection="1">
      <alignment horizontal="left" vertical="center" wrapText="1"/>
      <protection hidden="1"/>
    </xf>
    <xf numFmtId="0" fontId="10" fillId="0" borderId="18" xfId="0" applyFont="1" applyBorder="1" applyAlignment="1" applyProtection="1">
      <alignment horizontal="left" vertical="center" indent="1"/>
      <protection hidden="1"/>
    </xf>
    <xf numFmtId="0" fontId="50" fillId="22" borderId="18" xfId="0" applyFont="1" applyFill="1" applyBorder="1" applyAlignment="1" applyProtection="1">
      <alignment horizontal="left" vertical="center" indent="1"/>
      <protection locked="0"/>
    </xf>
    <xf numFmtId="0" fontId="51" fillId="22" borderId="18" xfId="1" applyFill="1" applyBorder="1" applyAlignment="1" applyProtection="1">
      <alignment horizontal="left" vertical="center" indent="1"/>
      <protection locked="0"/>
    </xf>
    <xf numFmtId="0" fontId="52" fillId="22" borderId="18" xfId="1" applyFont="1" applyFill="1" applyBorder="1" applyAlignment="1" applyProtection="1">
      <alignment horizontal="left" vertical="center" indent="1"/>
      <protection locked="0"/>
    </xf>
    <xf numFmtId="165" fontId="50" fillId="22" borderId="18" xfId="0" applyNumberFormat="1" applyFont="1" applyFill="1" applyBorder="1" applyAlignment="1" applyProtection="1">
      <alignment horizontal="left" vertical="center" indent="1"/>
      <protection locked="0"/>
    </xf>
    <xf numFmtId="0" fontId="8" fillId="18" borderId="0" xfId="0" applyFont="1" applyFill="1" applyAlignment="1" applyProtection="1">
      <alignment horizontal="left" vertical="center" indent="1"/>
      <protection hidden="1"/>
    </xf>
    <xf numFmtId="167" fontId="50" fillId="22" borderId="18" xfId="0" applyNumberFormat="1" applyFont="1" applyFill="1" applyBorder="1" applyAlignment="1" applyProtection="1">
      <alignment horizontal="left" vertical="center" indent="1"/>
      <protection locked="0"/>
    </xf>
    <xf numFmtId="0" fontId="20" fillId="7" borderId="6" xfId="0" applyFont="1" applyFill="1" applyBorder="1" applyAlignment="1" applyProtection="1">
      <alignment horizontal="left" vertical="center" indent="1"/>
      <protection hidden="1"/>
    </xf>
    <xf numFmtId="0" fontId="20" fillId="7" borderId="7" xfId="0" applyFont="1" applyFill="1" applyBorder="1" applyAlignment="1" applyProtection="1">
      <alignment horizontal="left" vertical="center" indent="1"/>
      <protection hidden="1"/>
    </xf>
    <xf numFmtId="0" fontId="20" fillId="7" borderId="8" xfId="0" applyFont="1" applyFill="1" applyBorder="1" applyAlignment="1" applyProtection="1">
      <alignment horizontal="left" vertical="center" indent="1"/>
      <protection hidden="1"/>
    </xf>
    <xf numFmtId="0" fontId="49" fillId="0" borderId="76" xfId="0" applyFont="1" applyBorder="1" applyAlignment="1" applyProtection="1">
      <alignment horizontal="left" vertical="center" indent="1"/>
      <protection hidden="1"/>
    </xf>
    <xf numFmtId="0" fontId="49" fillId="0" borderId="0" xfId="0" applyFont="1" applyAlignment="1" applyProtection="1">
      <alignment horizontal="left" vertical="center" indent="1"/>
      <protection hidden="1"/>
    </xf>
    <xf numFmtId="0" fontId="8" fillId="18" borderId="76" xfId="0" applyFont="1" applyFill="1" applyBorder="1" applyAlignment="1" applyProtection="1">
      <alignment horizontal="left" vertical="center" indent="1"/>
      <protection hidden="1"/>
    </xf>
    <xf numFmtId="0" fontId="10" fillId="0" borderId="12" xfId="0" applyFont="1" applyBorder="1" applyAlignment="1" applyProtection="1">
      <alignment horizontal="left" vertical="center" indent="1"/>
      <protection hidden="1"/>
    </xf>
    <xf numFmtId="0" fontId="50" fillId="22" borderId="12" xfId="0" applyFont="1" applyFill="1" applyBorder="1" applyAlignment="1" applyProtection="1">
      <alignment horizontal="left" vertical="center" indent="1"/>
      <protection locked="0"/>
    </xf>
    <xf numFmtId="0" fontId="25" fillId="8" borderId="56" xfId="0" applyFont="1" applyFill="1" applyBorder="1" applyAlignment="1">
      <alignment horizontal="center" vertical="center" wrapText="1"/>
    </xf>
    <xf numFmtId="0" fontId="25" fillId="8" borderId="75" xfId="0" applyFont="1" applyFill="1" applyBorder="1" applyAlignment="1">
      <alignment horizontal="center" vertical="center" wrapText="1"/>
    </xf>
    <xf numFmtId="0" fontId="25" fillId="8" borderId="52" xfId="0" applyFont="1" applyFill="1" applyBorder="1" applyAlignment="1">
      <alignment horizontal="center" vertical="center"/>
    </xf>
    <xf numFmtId="0" fontId="25" fillId="8" borderId="55" xfId="0" applyFont="1" applyFill="1" applyBorder="1" applyAlignment="1">
      <alignment horizontal="center" vertical="center"/>
    </xf>
    <xf numFmtId="0" fontId="37" fillId="22" borderId="55" xfId="0" applyFont="1" applyFill="1" applyBorder="1" applyAlignment="1" applyProtection="1">
      <alignment horizontal="center" vertical="top" wrapText="1"/>
      <protection locked="0"/>
    </xf>
    <xf numFmtId="0" fontId="25" fillId="8" borderId="57" xfId="0" applyFont="1" applyFill="1" applyBorder="1" applyAlignment="1">
      <alignment horizontal="center" vertical="center"/>
    </xf>
    <xf numFmtId="0" fontId="25" fillId="8" borderId="69" xfId="0" applyFont="1" applyFill="1" applyBorder="1" applyAlignment="1">
      <alignment horizontal="center" vertical="center"/>
    </xf>
    <xf numFmtId="0" fontId="25" fillId="8" borderId="52" xfId="0" applyFont="1" applyFill="1" applyBorder="1" applyAlignment="1">
      <alignment horizontal="center" vertical="center" wrapText="1"/>
    </xf>
    <xf numFmtId="0" fontId="25" fillId="8" borderId="55" xfId="0" applyFont="1" applyFill="1" applyBorder="1" applyAlignment="1">
      <alignment horizontal="center" vertical="center" wrapText="1"/>
    </xf>
    <xf numFmtId="0" fontId="37" fillId="22" borderId="70" xfId="0" applyFont="1" applyFill="1" applyBorder="1" applyAlignment="1" applyProtection="1">
      <alignment horizontal="center" vertical="top" wrapText="1"/>
      <protection locked="0"/>
    </xf>
    <xf numFmtId="0" fontId="36" fillId="11" borderId="66" xfId="0" applyFont="1" applyFill="1" applyBorder="1" applyAlignment="1" applyProtection="1">
      <alignment horizontal="left" vertical="center" wrapText="1"/>
      <protection hidden="1"/>
    </xf>
    <xf numFmtId="0" fontId="36" fillId="11" borderId="67" xfId="0" applyFont="1" applyFill="1" applyBorder="1" applyAlignment="1" applyProtection="1">
      <alignment horizontal="left" vertical="center" wrapText="1"/>
      <protection hidden="1"/>
    </xf>
    <xf numFmtId="0" fontId="36" fillId="11" borderId="68" xfId="0" applyFont="1" applyFill="1" applyBorder="1" applyAlignment="1" applyProtection="1">
      <alignment horizontal="left" vertical="center" wrapText="1"/>
      <protection hidden="1"/>
    </xf>
    <xf numFmtId="0" fontId="35" fillId="21" borderId="58" xfId="0" applyFont="1" applyFill="1" applyBorder="1" applyAlignment="1">
      <alignment vertical="center" wrapText="1"/>
    </xf>
    <xf numFmtId="0" fontId="35" fillId="21" borderId="59" xfId="0" applyFont="1" applyFill="1" applyBorder="1" applyAlignment="1">
      <alignment vertical="center"/>
    </xf>
    <xf numFmtId="0" fontId="35" fillId="21" borderId="60" xfId="0" applyFont="1" applyFill="1" applyBorder="1" applyAlignment="1">
      <alignment vertical="center" wrapText="1"/>
    </xf>
    <xf numFmtId="0" fontId="35" fillId="21" borderId="61" xfId="0" applyFont="1" applyFill="1" applyBorder="1" applyAlignment="1">
      <alignment vertical="center" wrapText="1"/>
    </xf>
    <xf numFmtId="0" fontId="35" fillId="21" borderId="62" xfId="0" applyFont="1" applyFill="1" applyBorder="1" applyAlignment="1">
      <alignment vertical="center" wrapText="1"/>
    </xf>
    <xf numFmtId="0" fontId="36" fillId="11" borderId="63" xfId="0" applyFont="1" applyFill="1" applyBorder="1" applyAlignment="1" applyProtection="1">
      <alignment horizontal="left" vertical="center" wrapText="1"/>
      <protection hidden="1"/>
    </xf>
    <xf numFmtId="0" fontId="36" fillId="11" borderId="64" xfId="0" applyFont="1" applyFill="1" applyBorder="1" applyAlignment="1" applyProtection="1">
      <alignment horizontal="left" vertical="center" wrapText="1"/>
      <protection hidden="1"/>
    </xf>
    <xf numFmtId="0" fontId="36" fillId="11" borderId="65" xfId="0" applyFont="1" applyFill="1" applyBorder="1" applyAlignment="1" applyProtection="1">
      <alignment horizontal="left" vertical="center" wrapText="1"/>
      <protection hidden="1"/>
    </xf>
    <xf numFmtId="0" fontId="10" fillId="0" borderId="18" xfId="0" applyFont="1" applyBorder="1" applyAlignment="1">
      <alignment horizontal="left" vertical="center" indent="1"/>
    </xf>
    <xf numFmtId="0" fontId="33" fillId="0" borderId="0" xfId="0" applyFont="1" applyAlignment="1" applyProtection="1">
      <alignment horizontal="left" vertical="center"/>
      <protection locked="0"/>
    </xf>
    <xf numFmtId="2" fontId="33" fillId="0" borderId="0" xfId="0" applyNumberFormat="1" applyFont="1" applyAlignment="1" applyProtection="1">
      <alignment horizontal="left" vertical="center"/>
      <protection locked="0"/>
    </xf>
    <xf numFmtId="0" fontId="34" fillId="18" borderId="0" xfId="0" applyFont="1" applyFill="1" applyAlignment="1">
      <alignment horizontal="center" vertical="center"/>
    </xf>
    <xf numFmtId="0" fontId="5" fillId="7" borderId="0" xfId="0" applyFont="1" applyFill="1" applyAlignment="1">
      <alignment horizontal="left" vertical="center" indent="1"/>
    </xf>
    <xf numFmtId="0" fontId="10" fillId="0" borderId="12" xfId="0" applyFont="1" applyBorder="1" applyAlignment="1">
      <alignment horizontal="left" vertical="center" indent="1"/>
    </xf>
    <xf numFmtId="0" fontId="33" fillId="0" borderId="0" xfId="0" applyFont="1" applyAlignment="1">
      <alignment horizontal="left" vertical="center"/>
    </xf>
    <xf numFmtId="0" fontId="25" fillId="8" borderId="53" xfId="0" applyFont="1" applyFill="1" applyBorder="1" applyAlignment="1">
      <alignment horizontal="center" vertical="center" wrapText="1"/>
    </xf>
    <xf numFmtId="0" fontId="25" fillId="8" borderId="54" xfId="0" applyFont="1" applyFill="1" applyBorder="1" applyAlignment="1">
      <alignment horizontal="center" vertical="center" wrapText="1"/>
    </xf>
    <xf numFmtId="0" fontId="25" fillId="8" borderId="57" xfId="0" applyFont="1" applyFill="1" applyBorder="1" applyAlignment="1">
      <alignment horizontal="center" vertical="center" wrapText="1"/>
    </xf>
    <xf numFmtId="0" fontId="26" fillId="22" borderId="55" xfId="0" applyFont="1" applyFill="1" applyBorder="1" applyAlignment="1" applyProtection="1">
      <alignment horizontal="center" vertical="top" wrapText="1"/>
      <protection locked="0"/>
    </xf>
    <xf numFmtId="0" fontId="11" fillId="11" borderId="18" xfId="0" applyFont="1" applyFill="1" applyBorder="1" applyAlignment="1" applyProtection="1">
      <alignment horizontal="left" vertical="center" wrapText="1" indent="1"/>
      <protection hidden="1"/>
    </xf>
    <xf numFmtId="0" fontId="11" fillId="11" borderId="12" xfId="0" applyFont="1" applyFill="1" applyBorder="1" applyAlignment="1" applyProtection="1">
      <alignment horizontal="left" vertical="center" wrapText="1" indent="1"/>
      <protection hidden="1"/>
    </xf>
    <xf numFmtId="0" fontId="23" fillId="0" borderId="0" xfId="0" applyFont="1" applyAlignment="1" applyProtection="1">
      <alignment horizontal="left" vertical="center" wrapText="1"/>
      <protection hidden="1"/>
    </xf>
    <xf numFmtId="0" fontId="24" fillId="0" borderId="0" xfId="0" applyFont="1" applyAlignment="1" applyProtection="1">
      <alignment horizontal="left" vertical="center" wrapText="1"/>
      <protection hidden="1"/>
    </xf>
    <xf numFmtId="0" fontId="27" fillId="22" borderId="55" xfId="0" applyFont="1" applyFill="1" applyBorder="1" applyAlignment="1" applyProtection="1">
      <alignment horizontal="center" vertical="top" wrapText="1"/>
      <protection locked="0"/>
    </xf>
    <xf numFmtId="0" fontId="11" fillId="20" borderId="47" xfId="0" applyFont="1" applyFill="1" applyBorder="1" applyAlignment="1" applyProtection="1">
      <alignment horizontal="center" vertical="center"/>
      <protection locked="0"/>
    </xf>
    <xf numFmtId="0" fontId="11" fillId="20" borderId="18" xfId="0" applyFont="1" applyFill="1" applyBorder="1" applyAlignment="1" applyProtection="1">
      <alignment horizontal="center" vertical="center"/>
      <protection locked="0"/>
    </xf>
    <xf numFmtId="0" fontId="11" fillId="20" borderId="19" xfId="0" applyFont="1" applyFill="1" applyBorder="1" applyAlignment="1" applyProtection="1">
      <alignment horizontal="center" vertical="center"/>
      <protection locked="0"/>
    </xf>
    <xf numFmtId="0" fontId="21" fillId="8" borderId="48" xfId="0" applyFont="1" applyFill="1" applyBorder="1" applyAlignment="1">
      <alignment horizontal="center" vertical="center" wrapText="1"/>
    </xf>
    <xf numFmtId="0" fontId="21" fillId="8" borderId="49" xfId="0" applyFont="1" applyFill="1" applyBorder="1" applyAlignment="1">
      <alignment horizontal="center" vertical="center" wrapText="1"/>
    </xf>
    <xf numFmtId="0" fontId="22" fillId="8" borderId="48" xfId="0" applyFont="1" applyFill="1" applyBorder="1" applyAlignment="1">
      <alignment horizontal="center" vertical="center" wrapText="1"/>
    </xf>
    <xf numFmtId="0" fontId="22" fillId="8" borderId="49" xfId="0" applyFont="1" applyFill="1" applyBorder="1" applyAlignment="1">
      <alignment horizontal="center" vertical="center" wrapText="1"/>
    </xf>
    <xf numFmtId="0" fontId="11" fillId="19" borderId="47" xfId="0" applyFont="1" applyFill="1" applyBorder="1" applyAlignment="1" applyProtection="1">
      <alignment horizontal="center" vertical="center"/>
      <protection locked="0"/>
    </xf>
    <xf numFmtId="0" fontId="11" fillId="19" borderId="18" xfId="0" applyFont="1" applyFill="1" applyBorder="1" applyAlignment="1" applyProtection="1">
      <alignment horizontal="center" vertical="center"/>
      <protection locked="0"/>
    </xf>
    <xf numFmtId="0" fontId="11" fillId="19" borderId="19" xfId="0" applyFont="1" applyFill="1" applyBorder="1" applyAlignment="1" applyProtection="1">
      <alignment horizontal="center" vertical="center"/>
      <protection locked="0"/>
    </xf>
    <xf numFmtId="0" fontId="8" fillId="18" borderId="43" xfId="0" applyFont="1" applyFill="1" applyBorder="1" applyAlignment="1">
      <alignment horizontal="center" vertical="center"/>
    </xf>
    <xf numFmtId="165" fontId="11" fillId="19" borderId="44" xfId="0" applyNumberFormat="1" applyFont="1" applyFill="1" applyBorder="1" applyAlignment="1" applyProtection="1">
      <alignment horizontal="center" vertical="center"/>
      <protection locked="0"/>
    </xf>
    <xf numFmtId="165" fontId="11" fillId="19" borderId="45" xfId="0" applyNumberFormat="1" applyFont="1" applyFill="1" applyBorder="1" applyAlignment="1" applyProtection="1">
      <alignment horizontal="center" vertical="center"/>
      <protection locked="0"/>
    </xf>
    <xf numFmtId="165" fontId="11" fillId="19" borderId="46" xfId="0" applyNumberFormat="1" applyFont="1" applyFill="1" applyBorder="1" applyAlignment="1" applyProtection="1">
      <alignment horizontal="center" vertical="center"/>
      <protection locked="0"/>
    </xf>
    <xf numFmtId="0" fontId="20" fillId="7" borderId="0" xfId="0" applyFont="1" applyFill="1" applyAlignment="1">
      <alignment horizontal="left" vertical="center" indent="1"/>
    </xf>
    <xf numFmtId="0" fontId="11" fillId="17" borderId="12" xfId="0" applyFont="1" applyFill="1" applyBorder="1" applyAlignment="1">
      <alignment horizontal="left" vertical="center" indent="1"/>
    </xf>
    <xf numFmtId="0" fontId="11" fillId="17" borderId="18" xfId="0" applyFont="1" applyFill="1" applyBorder="1" applyAlignment="1">
      <alignment horizontal="left" vertical="center" indent="1"/>
    </xf>
    <xf numFmtId="0" fontId="10" fillId="0" borderId="42" xfId="0" applyFont="1" applyBorder="1" applyAlignment="1">
      <alignment horizontal="left" vertical="center" indent="1"/>
    </xf>
    <xf numFmtId="165" fontId="11" fillId="17" borderId="42" xfId="0" applyNumberFormat="1" applyFont="1" applyFill="1" applyBorder="1" applyAlignment="1">
      <alignment horizontal="left" vertical="center" indent="1"/>
    </xf>
    <xf numFmtId="0" fontId="11" fillId="17" borderId="42" xfId="0" applyFont="1" applyFill="1" applyBorder="1" applyAlignment="1">
      <alignment horizontal="left" vertical="center" indent="1"/>
    </xf>
    <xf numFmtId="0" fontId="15" fillId="11" borderId="0" xfId="0" applyFont="1" applyFill="1" applyAlignment="1">
      <alignment horizontal="center" vertical="center" textRotation="90" wrapText="1"/>
    </xf>
    <xf numFmtId="0" fontId="15" fillId="11" borderId="0" xfId="0" applyFont="1" applyFill="1" applyAlignment="1">
      <alignment horizontal="center" vertical="center" wrapText="1"/>
    </xf>
    <xf numFmtId="0" fontId="12" fillId="11" borderId="26" xfId="0" applyFont="1" applyFill="1" applyBorder="1" applyAlignment="1">
      <alignment horizontal="center" vertical="center" textRotation="45" wrapText="1"/>
    </xf>
    <xf numFmtId="0" fontId="12" fillId="11" borderId="29" xfId="0" applyFont="1" applyFill="1" applyBorder="1" applyAlignment="1">
      <alignment horizontal="center" vertical="center" textRotation="45" wrapText="1"/>
    </xf>
    <xf numFmtId="0" fontId="5" fillId="6" borderId="6" xfId="0" applyFont="1" applyFill="1" applyBorder="1" applyAlignment="1" applyProtection="1">
      <alignment horizontal="left" vertical="center" wrapText="1" indent="1"/>
      <protection hidden="1"/>
    </xf>
    <xf numFmtId="0" fontId="4" fillId="7" borderId="7" xfId="0" applyFont="1" applyFill="1" applyBorder="1" applyAlignment="1" applyProtection="1">
      <alignment horizontal="left" indent="1"/>
      <protection hidden="1"/>
    </xf>
    <xf numFmtId="0" fontId="4" fillId="7" borderId="8" xfId="0" applyFont="1" applyFill="1" applyBorder="1" applyAlignment="1" applyProtection="1">
      <alignment horizontal="left" indent="1"/>
      <protection hidden="1"/>
    </xf>
    <xf numFmtId="0" fontId="9" fillId="9" borderId="9" xfId="0" applyFont="1" applyFill="1" applyBorder="1" applyAlignment="1" applyProtection="1">
      <alignment horizontal="left" vertical="center" indent="1"/>
      <protection hidden="1"/>
    </xf>
    <xf numFmtId="0" fontId="9" fillId="9" borderId="10" xfId="0" applyFont="1" applyFill="1" applyBorder="1" applyAlignment="1" applyProtection="1">
      <alignment horizontal="left" vertical="center" indent="1"/>
      <protection hidden="1"/>
    </xf>
    <xf numFmtId="0" fontId="9" fillId="9" borderId="11" xfId="0" applyFont="1" applyFill="1" applyBorder="1" applyAlignment="1" applyProtection="1">
      <alignment horizontal="left" vertical="center" indent="1"/>
      <protection hidden="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cellXfs>
  <cellStyles count="3">
    <cellStyle name="Hyperlink" xfId="1" builtinId="8"/>
    <cellStyle name="Normal" xfId="0" builtinId="0"/>
    <cellStyle name="Normal_PRD_Metrics_report_Apr_2006" xfId="2" xr:uid="{00000000-0005-0000-0000-000031000000}"/>
  </cellStyles>
  <dxfs count="22">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theme="6" tint="0.39991454817346722"/>
        </patternFill>
      </fill>
    </dxf>
    <dxf>
      <fill>
        <patternFill patternType="solid">
          <bgColor theme="0"/>
        </patternFill>
      </fill>
    </dxf>
    <dxf>
      <font>
        <b val="0"/>
        <i val="0"/>
        <color theme="1" tint="0.24994659260841701"/>
      </font>
      <fill>
        <patternFill patternType="solid">
          <bgColor theme="5" tint="0.39991454817346722"/>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ont>
        <b val="0"/>
        <i val="0"/>
        <color theme="1" tint="0.2499465926084170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ill>
        <patternFill patternType="solid">
          <bgColor rgb="FFFFCC66"/>
        </patternFill>
      </fill>
    </dxf>
    <dxf>
      <fill>
        <patternFill patternType="solid">
          <bgColor rgb="FFFFCC66"/>
        </patternFill>
      </fill>
    </dxf>
    <dxf>
      <fill>
        <patternFill patternType="solid">
          <bgColor theme="6" tint="0.39991454817346722"/>
        </patternFill>
      </fill>
    </dxf>
    <dxf>
      <fill>
        <patternFill patternType="solid">
          <bgColor theme="0"/>
        </patternFill>
      </fill>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3743705557422"/>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i val="0"/>
        <color rgb="FFC00000"/>
      </font>
      <fill>
        <patternFill patternType="solid">
          <bgColor theme="0"/>
        </patternFill>
      </fill>
      <border>
        <left style="thin">
          <color theme="0" tint="-0.24994659260841701"/>
        </left>
        <right style="thin">
          <color theme="0" tint="-0.24994659260841701"/>
        </right>
        <top/>
        <bottom style="thin">
          <color theme="0" tint="-0.24994659260841701"/>
        </bottom>
      </border>
    </dxf>
    <dxf>
      <font>
        <b val="0"/>
        <i val="0"/>
        <color theme="1" tint="0.34998626667073579"/>
      </font>
      <fill>
        <patternFill patternType="solid">
          <bgColor theme="0"/>
        </patternFill>
      </fill>
      <border>
        <left/>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xdr:nvGrpSpPr>
      <xdr:grpSpPr>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a:xfrm>
          <a:off x="7719695" y="44958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a:xfrm>
          <a:off x="7700645" y="408622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a:xfrm>
          <a:off x="5535930" y="55435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a:xfrm>
          <a:off x="7486650" y="4867275"/>
          <a:ext cx="195770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anose="020B0604020202020204" pitchFamily="7" charset="0"/>
              <a:cs typeface="Arial" panose="020B0604020202020204" pitchFamily="7"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6546215" y="142875"/>
          <a:ext cx="113538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300-0000160C0000}"/>
            </a:ext>
          </a:extLst>
        </xdr:cNvPr>
        <xdr:cNvSpPr txBox="1">
          <a:spLocks noChangeArrowheads="1"/>
        </xdr:cNvSpPr>
      </xdr:nvSpPr>
      <xdr:spPr>
        <a:xfrm>
          <a:off x="4878705" y="2815590"/>
          <a:ext cx="2752090" cy="257175"/>
        </a:xfrm>
        <a:prstGeom prst="rect">
          <a:avLst/>
        </a:prstGeom>
        <a:solidFill>
          <a:schemeClr val="accent6">
            <a:lumMod val="75000"/>
          </a:schemeClr>
        </a:solidFill>
        <a:ln w="15875">
          <a:solidFill>
            <a:srgbClr val="FFFFFF"/>
          </a:solidFill>
          <a:miter lim="800000"/>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300-0000170C0000}"/>
            </a:ext>
          </a:extLst>
        </xdr:cNvPr>
        <xdr:cNvSpPr txBox="1">
          <a:spLocks noChangeArrowheads="1"/>
        </xdr:cNvSpPr>
      </xdr:nvSpPr>
      <xdr:spPr>
        <a:xfrm>
          <a:off x="6011545" y="3091815"/>
          <a:ext cx="1628775" cy="304800"/>
        </a:xfrm>
        <a:prstGeom prst="rect">
          <a:avLst/>
        </a:prstGeom>
        <a:solidFill>
          <a:srgbClr val="EE9144"/>
        </a:solidFill>
        <a:ln w="15875">
          <a:solidFill>
            <a:srgbClr val="FFFFFF"/>
          </a:solidFill>
          <a:miter lim="800000"/>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300-0000180C0000}"/>
            </a:ext>
          </a:extLst>
        </xdr:cNvPr>
        <xdr:cNvSpPr txBox="1">
          <a:spLocks noChangeArrowheads="1"/>
        </xdr:cNvSpPr>
      </xdr:nvSpPr>
      <xdr:spPr>
        <a:xfrm>
          <a:off x="6011545" y="3644265"/>
          <a:ext cx="1638300" cy="266700"/>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Meeting Time</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300-00001C0C0000}"/>
            </a:ext>
          </a:extLst>
        </xdr:cNvPr>
        <xdr:cNvSpPr>
          <a:spLocks noChangeArrowheads="1"/>
        </xdr:cNvSpPr>
      </xdr:nvSpPr>
      <xdr:spPr>
        <a:xfrm>
          <a:off x="6430645" y="866775"/>
          <a:ext cx="2105025" cy="30480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300-00001D0C0000}"/>
            </a:ext>
          </a:extLst>
        </xdr:cNvPr>
        <xdr:cNvSpPr>
          <a:spLocks noChangeArrowheads="1"/>
        </xdr:cNvSpPr>
      </xdr:nvSpPr>
      <xdr:spPr>
        <a:xfrm>
          <a:off x="6430645" y="1295400"/>
          <a:ext cx="2133600" cy="276225"/>
        </a:xfrm>
        <a:prstGeom prst="rect">
          <a:avLst/>
        </a:prstGeom>
        <a:solidFill>
          <a:schemeClr val="bg2"/>
        </a:solidFill>
        <a:ln w="9525">
          <a:solidFill>
            <a:srgbClr val="EB8024"/>
          </a:solidFill>
          <a:miter lim="800000"/>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300-00001E0C0000}"/>
            </a:ext>
          </a:extLst>
        </xdr:cNvPr>
        <xdr:cNvSpPr>
          <a:spLocks noChangeArrowheads="1"/>
        </xdr:cNvSpPr>
      </xdr:nvSpPr>
      <xdr:spPr>
        <a:xfrm>
          <a:off x="6440170" y="1653540"/>
          <a:ext cx="2095500" cy="285750"/>
        </a:xfrm>
        <a:prstGeom prst="rect">
          <a:avLst/>
        </a:prstGeom>
        <a:solidFill>
          <a:schemeClr val="bg2"/>
        </a:solidFill>
        <a:ln w="9525">
          <a:solidFill>
            <a:srgbClr val="EB8024"/>
          </a:solidFill>
          <a:miter lim="800000"/>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anose="020B0604020202020204" pitchFamily="7" charset="0"/>
              <a:cs typeface="Arial" panose="020B0604020202020204" pitchFamily="7"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300-000009000000}"/>
            </a:ext>
          </a:extLst>
        </xdr:cNvPr>
        <xdr:cNvSpPr txBox="1">
          <a:spLocks noChangeArrowheads="1"/>
        </xdr:cNvSpPr>
      </xdr:nvSpPr>
      <xdr:spPr>
        <a:xfrm>
          <a:off x="6011545" y="4044315"/>
          <a:ext cx="1657350" cy="295275"/>
        </a:xfrm>
        <a:prstGeom prst="rect">
          <a:avLst/>
        </a:prstGeom>
        <a:solidFill>
          <a:srgbClr val="EE9144"/>
        </a:solidFill>
        <a:ln w="15875">
          <a:solidFill>
            <a:srgbClr val="FFFFFF"/>
          </a:solidFill>
          <a:miter lim="800000"/>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anose="020B0604020202020204" pitchFamily="7" charset="0"/>
              <a:cs typeface="Arial" panose="020B0604020202020204" pitchFamily="7" charset="0"/>
            </a:rPr>
            <a:t>Rework</a:t>
          </a:r>
          <a:r>
            <a:rPr lang="en-US" sz="1000" b="1" i="0" strike="noStrike" baseline="0">
              <a:solidFill>
                <a:schemeClr val="accent6">
                  <a:lumMod val="20000"/>
                  <a:lumOff val="80000"/>
                </a:schemeClr>
              </a:solidFill>
              <a:latin typeface="Arial" panose="020B0604020202020204" pitchFamily="7" charset="0"/>
              <a:cs typeface="Arial" panose="020B0604020202020204" pitchFamily="7" charset="0"/>
            </a:rPr>
            <a:t> Effort</a:t>
          </a:r>
          <a:r>
            <a:rPr lang="en-US" sz="900" b="1" i="1" strike="noStrike">
              <a:solidFill>
                <a:schemeClr val="accent6">
                  <a:lumMod val="20000"/>
                  <a:lumOff val="80000"/>
                </a:schemeClr>
              </a:solidFill>
              <a:latin typeface="Arial" panose="020B0604020202020204" pitchFamily="7" charset="0"/>
              <a:cs typeface="Arial" panose="020B0604020202020204" pitchFamily="7" charset="0"/>
            </a:rPr>
            <a:t> </a:t>
          </a:r>
          <a:r>
            <a:rPr lang="en-US" sz="900" b="0" i="1" strike="noStrike">
              <a:solidFill>
                <a:srgbClr val="FFFF00"/>
              </a:solidFill>
              <a:latin typeface="Arial" panose="020B0604020202020204" pitchFamily="7" charset="0"/>
              <a:cs typeface="Arial" panose="020B0604020202020204" pitchFamily="7" charset="0"/>
            </a:rPr>
            <a:t>(in Minutes)</a:t>
          </a:r>
          <a:endParaRPr lang="en-US" sz="1000" b="0" i="1" strike="noStrike">
            <a:solidFill>
              <a:srgbClr val="FFFF00"/>
            </a:solidFill>
            <a:latin typeface="Arial" panose="020B0604020202020204" pitchFamily="7" charset="0"/>
            <a:cs typeface="Arial" panose="020B0604020202020204" pitchFamily="7"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300-00000A000000}"/>
            </a:ext>
          </a:extLst>
        </xdr:cNvPr>
        <xdr:cNvSpPr>
          <a:spLocks noChangeArrowheads="1"/>
        </xdr:cNvSpPr>
      </xdr:nvSpPr>
      <xdr:spPr>
        <a:xfrm>
          <a:off x="10524490" y="4063365"/>
          <a:ext cx="3188335" cy="542925"/>
        </a:xfrm>
        <a:prstGeom prst="bevel">
          <a:avLst>
            <a:gd name="adj" fmla="val 12500"/>
          </a:avLst>
        </a:prstGeom>
        <a:solidFill>
          <a:srgbClr val="993366"/>
        </a:solidFill>
        <a:ln w="9525">
          <a:noFill/>
          <a:miter lim="800000"/>
        </a:ln>
        <a:effectLst/>
      </xdr:spPr>
      <xdr:txBody>
        <a:bodyPr vertOverflow="clip" wrap="square" lIns="27432" tIns="22860" rIns="0" bIns="0" anchor="ctr" upright="1"/>
        <a:lstStyle/>
        <a:p>
          <a:pPr algn="ctr" rtl="0">
            <a:defRPr sz="1000"/>
          </a:pPr>
          <a:r>
            <a:rPr lang="en-US" sz="1000" b="1" i="0" strike="noStrike">
              <a:solidFill>
                <a:srgbClr val="FFFFFF"/>
              </a:solidFill>
              <a:latin typeface="Arial" panose="020B0604020202020204"/>
              <a:cs typeface="Arial" panose="020B0604020202020204"/>
            </a:rPr>
            <a:t>View "</a:t>
          </a:r>
          <a:r>
            <a:rPr lang="en-US" sz="1000" b="1" i="0" strike="noStrike">
              <a:solidFill>
                <a:srgbClr val="FFFF00"/>
              </a:solidFill>
              <a:latin typeface="Arial" panose="020B0604020202020204"/>
              <a:cs typeface="Arial" panose="020B0604020202020204"/>
            </a:rPr>
            <a:t>ODC Defect Type Classifcation Guideline</a:t>
          </a:r>
          <a:r>
            <a:rPr lang="en-US" sz="1000" b="1" i="0" strike="noStrike">
              <a:solidFill>
                <a:srgbClr val="FFFFFF"/>
              </a:solidFill>
              <a:latin typeface="Arial" panose="020B0604020202020204"/>
              <a:cs typeface="Arial" panose="020B0604020202020204"/>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cstate="print"/>
        <a:stretch>
          <a:fillRect/>
        </a:stretch>
      </xdr:blipFill>
      <xdr:spPr>
        <a:xfrm>
          <a:off x="6068695" y="66675"/>
          <a:ext cx="2844165" cy="418465"/>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300-00000C000000}"/>
            </a:ext>
          </a:extLst>
        </xdr:cNvPr>
        <xdr:cNvSpPr/>
      </xdr:nvSpPr>
      <xdr:spPr>
        <a:xfrm>
          <a:off x="5774055" y="752475"/>
          <a:ext cx="2904490" cy="134874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400-000002000000}"/>
            </a:ext>
          </a:extLst>
        </xdr:cNvPr>
        <xdr:cNvSpPr>
          <a:spLocks noChangeArrowheads="1"/>
        </xdr:cNvSpPr>
      </xdr:nvSpPr>
      <xdr:spPr>
        <a:xfrm>
          <a:off x="6316980"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400-000003000000}"/>
            </a:ext>
          </a:extLst>
        </xdr:cNvPr>
        <xdr:cNvSpPr>
          <a:spLocks noChangeArrowheads="1"/>
        </xdr:cNvSpPr>
      </xdr:nvSpPr>
      <xdr:spPr>
        <a:xfrm>
          <a:off x="6316980" y="257175"/>
          <a:ext cx="1828800" cy="266700"/>
        </a:xfrm>
        <a:prstGeom prst="bevel">
          <a:avLst>
            <a:gd name="adj" fmla="val 12500"/>
          </a:avLst>
        </a:prstGeom>
        <a:solidFill>
          <a:srgbClr val="000080">
            <a:alpha val="56000"/>
          </a:srgbClr>
        </a:solidFill>
        <a:ln w="9525">
          <a:noFill/>
          <a:miter lim="800000"/>
        </a:ln>
        <a:effectLst/>
      </xdr:spPr>
      <xdr:txBody>
        <a:bodyPr vertOverflow="clip" wrap="square" lIns="27432" tIns="22860" rIns="0" bIns="0" anchor="t" upright="1"/>
        <a:lstStyle/>
        <a:p>
          <a:pPr algn="l" rtl="0">
            <a:defRPr sz="1000"/>
          </a:pPr>
          <a:r>
            <a:rPr lang="en-US" sz="1000" b="1" i="0" strike="noStrike">
              <a:solidFill>
                <a:srgbClr val="FFFFFF"/>
              </a:solidFill>
              <a:latin typeface="Arial" panose="020B0604020202020204"/>
              <a:cs typeface="Arial" panose="020B0604020202020204"/>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3746500" y="123825"/>
          <a:ext cx="2707640" cy="398780"/>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a:xfrm>
          <a:off x="7454900" y="1104900"/>
          <a:ext cx="622300" cy="419100"/>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500-000007000000}"/>
            </a:ext>
          </a:extLst>
        </xdr:cNvPr>
        <xdr:cNvSpPr/>
      </xdr:nvSpPr>
      <xdr:spPr>
        <a:xfrm>
          <a:off x="6541770" y="2914650"/>
          <a:ext cx="1703705" cy="971550"/>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anose="020B0604020202020204" pitchFamily="7" charset="0"/>
              <a:cs typeface="Arial" panose="020B0604020202020204" pitchFamily="7"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workbookViewId="0">
      <selection activeCell="B30" sqref="B30:O159"/>
    </sheetView>
  </sheetViews>
  <sheetFormatPr defaultColWidth="9.28515625" defaultRowHeight="13.15"/>
  <cols>
    <col min="1" max="1" width="1.7109375" style="12" customWidth="1"/>
    <col min="2" max="2" width="11.28515625" style="12" customWidth="1"/>
    <col min="3" max="3" width="12.5703125" style="12" customWidth="1"/>
    <col min="4" max="4" width="15.28515625" style="12" customWidth="1"/>
    <col min="5" max="5" width="0.5703125" style="12" customWidth="1"/>
    <col min="6" max="6" width="8.7109375" style="12" customWidth="1"/>
    <col min="7" max="7" width="15.7109375" style="12" customWidth="1"/>
    <col min="8" max="9" width="8.7109375" style="12" hidden="1" customWidth="1"/>
    <col min="10" max="10" width="20.28515625" style="12" customWidth="1"/>
    <col min="11" max="11" width="13.5703125" style="12" customWidth="1"/>
    <col min="12" max="12" width="12.28515625" style="12" customWidth="1"/>
    <col min="13" max="13" width="5.28515625" style="62" hidden="1" customWidth="1"/>
    <col min="14" max="14" width="1.7109375" style="62" hidden="1" customWidth="1"/>
    <col min="15" max="15" width="0.5703125" style="62" hidden="1" customWidth="1"/>
    <col min="16" max="16" width="6" style="62" hidden="1" customWidth="1"/>
    <col min="17" max="17" width="10.7109375" style="62" hidden="1" customWidth="1"/>
    <col min="18" max="19" width="2" style="62" hidden="1" customWidth="1"/>
    <col min="20" max="20" width="28.5703125" style="62" hidden="1" customWidth="1"/>
    <col min="21" max="21" width="3.28515625" style="62" hidden="1" customWidth="1"/>
    <col min="22" max="22" width="3.42578125" style="62" hidden="1" customWidth="1"/>
    <col min="23" max="23" width="2" style="62" hidden="1" customWidth="1"/>
    <col min="24" max="24" width="17.7109375" style="62" hidden="1" customWidth="1"/>
    <col min="25" max="25" width="5.28515625" style="62" hidden="1" customWidth="1"/>
    <col min="26" max="26" width="9.5703125" style="62" hidden="1" customWidth="1"/>
    <col min="27" max="27" width="9.28515625" style="62" hidden="1" customWidth="1"/>
    <col min="28" max="28" width="13.28515625" style="62" hidden="1" customWidth="1"/>
    <col min="29" max="30" width="9.28515625" style="62" hidden="1" customWidth="1"/>
    <col min="31" max="31" width="34.7109375" style="62" hidden="1" customWidth="1"/>
    <col min="32" max="34" width="9.28515625" style="62" hidden="1" customWidth="1"/>
    <col min="35" max="35" width="12.28515625" style="62" hidden="1" customWidth="1"/>
    <col min="36" max="36" width="20.42578125" style="120" customWidth="1"/>
    <col min="37" max="41" width="8.28515625" style="12" customWidth="1"/>
    <col min="42" max="42" width="8.28515625" style="12" hidden="1" customWidth="1"/>
    <col min="43" max="44" width="9.28515625" style="62" hidden="1" customWidth="1"/>
    <col min="45" max="45" width="5.7109375" style="62" hidden="1" customWidth="1"/>
    <col min="46" max="46" width="13.5703125" style="62" hidden="1" customWidth="1"/>
    <col min="47" max="53" width="8" style="62" hidden="1" customWidth="1"/>
    <col min="54" max="59" width="10.5703125" style="62" hidden="1" customWidth="1"/>
    <col min="60" max="60" width="6.28515625" style="62" hidden="1" customWidth="1"/>
    <col min="61" max="62" width="9.28515625" style="62" hidden="1" customWidth="1"/>
    <col min="63" max="63" width="19.42578125" style="62" hidden="1" customWidth="1"/>
    <col min="64" max="64" width="9.28515625" style="121" hidden="1" customWidth="1"/>
    <col min="65" max="65" width="12.42578125" style="121" hidden="1" customWidth="1"/>
    <col min="66" max="75" width="9.28515625" style="121" hidden="1" customWidth="1"/>
    <col min="76" max="78" width="9.28515625" style="118" hidden="1" customWidth="1"/>
    <col min="79" max="79" width="9.28515625" style="118" customWidth="1"/>
    <col min="80" max="80" width="9.28515625" style="121" customWidth="1"/>
    <col min="81" max="84" width="9.28515625" style="122" customWidth="1"/>
    <col min="85" max="85" width="9.28515625" style="122"/>
    <col min="86" max="97" width="9.28515625" style="118"/>
    <col min="98" max="16384" width="9.28515625" style="12"/>
  </cols>
  <sheetData>
    <row r="1" spans="1:97" ht="6" customHeight="1">
      <c r="A1" s="118"/>
      <c r="B1" s="118"/>
      <c r="C1" s="118"/>
      <c r="D1" s="118"/>
      <c r="E1" s="118"/>
      <c r="F1" s="118"/>
      <c r="G1" s="118"/>
      <c r="H1" s="118"/>
      <c r="I1" s="118"/>
      <c r="J1" s="118"/>
      <c r="K1" s="118"/>
      <c r="L1" s="118"/>
      <c r="M1" s="121"/>
      <c r="N1" s="121"/>
      <c r="O1" s="121"/>
      <c r="P1" s="121"/>
      <c r="Q1" s="121"/>
      <c r="R1" s="121"/>
      <c r="S1" s="121"/>
      <c r="T1" s="121"/>
      <c r="U1" s="121"/>
      <c r="V1" s="121"/>
      <c r="W1" s="121"/>
      <c r="X1" s="121"/>
      <c r="Y1" s="121"/>
      <c r="Z1" s="121"/>
      <c r="AA1" s="121"/>
      <c r="AB1" s="121"/>
      <c r="AC1" s="121"/>
      <c r="AD1" s="62" t="s">
        <v>0</v>
      </c>
      <c r="AE1" s="62" t="s">
        <v>1</v>
      </c>
      <c r="AF1" s="62">
        <v>1</v>
      </c>
      <c r="AG1" s="62" t="s">
        <v>2</v>
      </c>
      <c r="AJ1" s="122"/>
      <c r="AK1" s="118"/>
      <c r="AL1" s="118"/>
      <c r="AM1" s="118"/>
      <c r="AN1" s="118"/>
      <c r="AO1" s="118"/>
      <c r="AP1" s="118"/>
      <c r="AQ1" s="121"/>
      <c r="AR1" s="121">
        <f>SUM(AS1:BH1)</f>
        <v>7</v>
      </c>
      <c r="AS1" s="151">
        <f t="shared" ref="AS1:BH1" si="0">IF(AS2=$F$12,1,IF(AT1=1,1,0))</f>
        <v>1</v>
      </c>
      <c r="AT1" s="151">
        <f t="shared" si="0"/>
        <v>1</v>
      </c>
      <c r="AU1" s="151">
        <f t="shared" si="0"/>
        <v>1</v>
      </c>
      <c r="AV1" s="151">
        <f t="shared" si="0"/>
        <v>1</v>
      </c>
      <c r="AW1" s="151">
        <f t="shared" si="0"/>
        <v>1</v>
      </c>
      <c r="AX1" s="151">
        <f t="shared" si="0"/>
        <v>1</v>
      </c>
      <c r="AY1" s="151">
        <f t="shared" si="0"/>
        <v>1</v>
      </c>
      <c r="AZ1" s="151">
        <f t="shared" si="0"/>
        <v>0</v>
      </c>
      <c r="BA1" s="151">
        <f t="shared" si="0"/>
        <v>0</v>
      </c>
      <c r="BB1" s="151">
        <f t="shared" si="0"/>
        <v>0</v>
      </c>
      <c r="BC1" s="151">
        <f t="shared" si="0"/>
        <v>0</v>
      </c>
      <c r="BD1" s="151">
        <f t="shared" si="0"/>
        <v>0</v>
      </c>
      <c r="BE1" s="151">
        <f t="shared" si="0"/>
        <v>0</v>
      </c>
      <c r="BF1" s="151">
        <f t="shared" si="0"/>
        <v>0</v>
      </c>
      <c r="BG1" s="151">
        <f t="shared" si="0"/>
        <v>0</v>
      </c>
      <c r="BH1" s="151">
        <f t="shared" si="0"/>
        <v>0</v>
      </c>
      <c r="BI1" s="151"/>
      <c r="BJ1" s="121">
        <v>1</v>
      </c>
      <c r="BK1" s="121"/>
      <c r="BL1" s="121" t="str">
        <f t="array" ref="BL1">INDEX($AS$2:$BH$26,AQ2,$AR$1)</f>
        <v>Code</v>
      </c>
    </row>
    <row r="2" spans="1:97" ht="36" customHeight="1">
      <c r="A2" s="118"/>
      <c r="B2" s="186" t="s">
        <v>3</v>
      </c>
      <c r="C2" s="187"/>
      <c r="D2" s="187"/>
      <c r="E2" s="187"/>
      <c r="F2" s="187"/>
      <c r="G2" s="187"/>
      <c r="H2" s="187"/>
      <c r="I2" s="187"/>
      <c r="J2" s="187"/>
      <c r="K2" s="187"/>
      <c r="L2" s="187"/>
      <c r="M2" s="188"/>
      <c r="Q2" s="62" t="s">
        <v>4</v>
      </c>
      <c r="AD2" s="62" t="s">
        <v>5</v>
      </c>
      <c r="AE2" s="62" t="s">
        <v>6</v>
      </c>
      <c r="AF2" s="62">
        <v>2</v>
      </c>
      <c r="AG2" s="62" t="s">
        <v>7</v>
      </c>
      <c r="AI2" s="62" t="s">
        <v>1</v>
      </c>
      <c r="AJ2" s="122"/>
      <c r="AK2" s="118"/>
      <c r="AL2" s="118"/>
      <c r="AM2" s="118"/>
      <c r="AN2" s="118"/>
      <c r="AO2" s="118"/>
      <c r="AP2" s="118"/>
      <c r="AQ2" s="121">
        <v>1</v>
      </c>
      <c r="AR2" s="121"/>
      <c r="AS2" s="151" t="s">
        <v>1</v>
      </c>
      <c r="AT2" s="151" t="s">
        <v>6</v>
      </c>
      <c r="AU2" s="151" t="s">
        <v>8</v>
      </c>
      <c r="AV2" s="151" t="s">
        <v>9</v>
      </c>
      <c r="AW2" s="151" t="s">
        <v>10</v>
      </c>
      <c r="AX2" s="151" t="s">
        <v>11</v>
      </c>
      <c r="AY2" s="151" t="s">
        <v>12</v>
      </c>
      <c r="AZ2" s="151" t="s">
        <v>13</v>
      </c>
      <c r="BA2" s="151" t="s">
        <v>14</v>
      </c>
      <c r="BB2" s="151" t="s">
        <v>15</v>
      </c>
      <c r="BC2" s="151" t="s">
        <v>16</v>
      </c>
      <c r="BD2" s="151" t="s">
        <v>17</v>
      </c>
      <c r="BE2" s="151" t="s">
        <v>18</v>
      </c>
      <c r="BF2" s="151" t="s">
        <v>19</v>
      </c>
      <c r="BG2" s="151" t="s">
        <v>20</v>
      </c>
      <c r="BH2" s="151" t="s">
        <v>2</v>
      </c>
      <c r="BI2" s="121"/>
      <c r="BJ2" s="121">
        <v>2</v>
      </c>
      <c r="BK2" s="121" t="str">
        <f>AR3</f>
        <v>PCA_1</v>
      </c>
    </row>
    <row r="3" spans="1:97" ht="19.5" customHeight="1">
      <c r="Q3" s="62" t="s">
        <v>21</v>
      </c>
      <c r="AE3" s="62" t="s">
        <v>8</v>
      </c>
      <c r="AF3" s="62">
        <v>3</v>
      </c>
      <c r="AG3" s="62" t="s">
        <v>22</v>
      </c>
      <c r="AI3" s="62" t="s">
        <v>23</v>
      </c>
      <c r="AJ3" s="122"/>
      <c r="AK3" s="118"/>
      <c r="AL3" s="118"/>
      <c r="AM3" s="118"/>
      <c r="AN3" s="118"/>
      <c r="AO3" s="118"/>
      <c r="AP3" s="118"/>
      <c r="AQ3" s="121">
        <v>2</v>
      </c>
      <c r="AR3" s="121" t="s">
        <v>24</v>
      </c>
      <c r="AS3" s="121" t="s">
        <v>25</v>
      </c>
      <c r="AT3" s="121" t="s">
        <v>26</v>
      </c>
      <c r="AU3" s="121" t="s">
        <v>26</v>
      </c>
      <c r="AV3" s="121" t="s">
        <v>26</v>
      </c>
      <c r="AW3" s="121" t="s">
        <v>26</v>
      </c>
      <c r="AX3" s="121" t="s">
        <v>26</v>
      </c>
      <c r="AY3" s="121" t="s">
        <v>26</v>
      </c>
      <c r="AZ3" s="121" t="s">
        <v>26</v>
      </c>
      <c r="BA3" s="121" t="s">
        <v>26</v>
      </c>
      <c r="BB3" s="121" t="s">
        <v>26</v>
      </c>
      <c r="BC3" s="121" t="s">
        <v>26</v>
      </c>
      <c r="BD3" s="121" t="s">
        <v>26</v>
      </c>
      <c r="BE3" s="121" t="s">
        <v>26</v>
      </c>
      <c r="BF3" s="121" t="s">
        <v>26</v>
      </c>
      <c r="BG3" s="121" t="s">
        <v>26</v>
      </c>
      <c r="BH3" s="121"/>
      <c r="BI3" s="121"/>
      <c r="BJ3" s="121">
        <v>3</v>
      </c>
      <c r="BK3" s="121" t="str">
        <f t="shared" ref="BK3:BK46" si="1">AR4</f>
        <v>PCA_2</v>
      </c>
      <c r="BL3" s="121" t="str">
        <f t="array" ref="BL3">INDEX(IF($AS$2:$BH$46="","",$AS$2:$BH$46),AQ3,$AR$1)</f>
        <v>General-Editorial</v>
      </c>
    </row>
    <row r="4" spans="1:97" ht="22.5" customHeight="1">
      <c r="B4" s="189" t="s">
        <v>27</v>
      </c>
      <c r="C4" s="190"/>
      <c r="D4" s="190"/>
      <c r="E4" s="190"/>
      <c r="F4" s="190"/>
      <c r="G4" s="190"/>
      <c r="H4" s="190"/>
      <c r="I4" s="190"/>
      <c r="J4" s="190"/>
      <c r="K4" s="190"/>
      <c r="L4" s="190"/>
      <c r="M4" s="190"/>
      <c r="Q4" s="62" t="s">
        <v>28</v>
      </c>
      <c r="AE4" s="62" t="s">
        <v>9</v>
      </c>
      <c r="AF4" s="62">
        <v>4</v>
      </c>
      <c r="AG4" s="62" t="s">
        <v>29</v>
      </c>
      <c r="AI4" s="62" t="s">
        <v>29</v>
      </c>
      <c r="AJ4" s="122"/>
      <c r="AK4" s="118"/>
      <c r="AL4" s="118"/>
      <c r="AM4" s="118"/>
      <c r="AN4" s="118"/>
      <c r="AO4" s="118"/>
      <c r="AP4" s="118"/>
      <c r="AQ4" s="121">
        <v>3</v>
      </c>
      <c r="AR4" s="121" t="s">
        <v>30</v>
      </c>
      <c r="AS4" s="121" t="s">
        <v>31</v>
      </c>
      <c r="AT4" s="121" t="s">
        <v>32</v>
      </c>
      <c r="AU4" s="121" t="s">
        <v>32</v>
      </c>
      <c r="AV4" s="121" t="s">
        <v>32</v>
      </c>
      <c r="AW4" s="121" t="s">
        <v>32</v>
      </c>
      <c r="AX4" s="121" t="s">
        <v>32</v>
      </c>
      <c r="AY4" s="121" t="s">
        <v>32</v>
      </c>
      <c r="AZ4" s="121" t="s">
        <v>32</v>
      </c>
      <c r="BA4" s="121" t="s">
        <v>32</v>
      </c>
      <c r="BB4" s="121" t="s">
        <v>32</v>
      </c>
      <c r="BC4" s="121" t="s">
        <v>32</v>
      </c>
      <c r="BD4" s="121" t="s">
        <v>32</v>
      </c>
      <c r="BE4" s="121" t="s">
        <v>32</v>
      </c>
      <c r="BF4" s="121" t="s">
        <v>32</v>
      </c>
      <c r="BG4" s="121" t="s">
        <v>32</v>
      </c>
      <c r="BH4" s="121"/>
      <c r="BI4" s="121"/>
      <c r="BJ4" s="121">
        <v>4</v>
      </c>
      <c r="BK4" s="121" t="str">
        <f t="shared" si="1"/>
        <v>PCA_3</v>
      </c>
      <c r="BL4" s="121" t="str">
        <f t="array" ref="BL4">INDEX(IF($AS$2:$BH$46="","",$AS$2:$BH$46),AQ4,$AR$1)</f>
        <v>Requirement-Ambiguous Req.</v>
      </c>
    </row>
    <row r="5" spans="1:97" ht="2.25" customHeight="1">
      <c r="A5" s="118"/>
      <c r="B5" s="123"/>
      <c r="C5" s="123"/>
      <c r="D5" s="123"/>
      <c r="E5" s="123"/>
      <c r="F5" s="123"/>
      <c r="G5" s="123"/>
      <c r="H5" s="123"/>
      <c r="I5" s="123"/>
      <c r="J5" s="123"/>
      <c r="K5" s="123"/>
      <c r="L5" s="123"/>
      <c r="M5" s="132"/>
      <c r="N5" s="121"/>
      <c r="O5" s="121"/>
      <c r="P5" s="121"/>
      <c r="Q5" s="121" t="s">
        <v>33</v>
      </c>
      <c r="R5" s="121"/>
      <c r="S5" s="121"/>
      <c r="T5" s="121"/>
      <c r="U5" s="121"/>
      <c r="V5" s="121"/>
      <c r="W5" s="121"/>
      <c r="X5" s="121"/>
      <c r="Y5" s="121"/>
      <c r="Z5" s="121"/>
      <c r="AA5" s="121"/>
      <c r="AB5" s="121"/>
      <c r="AC5" s="121"/>
      <c r="AD5" s="62" t="s">
        <v>34</v>
      </c>
      <c r="AE5" s="62" t="s">
        <v>11</v>
      </c>
      <c r="AF5" s="62">
        <v>5</v>
      </c>
      <c r="AG5" s="62" t="s">
        <v>35</v>
      </c>
      <c r="AI5" s="73" t="s">
        <v>35</v>
      </c>
      <c r="AJ5" s="122"/>
      <c r="AK5" s="118"/>
      <c r="AL5" s="118"/>
      <c r="AM5" s="118"/>
      <c r="AN5" s="118"/>
      <c r="AO5" s="118"/>
      <c r="AP5" s="118"/>
      <c r="AQ5" s="121">
        <v>4</v>
      </c>
      <c r="AR5" s="121" t="s">
        <v>36</v>
      </c>
      <c r="AS5" s="121" t="s">
        <v>37</v>
      </c>
      <c r="AT5" s="121" t="s">
        <v>38</v>
      </c>
      <c r="AU5" s="121" t="s">
        <v>38</v>
      </c>
      <c r="AV5" s="121" t="s">
        <v>38</v>
      </c>
      <c r="AW5" s="121" t="s">
        <v>38</v>
      </c>
      <c r="AX5" s="121" t="s">
        <v>38</v>
      </c>
      <c r="AY5" s="121" t="s">
        <v>38</v>
      </c>
      <c r="AZ5" s="121" t="s">
        <v>38</v>
      </c>
      <c r="BA5" s="121" t="s">
        <v>38</v>
      </c>
      <c r="BB5" s="121" t="s">
        <v>38</v>
      </c>
      <c r="BC5" s="121" t="s">
        <v>38</v>
      </c>
      <c r="BD5" s="121" t="s">
        <v>38</v>
      </c>
      <c r="BE5" s="121" t="s">
        <v>38</v>
      </c>
      <c r="BF5" s="121" t="s">
        <v>38</v>
      </c>
      <c r="BG5" s="121" t="s">
        <v>38</v>
      </c>
      <c r="BH5" s="121"/>
      <c r="BI5" s="121"/>
      <c r="BJ5" s="121">
        <v>5</v>
      </c>
      <c r="BK5" s="121" t="str">
        <f t="shared" si="1"/>
        <v>PCA_4</v>
      </c>
      <c r="BL5" s="121" t="str">
        <f t="array" ref="BL5">INDEX(IF($AS$2:$BH$46="","",$AS$2:$BH$46),AQ5,$AR$1)</f>
        <v>Requirement-Inconsistent/Inappropriate Req.</v>
      </c>
    </row>
    <row r="6" spans="1:97" ht="20.25" customHeight="1">
      <c r="A6" s="118"/>
      <c r="B6" s="191" t="s">
        <v>39</v>
      </c>
      <c r="C6" s="184"/>
      <c r="D6" s="184"/>
      <c r="E6" s="184"/>
      <c r="F6" s="184"/>
      <c r="G6" s="184"/>
      <c r="H6" s="184"/>
      <c r="I6" s="184"/>
      <c r="J6" s="184"/>
      <c r="K6" s="184"/>
      <c r="L6" s="184"/>
      <c r="M6" s="184"/>
      <c r="N6" s="121"/>
      <c r="O6" s="121"/>
      <c r="P6" s="121"/>
      <c r="Q6" s="62" t="s">
        <v>40</v>
      </c>
      <c r="R6" s="121"/>
      <c r="S6" s="121"/>
      <c r="T6" s="121"/>
      <c r="U6" s="121"/>
      <c r="V6" s="121"/>
      <c r="W6" s="121"/>
      <c r="X6" s="121"/>
      <c r="Y6" s="121"/>
      <c r="Z6" s="121"/>
      <c r="AA6" s="121"/>
      <c r="AB6" s="121"/>
      <c r="AC6" s="121"/>
      <c r="AE6" s="62" t="s">
        <v>12</v>
      </c>
      <c r="AF6" s="62">
        <v>6</v>
      </c>
      <c r="AG6" s="62" t="s">
        <v>11</v>
      </c>
      <c r="AI6" s="73" t="s">
        <v>11</v>
      </c>
      <c r="AJ6" s="122"/>
      <c r="AK6" s="118"/>
      <c r="AL6" s="118"/>
      <c r="AM6" s="118"/>
      <c r="AN6" s="118"/>
      <c r="AO6" s="118"/>
      <c r="AP6" s="118"/>
      <c r="AQ6" s="121">
        <v>5</v>
      </c>
      <c r="AR6" s="121" t="s">
        <v>41</v>
      </c>
      <c r="AS6" s="121" t="s">
        <v>42</v>
      </c>
      <c r="AT6" s="121" t="s">
        <v>43</v>
      </c>
      <c r="AU6" s="121" t="s">
        <v>43</v>
      </c>
      <c r="AV6" s="121" t="s">
        <v>43</v>
      </c>
      <c r="AW6" s="121" t="s">
        <v>43</v>
      </c>
      <c r="AX6" s="121" t="s">
        <v>43</v>
      </c>
      <c r="AY6" s="121" t="s">
        <v>43</v>
      </c>
      <c r="AZ6" s="121" t="s">
        <v>43</v>
      </c>
      <c r="BA6" s="121" t="s">
        <v>43</v>
      </c>
      <c r="BB6" s="121" t="s">
        <v>43</v>
      </c>
      <c r="BC6" s="121" t="s">
        <v>43</v>
      </c>
      <c r="BD6" s="121" t="s">
        <v>43</v>
      </c>
      <c r="BE6" s="121" t="s">
        <v>43</v>
      </c>
      <c r="BF6" s="121" t="s">
        <v>43</v>
      </c>
      <c r="BG6" s="121" t="s">
        <v>43</v>
      </c>
      <c r="BH6" s="121"/>
      <c r="BI6" s="121"/>
      <c r="BJ6" s="121">
        <v>6</v>
      </c>
      <c r="BK6" s="121" t="str">
        <f t="shared" si="1"/>
        <v>PCA_5</v>
      </c>
      <c r="BL6" s="121" t="str">
        <f t="array" ref="BL6">INDEX(IF($AS$2:$BH$46="","",$AS$2:$BH$46),AQ6,$AR$1)</f>
        <v>Requirement-Inadequate Req.</v>
      </c>
      <c r="CR6" s="153"/>
      <c r="CS6" s="153"/>
    </row>
    <row r="7" spans="1:97" ht="1.5" customHeight="1">
      <c r="A7" s="118"/>
      <c r="B7" s="123"/>
      <c r="C7" s="123"/>
      <c r="D7" s="123"/>
      <c r="E7" s="123"/>
      <c r="F7" s="123"/>
      <c r="G7" s="123"/>
      <c r="H7" s="123"/>
      <c r="I7" s="123"/>
      <c r="J7" s="123"/>
      <c r="K7" s="123"/>
      <c r="L7" s="123"/>
      <c r="M7" s="132"/>
      <c r="N7" s="121"/>
      <c r="O7" s="121"/>
      <c r="P7" s="121"/>
      <c r="Q7" s="121" t="s">
        <v>44</v>
      </c>
      <c r="R7" s="121"/>
      <c r="S7" s="121"/>
      <c r="T7" s="121"/>
      <c r="U7" s="121"/>
      <c r="V7" s="121"/>
      <c r="W7" s="121"/>
      <c r="X7" s="121"/>
      <c r="Y7" s="121"/>
      <c r="Z7" s="121"/>
      <c r="AA7" s="121"/>
      <c r="AB7" s="121"/>
      <c r="AC7" s="121"/>
      <c r="AE7" s="62" t="s">
        <v>13</v>
      </c>
      <c r="AF7" s="62">
        <v>7</v>
      </c>
      <c r="AG7" s="62" t="s">
        <v>12</v>
      </c>
      <c r="AI7" s="73" t="s">
        <v>12</v>
      </c>
      <c r="AJ7" s="122"/>
      <c r="AK7" s="118"/>
      <c r="AL7" s="118"/>
      <c r="AM7" s="118"/>
      <c r="AN7" s="118"/>
      <c r="AO7" s="118"/>
      <c r="AP7" s="118"/>
      <c r="AQ7" s="121">
        <v>6</v>
      </c>
      <c r="AR7" s="121" t="s">
        <v>45</v>
      </c>
      <c r="AS7" s="121" t="s">
        <v>46</v>
      </c>
      <c r="AT7" s="121"/>
      <c r="AU7" s="121" t="s">
        <v>47</v>
      </c>
      <c r="AV7" s="121" t="s">
        <v>47</v>
      </c>
      <c r="AW7" s="121" t="s">
        <v>47</v>
      </c>
      <c r="AX7" s="121" t="s">
        <v>47</v>
      </c>
      <c r="AY7" s="121" t="s">
        <v>47</v>
      </c>
      <c r="AZ7" s="121" t="s">
        <v>47</v>
      </c>
      <c r="BA7" s="121" t="s">
        <v>47</v>
      </c>
      <c r="BB7" s="121" t="s">
        <v>47</v>
      </c>
      <c r="BC7" s="121" t="s">
        <v>47</v>
      </c>
      <c r="BD7" s="121" t="s">
        <v>47</v>
      </c>
      <c r="BE7" s="121" t="s">
        <v>47</v>
      </c>
      <c r="BF7" s="121" t="s">
        <v>47</v>
      </c>
      <c r="BG7" s="121" t="s">
        <v>47</v>
      </c>
      <c r="BH7" s="121"/>
      <c r="BI7" s="121"/>
      <c r="BJ7" s="121">
        <v>7</v>
      </c>
      <c r="BK7" s="121" t="str">
        <f t="shared" si="1"/>
        <v>PCA_6</v>
      </c>
      <c r="BL7" s="121" t="str">
        <f t="array" ref="BL7">INDEX(IF($AS$2:$BH$46="","",$AS$2:$BH$46),AQ7,$AR$1)</f>
        <v>Design-Inconsistent Desg.</v>
      </c>
    </row>
    <row r="8" spans="1:97" ht="15" customHeight="1">
      <c r="A8" s="118"/>
      <c r="B8" s="192" t="s">
        <v>48</v>
      </c>
      <c r="C8" s="192"/>
      <c r="D8" s="192"/>
      <c r="E8" s="124"/>
      <c r="F8" s="193" t="s">
        <v>49</v>
      </c>
      <c r="G8" s="193"/>
      <c r="H8" s="193"/>
      <c r="I8" s="193"/>
      <c r="J8" s="193"/>
      <c r="K8" s="193"/>
      <c r="L8" s="193"/>
      <c r="M8" s="193"/>
      <c r="T8" s="62">
        <f>COUNTA(F8:F24)</f>
        <v>17</v>
      </c>
      <c r="AE8" s="62" t="s">
        <v>50</v>
      </c>
      <c r="AF8" s="62">
        <v>8</v>
      </c>
      <c r="AG8" s="62" t="s">
        <v>51</v>
      </c>
      <c r="AI8" s="62" t="s">
        <v>13</v>
      </c>
      <c r="AJ8" s="122"/>
      <c r="AK8" s="118"/>
      <c r="AL8" s="118"/>
      <c r="AM8" s="118"/>
      <c r="AN8" s="118"/>
      <c r="AO8" s="118"/>
      <c r="AP8" s="118"/>
      <c r="AQ8" s="121">
        <v>7</v>
      </c>
      <c r="AR8" s="121" t="s">
        <v>52</v>
      </c>
      <c r="AS8" s="121"/>
      <c r="AT8" s="121"/>
      <c r="AU8" s="121" t="s">
        <v>53</v>
      </c>
      <c r="AV8" s="121" t="s">
        <v>53</v>
      </c>
      <c r="AW8" s="121" t="s">
        <v>53</v>
      </c>
      <c r="AX8" s="121" t="s">
        <v>53</v>
      </c>
      <c r="AY8" s="121" t="s">
        <v>53</v>
      </c>
      <c r="AZ8" s="121" t="s">
        <v>53</v>
      </c>
      <c r="BA8" s="121" t="s">
        <v>53</v>
      </c>
      <c r="BB8" s="121" t="s">
        <v>53</v>
      </c>
      <c r="BC8" s="121" t="s">
        <v>53</v>
      </c>
      <c r="BD8" s="121" t="s">
        <v>53</v>
      </c>
      <c r="BE8" s="121" t="s">
        <v>53</v>
      </c>
      <c r="BF8" s="121" t="s">
        <v>53</v>
      </c>
      <c r="BG8" s="121" t="s">
        <v>53</v>
      </c>
      <c r="BH8" s="121"/>
      <c r="BI8" s="121"/>
      <c r="BJ8" s="121">
        <v>8</v>
      </c>
      <c r="BK8" s="121" t="str">
        <f t="shared" si="1"/>
        <v>PCA_7</v>
      </c>
      <c r="BL8" s="121" t="str">
        <f t="array" ref="BL8">INDEX(IF($AS$2:$BH$46="","",$AS$2:$BH$46),AQ8,$AR$1)</f>
        <v>Design-Insufficient Desg.</v>
      </c>
    </row>
    <row r="9" spans="1:97" ht="15" customHeight="1">
      <c r="A9" s="118"/>
      <c r="B9" s="179" t="s">
        <v>54</v>
      </c>
      <c r="C9" s="179"/>
      <c r="D9" s="179"/>
      <c r="E9" s="125"/>
      <c r="F9" s="180" t="s">
        <v>4</v>
      </c>
      <c r="G9" s="180"/>
      <c r="H9" s="180"/>
      <c r="I9" s="180"/>
      <c r="J9" s="180"/>
      <c r="K9" s="180"/>
      <c r="L9" s="180"/>
      <c r="M9" s="180"/>
      <c r="T9" s="62">
        <f>COUNTIF(Y30:Y194,"MOD")</f>
        <v>1</v>
      </c>
      <c r="AE9" s="62" t="s">
        <v>15</v>
      </c>
      <c r="AF9" s="62">
        <v>9</v>
      </c>
      <c r="AG9" s="62" t="s">
        <v>55</v>
      </c>
      <c r="AI9" s="62" t="s">
        <v>50</v>
      </c>
      <c r="AJ9" s="122"/>
      <c r="AK9" s="118"/>
      <c r="AL9" s="118"/>
      <c r="AM9" s="118"/>
      <c r="AN9" s="118"/>
      <c r="AO9" s="118"/>
      <c r="AP9" s="118"/>
      <c r="AQ9" s="121">
        <v>8</v>
      </c>
      <c r="AR9" s="121" t="s">
        <v>56</v>
      </c>
      <c r="AS9" s="121"/>
      <c r="AT9" s="121"/>
      <c r="AU9" s="121"/>
      <c r="AV9" s="121"/>
      <c r="AW9" s="121"/>
      <c r="AX9" s="121"/>
      <c r="AY9" s="121" t="s">
        <v>57</v>
      </c>
      <c r="AZ9" s="121"/>
      <c r="BA9" s="121"/>
      <c r="BB9" s="121" t="s">
        <v>57</v>
      </c>
      <c r="BC9" s="121" t="s">
        <v>57</v>
      </c>
      <c r="BD9" s="121" t="s">
        <v>57</v>
      </c>
      <c r="BE9" s="121" t="s">
        <v>57</v>
      </c>
      <c r="BF9" s="121" t="s">
        <v>57</v>
      </c>
      <c r="BG9" s="121" t="s">
        <v>57</v>
      </c>
      <c r="BH9" s="121"/>
      <c r="BI9" s="121"/>
      <c r="BJ9" s="121">
        <v>9</v>
      </c>
      <c r="BK9" s="121" t="str">
        <f t="shared" si="1"/>
        <v>PCA_8</v>
      </c>
      <c r="BL9" s="121" t="str">
        <f t="array" ref="BL9">INDEX(IF($AS$2:$BH$46="","",$AS$2:$BH$46),AQ9,$AR$1)</f>
        <v xml:space="preserve">Code-Assignment/Initialization </v>
      </c>
    </row>
    <row r="10" spans="1:97" ht="15" customHeight="1">
      <c r="A10" s="118"/>
      <c r="B10" s="179" t="s">
        <v>58</v>
      </c>
      <c r="C10" s="179"/>
      <c r="D10" s="179"/>
      <c r="E10" s="125"/>
      <c r="F10" s="180" t="s">
        <v>12</v>
      </c>
      <c r="G10" s="180"/>
      <c r="H10" s="180"/>
      <c r="I10" s="180"/>
      <c r="J10" s="180"/>
      <c r="K10" s="180"/>
      <c r="L10" s="180"/>
      <c r="M10" s="180"/>
      <c r="T10" s="62">
        <f>COUNTIF(AA30:AA194,"Ins")</f>
        <v>4</v>
      </c>
      <c r="AE10" s="62" t="s">
        <v>16</v>
      </c>
      <c r="AF10" s="62">
        <v>10</v>
      </c>
      <c r="AG10" s="62" t="s">
        <v>59</v>
      </c>
      <c r="AI10" s="62" t="s">
        <v>60</v>
      </c>
      <c r="AJ10" s="122"/>
      <c r="AK10" s="118"/>
      <c r="AL10" s="118"/>
      <c r="AM10" s="118"/>
      <c r="AN10" s="118"/>
      <c r="AO10" s="118"/>
      <c r="AP10" s="118"/>
      <c r="AQ10" s="121">
        <v>9</v>
      </c>
      <c r="AR10" s="121" t="s">
        <v>61</v>
      </c>
      <c r="AS10" s="121"/>
      <c r="AT10" s="121"/>
      <c r="AU10" s="121"/>
      <c r="AV10" s="121"/>
      <c r="AW10" s="121"/>
      <c r="AX10" s="121"/>
      <c r="AY10" s="121" t="s">
        <v>62</v>
      </c>
      <c r="AZ10" s="121"/>
      <c r="BA10" s="121"/>
      <c r="BB10" s="121" t="s">
        <v>62</v>
      </c>
      <c r="BC10" s="121" t="s">
        <v>62</v>
      </c>
      <c r="BD10" s="121" t="s">
        <v>62</v>
      </c>
      <c r="BE10" s="121" t="s">
        <v>62</v>
      </c>
      <c r="BF10" s="121" t="s">
        <v>62</v>
      </c>
      <c r="BG10" s="121" t="s">
        <v>62</v>
      </c>
      <c r="BH10" s="121"/>
      <c r="BI10" s="121"/>
      <c r="BJ10" s="121">
        <v>10</v>
      </c>
      <c r="BK10" s="121" t="str">
        <f t="shared" si="1"/>
        <v>PCA_9</v>
      </c>
      <c r="BL10" s="121" t="str">
        <f t="array" ref="BL10">INDEX(IF($AS$2:$BH$46="","",$AS$2:$BH$46),AQ10,$AR$1)</f>
        <v>Code-Checking</v>
      </c>
    </row>
    <row r="11" spans="1:97" ht="15" customHeight="1">
      <c r="A11" s="118"/>
      <c r="B11" s="179" t="s">
        <v>63</v>
      </c>
      <c r="C11" s="179"/>
      <c r="D11" s="179"/>
      <c r="E11" s="125"/>
      <c r="F11" s="180">
        <v>1</v>
      </c>
      <c r="G11" s="180"/>
      <c r="H11" s="180"/>
      <c r="I11" s="180"/>
      <c r="J11" s="180"/>
      <c r="K11" s="180"/>
      <c r="L11" s="180"/>
      <c r="M11" s="180"/>
      <c r="T11" s="62" t="str">
        <f>$F$22&amp;$F$12&amp;"_Inspection Summary_"&amp;F10&amp;".xlsm"</f>
        <v>C:\Users\sabi_\OneDrive\Desktop\New folder\Coding logs\Code_Inspection Summary_Code.xlsm</v>
      </c>
      <c r="AE11" s="62" t="s">
        <v>17</v>
      </c>
      <c r="AF11" s="62">
        <v>11</v>
      </c>
      <c r="AG11" s="62" t="s">
        <v>64</v>
      </c>
      <c r="AI11" s="62" t="s">
        <v>65</v>
      </c>
      <c r="AJ11" s="122"/>
      <c r="AK11" s="118"/>
      <c r="AL11" s="118"/>
      <c r="AM11" s="118"/>
      <c r="AN11" s="118"/>
      <c r="AO11" s="118"/>
      <c r="AP11" s="118"/>
      <c r="AQ11" s="121">
        <v>10</v>
      </c>
      <c r="AR11" s="121" t="s">
        <v>66</v>
      </c>
      <c r="AS11" s="121"/>
      <c r="AT11" s="121"/>
      <c r="AU11" s="121"/>
      <c r="AV11" s="121"/>
      <c r="AW11" s="121"/>
      <c r="AX11" s="121"/>
      <c r="AY11" s="121" t="s">
        <v>67</v>
      </c>
      <c r="AZ11" s="121"/>
      <c r="BA11" s="121"/>
      <c r="BB11" s="121" t="s">
        <v>67</v>
      </c>
      <c r="BC11" s="121" t="s">
        <v>67</v>
      </c>
      <c r="BD11" s="121" t="s">
        <v>67</v>
      </c>
      <c r="BE11" s="121" t="s">
        <v>67</v>
      </c>
      <c r="BF11" s="121" t="s">
        <v>67</v>
      </c>
      <c r="BG11" s="121" t="s">
        <v>67</v>
      </c>
      <c r="BH11" s="121"/>
      <c r="BI11" s="121"/>
      <c r="BJ11" s="121">
        <v>11</v>
      </c>
      <c r="BK11" s="121" t="str">
        <f t="shared" si="1"/>
        <v>PCA_10</v>
      </c>
      <c r="BL11" s="121" t="str">
        <f t="array" ref="BL11">INDEX(IF($AS$2:$BH$46="","",$AS$2:$BH$46),AQ11,$AR$1)</f>
        <v xml:space="preserve">Code-Algorithm/Method </v>
      </c>
    </row>
    <row r="12" spans="1:97" ht="15" customHeight="1">
      <c r="A12" s="118"/>
      <c r="B12" s="179" t="s">
        <v>68</v>
      </c>
      <c r="C12" s="179"/>
      <c r="D12" s="179"/>
      <c r="E12" s="125"/>
      <c r="F12" s="180" t="s">
        <v>12</v>
      </c>
      <c r="G12" s="180"/>
      <c r="H12" s="180"/>
      <c r="I12" s="180"/>
      <c r="J12" s="180"/>
      <c r="K12" s="180"/>
      <c r="L12" s="180"/>
      <c r="M12" s="180"/>
      <c r="T12" s="62" t="str">
        <f>F12&amp;"_Inspection Summary_"&amp;F10&amp;".xlsm"</f>
        <v>Code_Inspection Summary_Code.xlsm</v>
      </c>
      <c r="AE12" s="62" t="s">
        <v>18</v>
      </c>
      <c r="AF12" s="62">
        <v>12</v>
      </c>
      <c r="AG12" s="62" t="s">
        <v>69</v>
      </c>
      <c r="AI12" s="62" t="s">
        <v>70</v>
      </c>
      <c r="AJ12" s="122"/>
      <c r="AK12" s="118"/>
      <c r="AL12" s="118"/>
      <c r="AM12" s="118"/>
      <c r="AN12" s="118"/>
      <c r="AO12" s="118"/>
      <c r="AP12" s="118"/>
      <c r="AQ12" s="121">
        <v>11</v>
      </c>
      <c r="AR12" s="121" t="s">
        <v>71</v>
      </c>
      <c r="AS12" s="121"/>
      <c r="AT12" s="121"/>
      <c r="AU12" s="121"/>
      <c r="AV12" s="121"/>
      <c r="AW12" s="121"/>
      <c r="AX12" s="121"/>
      <c r="AY12" s="121" t="s">
        <v>72</v>
      </c>
      <c r="AZ12" s="121"/>
      <c r="BA12" s="121"/>
      <c r="BB12" s="121" t="s">
        <v>72</v>
      </c>
      <c r="BC12" s="121" t="s">
        <v>72</v>
      </c>
      <c r="BD12" s="121" t="s">
        <v>72</v>
      </c>
      <c r="BE12" s="121" t="s">
        <v>72</v>
      </c>
      <c r="BF12" s="121" t="s">
        <v>72</v>
      </c>
      <c r="BG12" s="121" t="s">
        <v>72</v>
      </c>
      <c r="BH12" s="121"/>
      <c r="BI12" s="121"/>
      <c r="BJ12" s="121">
        <v>12</v>
      </c>
      <c r="BK12" s="121" t="str">
        <f t="shared" si="1"/>
        <v>PCA_11</v>
      </c>
      <c r="BL12" s="121" t="str">
        <f t="array" ref="BL12">INDEX(IF($AS$2:$BH$46="","",$AS$2:$BH$46),AQ12,$AR$1)</f>
        <v xml:space="preserve">Code-Function/Class/Object </v>
      </c>
    </row>
    <row r="13" spans="1:97" ht="15" customHeight="1">
      <c r="A13" s="118"/>
      <c r="B13" s="179" t="s">
        <v>73</v>
      </c>
      <c r="C13" s="179"/>
      <c r="D13" s="179"/>
      <c r="E13" s="125"/>
      <c r="F13" s="180" t="s">
        <v>74</v>
      </c>
      <c r="G13" s="180"/>
      <c r="H13" s="180"/>
      <c r="I13" s="180"/>
      <c r="J13" s="180"/>
      <c r="K13" s="180"/>
      <c r="L13" s="180"/>
      <c r="M13" s="180"/>
      <c r="T13" s="62" t="str">
        <f>INDEX(AI2:AI16,AG18,0)&amp;"_Inspection Summary"</f>
        <v>Code_Inspection Summary</v>
      </c>
      <c r="AE13" s="62" t="s">
        <v>19</v>
      </c>
      <c r="AF13" s="62">
        <v>13</v>
      </c>
      <c r="AG13" s="62" t="s">
        <v>75</v>
      </c>
      <c r="AI13" s="62" t="s">
        <v>64</v>
      </c>
      <c r="AJ13" s="122"/>
      <c r="AK13" s="118"/>
      <c r="AL13" s="118"/>
      <c r="AM13" s="118"/>
      <c r="AN13" s="118"/>
      <c r="AO13" s="118"/>
      <c r="AP13" s="118"/>
      <c r="AQ13" s="121">
        <v>12</v>
      </c>
      <c r="AR13" s="121" t="s">
        <v>76</v>
      </c>
      <c r="AS13" s="121"/>
      <c r="AT13" s="121"/>
      <c r="AU13" s="121"/>
      <c r="AV13" s="121"/>
      <c r="AW13" s="121"/>
      <c r="AX13" s="121"/>
      <c r="AY13" s="121" t="s">
        <v>77</v>
      </c>
      <c r="AZ13" s="121"/>
      <c r="BA13" s="121"/>
      <c r="BB13" s="121" t="s">
        <v>77</v>
      </c>
      <c r="BC13" s="121" t="s">
        <v>77</v>
      </c>
      <c r="BD13" s="121" t="s">
        <v>77</v>
      </c>
      <c r="BE13" s="121" t="s">
        <v>77</v>
      </c>
      <c r="BF13" s="121" t="s">
        <v>77</v>
      </c>
      <c r="BG13" s="121" t="s">
        <v>77</v>
      </c>
      <c r="BH13" s="121"/>
      <c r="BI13" s="121"/>
      <c r="BJ13" s="121">
        <v>13</v>
      </c>
      <c r="BK13" s="121" t="str">
        <f t="shared" si="1"/>
        <v>PCA_12</v>
      </c>
      <c r="BL13" s="121" t="str">
        <f t="array" ref="BL13">INDEX(IF($AS$2:$BH$46="","",$AS$2:$BH$46),AQ13,$AR$1)</f>
        <v>Code-Memory Issues</v>
      </c>
    </row>
    <row r="14" spans="1:97" ht="15" customHeight="1">
      <c r="A14" s="118"/>
      <c r="B14" s="179" t="str">
        <f>IF(F12="Code","Total Artifact Size (KSLOC) :","Total Artifact Size (Pages) :")</f>
        <v>Total Artifact Size (KSLOC) :</v>
      </c>
      <c r="C14" s="179"/>
      <c r="D14" s="179"/>
      <c r="E14" s="125"/>
      <c r="F14" s="180">
        <v>30</v>
      </c>
      <c r="G14" s="180"/>
      <c r="H14" s="180"/>
      <c r="I14" s="180"/>
      <c r="J14" s="180"/>
      <c r="K14" s="180"/>
      <c r="L14" s="180"/>
      <c r="M14" s="180"/>
      <c r="T14" s="62" t="str">
        <f>$F$22&amp;"Inspection Template 10.0.xlsm"</f>
        <v>C:\Users\sabi_\OneDrive\Desktop\New folder\Coding logs\Inspection Template 10.0.xlsm</v>
      </c>
      <c r="AE14" s="62" t="s">
        <v>20</v>
      </c>
      <c r="AF14" s="62">
        <v>14</v>
      </c>
      <c r="AI14" s="62" t="s">
        <v>78</v>
      </c>
      <c r="AJ14" s="122"/>
      <c r="AK14" s="118"/>
      <c r="AL14" s="118"/>
      <c r="AM14" s="118"/>
      <c r="AN14" s="118"/>
      <c r="AO14" s="118"/>
      <c r="AP14" s="118"/>
      <c r="AQ14" s="121">
        <v>13</v>
      </c>
      <c r="AR14" s="121" t="s">
        <v>79</v>
      </c>
      <c r="AS14" s="121"/>
      <c r="AT14" s="121"/>
      <c r="AU14" s="121"/>
      <c r="AV14" s="121"/>
      <c r="AW14" s="121"/>
      <c r="AX14" s="121"/>
      <c r="AY14" s="121" t="s">
        <v>80</v>
      </c>
      <c r="AZ14" s="121"/>
      <c r="BA14" s="121"/>
      <c r="BB14" s="121" t="s">
        <v>80</v>
      </c>
      <c r="BC14" s="121" t="s">
        <v>80</v>
      </c>
      <c r="BD14" s="121" t="s">
        <v>80</v>
      </c>
      <c r="BE14" s="121" t="s">
        <v>80</v>
      </c>
      <c r="BF14" s="121" t="s">
        <v>80</v>
      </c>
      <c r="BG14" s="121" t="s">
        <v>80</v>
      </c>
      <c r="BH14" s="121"/>
      <c r="BI14" s="121"/>
      <c r="BJ14" s="121">
        <v>14</v>
      </c>
      <c r="BK14" s="121" t="str">
        <f t="shared" si="1"/>
        <v>PCA_13</v>
      </c>
      <c r="BL14" s="121" t="str">
        <f t="array" ref="BL14">INDEX(IF($AS$2:$BH$46="","",$AS$2:$BH$46),AQ14,$AR$1)</f>
        <v>Code-Incorrect logic in code</v>
      </c>
    </row>
    <row r="15" spans="1:97" ht="15" customHeight="1">
      <c r="A15" s="118"/>
      <c r="B15" s="179" t="str">
        <f>IF(F12="Code","No. of Lines to be Reviewed (KSLOC) :","No. of Pages to be Reviewed (Pages) :")</f>
        <v>No. of Lines to be Reviewed (KSLOC) :</v>
      </c>
      <c r="C15" s="179"/>
      <c r="D15" s="179"/>
      <c r="E15" s="125"/>
      <c r="F15" s="180">
        <v>30</v>
      </c>
      <c r="G15" s="180"/>
      <c r="H15" s="180"/>
      <c r="I15" s="180"/>
      <c r="J15" s="180"/>
      <c r="K15" s="180"/>
      <c r="L15" s="180"/>
      <c r="M15" s="180"/>
      <c r="T15" s="62" t="str">
        <f>$F$22&amp;INDEX(AI2:AI16,AG18,0)&amp;"_Inspection Disposition_"&amp;F10&amp;".xlsm"</f>
        <v>C:\Users\sabi_\OneDrive\Desktop\New folder\Coding logs\Code_Inspection Disposition_Code.xlsm</v>
      </c>
      <c r="AE15" s="62" t="s">
        <v>2</v>
      </c>
      <c r="AF15" s="62">
        <v>15</v>
      </c>
      <c r="AI15" s="62" t="s">
        <v>81</v>
      </c>
      <c r="AJ15" s="122"/>
      <c r="AK15" s="118"/>
      <c r="AL15" s="118"/>
      <c r="AM15" s="118"/>
      <c r="AN15" s="118"/>
      <c r="AO15" s="118"/>
      <c r="AP15" s="118"/>
      <c r="AQ15" s="121">
        <v>14</v>
      </c>
      <c r="AR15" s="121" t="s">
        <v>82</v>
      </c>
      <c r="AS15" s="121"/>
      <c r="AT15" s="121"/>
      <c r="AU15" s="121"/>
      <c r="AV15" s="121"/>
      <c r="AW15" s="121"/>
      <c r="AX15" s="121"/>
      <c r="AY15" s="121" t="s">
        <v>83</v>
      </c>
      <c r="AZ15" s="121"/>
      <c r="BA15" s="121"/>
      <c r="BB15" s="121" t="s">
        <v>83</v>
      </c>
      <c r="BC15" s="121" t="s">
        <v>83</v>
      </c>
      <c r="BD15" s="121" t="s">
        <v>83</v>
      </c>
      <c r="BE15" s="121" t="s">
        <v>83</v>
      </c>
      <c r="BF15" s="121" t="s">
        <v>83</v>
      </c>
      <c r="BG15" s="121" t="s">
        <v>83</v>
      </c>
      <c r="BH15" s="121"/>
      <c r="BI15" s="121"/>
      <c r="BJ15" s="121">
        <v>15</v>
      </c>
      <c r="BK15" s="121" t="str">
        <f t="shared" si="1"/>
        <v>PCA_14</v>
      </c>
      <c r="BL15" s="121" t="str">
        <f t="array" ref="BL15">INDEX(IF($AS$2:$BH$46="","",$AS$2:$BH$46),AQ15,$AR$1)</f>
        <v>Code-Exception handling error</v>
      </c>
    </row>
    <row r="16" spans="1:97" ht="15" customHeight="1">
      <c r="A16" s="118"/>
      <c r="B16" s="179" t="s">
        <v>84</v>
      </c>
      <c r="C16" s="179"/>
      <c r="D16" s="179"/>
      <c r="E16" s="125"/>
      <c r="F16" s="180" t="s">
        <v>85</v>
      </c>
      <c r="G16" s="180"/>
      <c r="H16" s="180"/>
      <c r="I16" s="180"/>
      <c r="J16" s="180"/>
      <c r="K16" s="180"/>
      <c r="L16" s="180"/>
      <c r="M16" s="180"/>
      <c r="T16" s="62" t="str">
        <f>INDEX(AI2:AI16,AG18,0)&amp;"_Inspection Disposition_"&amp;F10&amp;".xlsm"</f>
        <v>Code_Inspection Disposition_Code.xlsm</v>
      </c>
      <c r="AF16" s="62">
        <v>16</v>
      </c>
      <c r="AI16" s="62" t="s">
        <v>2</v>
      </c>
      <c r="AJ16" s="122"/>
      <c r="AK16" s="118"/>
      <c r="AL16" s="118"/>
      <c r="AM16" s="118"/>
      <c r="AN16" s="118"/>
      <c r="AO16" s="118"/>
      <c r="AP16" s="118"/>
      <c r="AQ16" s="121">
        <v>15</v>
      </c>
      <c r="AR16" s="121" t="s">
        <v>86</v>
      </c>
      <c r="AS16" s="121"/>
      <c r="AT16" s="121"/>
      <c r="AU16" s="121"/>
      <c r="AV16" s="121"/>
      <c r="AW16" s="121"/>
      <c r="AX16" s="121"/>
      <c r="AY16" s="121" t="s">
        <v>87</v>
      </c>
      <c r="AZ16" s="121"/>
      <c r="BA16" s="121"/>
      <c r="BB16" s="121" t="s">
        <v>87</v>
      </c>
      <c r="BC16" s="121" t="s">
        <v>87</v>
      </c>
      <c r="BD16" s="121" t="s">
        <v>87</v>
      </c>
      <c r="BE16" s="121" t="s">
        <v>87</v>
      </c>
      <c r="BF16" s="121" t="s">
        <v>87</v>
      </c>
      <c r="BG16" s="121" t="s">
        <v>87</v>
      </c>
      <c r="BH16" s="121"/>
      <c r="BI16" s="121"/>
      <c r="BJ16" s="121">
        <v>16</v>
      </c>
      <c r="BK16" s="121" t="str">
        <f t="shared" si="1"/>
        <v>PCA_15</v>
      </c>
      <c r="BL16" s="121" t="str">
        <f t="array" ref="BL16">INDEX(IF($AS$2:$BH$46="","",$AS$2:$BH$46),AQ16,$AR$1)</f>
        <v>Code-Violation of Coding Guidelines or templates</v>
      </c>
    </row>
    <row r="17" spans="1:97" ht="15" customHeight="1">
      <c r="A17" s="118"/>
      <c r="B17" s="179" t="s">
        <v>88</v>
      </c>
      <c r="C17" s="179"/>
      <c r="D17" s="179"/>
      <c r="E17" s="125"/>
      <c r="F17" s="185" t="s">
        <v>89</v>
      </c>
      <c r="G17" s="180"/>
      <c r="H17" s="180"/>
      <c r="I17" s="180"/>
      <c r="J17" s="180"/>
      <c r="K17" s="180"/>
      <c r="L17" s="180"/>
      <c r="M17" s="180"/>
      <c r="AG17" s="62">
        <f>IF((VLOOKUP(F12,$AE$1:$AF$15,2,FALSE)+1)&gt;=10,(VLOOKUP(F12,$AE$1:$AF$15,2,FALSE)+1)-2,VLOOKUP(F12,$AE$1:$AF$15,2,FALSE)+1)</f>
        <v>7</v>
      </c>
      <c r="AJ17" s="122"/>
      <c r="AK17" s="118"/>
      <c r="AL17" s="118"/>
      <c r="AM17" s="118"/>
      <c r="AN17" s="118"/>
      <c r="AO17" s="118"/>
      <c r="AP17" s="118"/>
      <c r="AQ17" s="121">
        <v>16</v>
      </c>
      <c r="AR17" s="121" t="s">
        <v>90</v>
      </c>
      <c r="AS17" s="121"/>
      <c r="AT17" s="121"/>
      <c r="AU17" s="121"/>
      <c r="AV17" s="121"/>
      <c r="AW17" s="121"/>
      <c r="AX17" s="121"/>
      <c r="AY17" s="121" t="s">
        <v>91</v>
      </c>
      <c r="AZ17" s="121"/>
      <c r="BA17" s="121"/>
      <c r="BB17" s="121" t="s">
        <v>91</v>
      </c>
      <c r="BC17" s="121" t="s">
        <v>91</v>
      </c>
      <c r="BD17" s="121" t="s">
        <v>91</v>
      </c>
      <c r="BE17" s="121" t="s">
        <v>91</v>
      </c>
      <c r="BF17" s="121" t="s">
        <v>91</v>
      </c>
      <c r="BG17" s="121" t="s">
        <v>91</v>
      </c>
      <c r="BH17" s="121"/>
      <c r="BI17" s="121"/>
      <c r="BJ17" s="121">
        <v>17</v>
      </c>
      <c r="BK17" s="121" t="str">
        <f t="shared" si="1"/>
        <v>PCA_16</v>
      </c>
      <c r="BL17" s="121" t="str">
        <f t="array" ref="BL17">INDEX(IF($AS$2:$BH$46="","",$AS$2:$BH$46),AQ17,$AR$1)</f>
        <v>Code-Compile error</v>
      </c>
    </row>
    <row r="18" spans="1:97" ht="15" customHeight="1">
      <c r="A18" s="118"/>
      <c r="B18" s="179" t="s">
        <v>92</v>
      </c>
      <c r="C18" s="179"/>
      <c r="D18" s="179"/>
      <c r="E18" s="125"/>
      <c r="F18" s="183">
        <v>44144</v>
      </c>
      <c r="G18" s="183"/>
      <c r="H18" s="183"/>
      <c r="I18" s="183"/>
      <c r="J18" s="183"/>
      <c r="K18" s="183"/>
      <c r="L18" s="183"/>
      <c r="M18" s="183"/>
      <c r="AG18" s="62">
        <f>VLOOKUP(F12,$AE$1:$AF$15,2,FALSE)</f>
        <v>6</v>
      </c>
      <c r="AJ18" s="122"/>
      <c r="AK18" s="118"/>
      <c r="AL18" s="118"/>
      <c r="AM18" s="118"/>
      <c r="AN18" s="118"/>
      <c r="AO18" s="118"/>
      <c r="AP18" s="118"/>
      <c r="AQ18" s="121">
        <v>17</v>
      </c>
      <c r="AR18" s="121" t="s">
        <v>93</v>
      </c>
      <c r="AS18" s="121"/>
      <c r="AT18" s="121"/>
      <c r="AU18" s="121"/>
      <c r="AV18" s="121"/>
      <c r="AW18" s="121"/>
      <c r="AX18" s="121"/>
      <c r="AY18" s="121"/>
      <c r="AZ18" s="121"/>
      <c r="BA18" s="121"/>
      <c r="BB18" s="121" t="s">
        <v>94</v>
      </c>
      <c r="BC18" s="121" t="s">
        <v>94</v>
      </c>
      <c r="BD18" s="121" t="s">
        <v>94</v>
      </c>
      <c r="BE18" s="121" t="s">
        <v>94</v>
      </c>
      <c r="BF18" s="121" t="s">
        <v>94</v>
      </c>
      <c r="BG18" s="121" t="s">
        <v>94</v>
      </c>
      <c r="BH18" s="121"/>
      <c r="BI18" s="121"/>
      <c r="BJ18" s="121">
        <v>18</v>
      </c>
      <c r="BK18" s="121" t="str">
        <f t="shared" si="1"/>
        <v>PCA_17</v>
      </c>
      <c r="BL18" s="121" t="str">
        <f t="array" ref="BL18">INDEX(IF($AS$2:$BH$46="","",$AS$2:$BH$46),AQ18,$AR$1)</f>
        <v/>
      </c>
    </row>
    <row r="19" spans="1:97" ht="15" customHeight="1">
      <c r="A19" s="118"/>
      <c r="B19" s="179" t="s">
        <v>95</v>
      </c>
      <c r="C19" s="179"/>
      <c r="D19" s="179"/>
      <c r="E19" s="125"/>
      <c r="F19" s="183">
        <v>44145</v>
      </c>
      <c r="G19" s="183"/>
      <c r="H19" s="183"/>
      <c r="I19" s="183"/>
      <c r="J19" s="183"/>
      <c r="K19" s="183"/>
      <c r="L19" s="183"/>
      <c r="M19" s="183"/>
      <c r="AJ19" s="122"/>
      <c r="AK19" s="118"/>
      <c r="AL19" s="118"/>
      <c r="AM19" s="118"/>
      <c r="AN19" s="118"/>
      <c r="AO19" s="118"/>
      <c r="AP19" s="118"/>
      <c r="AQ19" s="121">
        <v>18</v>
      </c>
      <c r="AR19" s="121" t="s">
        <v>96</v>
      </c>
      <c r="AS19" s="121"/>
      <c r="AT19" s="121"/>
      <c r="AU19" s="121"/>
      <c r="AV19" s="121"/>
      <c r="AW19" s="121"/>
      <c r="AX19" s="121"/>
      <c r="AY19" s="121"/>
      <c r="AZ19" s="121"/>
      <c r="BA19" s="121"/>
      <c r="BB19" s="121" t="s">
        <v>97</v>
      </c>
      <c r="BC19" s="121" t="s">
        <v>97</v>
      </c>
      <c r="BD19" s="121" t="s">
        <v>97</v>
      </c>
      <c r="BE19" s="121" t="s">
        <v>97</v>
      </c>
      <c r="BF19" s="121" t="s">
        <v>97</v>
      </c>
      <c r="BG19" s="121" t="s">
        <v>97</v>
      </c>
      <c r="BH19" s="121"/>
      <c r="BI19" s="121"/>
      <c r="BJ19" s="121">
        <v>19</v>
      </c>
      <c r="BK19" s="121" t="str">
        <f t="shared" si="1"/>
        <v>PCA_18</v>
      </c>
      <c r="BL19" s="121" t="str">
        <f t="array" ref="BL19">INDEX(IF($AS$2:$BH$46="","",$AS$2:$BH$46),AQ19,$AR$1)</f>
        <v/>
      </c>
    </row>
    <row r="20" spans="1:97" ht="15" customHeight="1">
      <c r="A20" s="118"/>
      <c r="B20" s="179" t="s">
        <v>98</v>
      </c>
      <c r="C20" s="179"/>
      <c r="D20" s="179"/>
      <c r="E20" s="125"/>
      <c r="F20" s="180" t="s">
        <v>99</v>
      </c>
      <c r="G20" s="180"/>
      <c r="H20" s="180"/>
      <c r="I20" s="180"/>
      <c r="J20" s="180"/>
      <c r="K20" s="180"/>
      <c r="L20" s="180"/>
      <c r="M20" s="180"/>
      <c r="AG20" s="62">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22"/>
      <c r="AK20" s="118"/>
      <c r="AL20" s="118"/>
      <c r="AM20" s="118"/>
      <c r="AN20" s="118"/>
      <c r="AO20" s="118"/>
      <c r="AP20" s="118"/>
      <c r="AQ20" s="121">
        <v>19</v>
      </c>
      <c r="AR20" s="121" t="s">
        <v>100</v>
      </c>
      <c r="AS20" s="121"/>
      <c r="AT20" s="121"/>
      <c r="AU20" s="121"/>
      <c r="AV20" s="121"/>
      <c r="AW20" s="121"/>
      <c r="AX20" s="121"/>
      <c r="AY20" s="121"/>
      <c r="AZ20" s="121"/>
      <c r="BA20" s="121"/>
      <c r="BB20" s="121"/>
      <c r="BC20" s="121"/>
      <c r="BD20" s="121"/>
      <c r="BE20" s="121"/>
      <c r="BF20" s="121"/>
      <c r="BG20" s="121"/>
      <c r="BH20" s="121"/>
      <c r="BI20" s="121"/>
      <c r="BJ20" s="121">
        <v>20</v>
      </c>
      <c r="BK20" s="121" t="str">
        <f t="shared" si="1"/>
        <v>PCA_19</v>
      </c>
      <c r="BL20" s="121" t="str">
        <f t="array" ref="BL20">INDEX(IF($AS$2:$BH$46="","",$AS$2:$BH$46),AQ20,$AR$1)</f>
        <v/>
      </c>
    </row>
    <row r="21" spans="1:97" ht="15" customHeight="1">
      <c r="A21" s="118" t="s">
        <v>101</v>
      </c>
      <c r="B21" s="179" t="s">
        <v>102</v>
      </c>
      <c r="C21" s="179"/>
      <c r="D21" s="179"/>
      <c r="E21" s="125"/>
      <c r="F21" s="180" t="s">
        <v>103</v>
      </c>
      <c r="G21" s="180"/>
      <c r="H21" s="180"/>
      <c r="I21" s="180"/>
      <c r="J21" s="180"/>
      <c r="K21" s="180"/>
      <c r="L21" s="180"/>
      <c r="M21" s="180"/>
      <c r="AG21" s="62">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22"/>
      <c r="AK21" s="118"/>
      <c r="AL21" s="118"/>
      <c r="AM21" s="118"/>
      <c r="AN21" s="118"/>
      <c r="AO21" s="118"/>
      <c r="AP21" s="118"/>
      <c r="AQ21" s="121">
        <v>20</v>
      </c>
      <c r="AR21" s="121" t="s">
        <v>104</v>
      </c>
      <c r="AS21" s="121"/>
      <c r="AT21" s="121"/>
      <c r="AU21" s="121"/>
      <c r="AV21" s="121"/>
      <c r="AW21" s="121"/>
      <c r="AX21" s="121"/>
      <c r="AY21" s="121"/>
      <c r="AZ21" s="121"/>
      <c r="BA21" s="121"/>
      <c r="BB21" s="121"/>
      <c r="BC21" s="121"/>
      <c r="BD21" s="121"/>
      <c r="BE21" s="121"/>
      <c r="BF21" s="121"/>
      <c r="BG21" s="121"/>
      <c r="BH21" s="121"/>
      <c r="BI21" s="121"/>
      <c r="BJ21" s="121">
        <v>21</v>
      </c>
      <c r="BK21" s="121" t="str">
        <f t="shared" si="1"/>
        <v>PCA_20</v>
      </c>
      <c r="BL21" s="121" t="str">
        <f t="array" ref="BL21">INDEX(IF($AS$2:$BH$46="","",$AS$2:$BH$46),AQ21,$AR$1)</f>
        <v/>
      </c>
    </row>
    <row r="22" spans="1:97" ht="17.25" customHeight="1">
      <c r="A22" s="118"/>
      <c r="B22" s="179" t="s">
        <v>105</v>
      </c>
      <c r="C22" s="179"/>
      <c r="D22" s="179"/>
      <c r="E22" s="125"/>
      <c r="F22" s="181" t="s">
        <v>74</v>
      </c>
      <c r="G22" s="182"/>
      <c r="H22" s="182"/>
      <c r="I22" s="182"/>
      <c r="J22" s="182"/>
      <c r="K22" s="182"/>
      <c r="L22" s="182"/>
      <c r="M22" s="182"/>
      <c r="AJ22" s="122"/>
      <c r="AK22" s="118"/>
      <c r="AL22" s="118"/>
      <c r="AM22" s="118"/>
      <c r="AN22" s="118"/>
      <c r="AO22" s="118"/>
      <c r="AP22" s="118"/>
      <c r="AQ22" s="121">
        <v>21</v>
      </c>
      <c r="AR22" s="121" t="s">
        <v>106</v>
      </c>
      <c r="AS22" s="121"/>
      <c r="AT22" s="121"/>
      <c r="AU22" s="121"/>
      <c r="AV22" s="121"/>
      <c r="AW22" s="121"/>
      <c r="AX22" s="121"/>
      <c r="AY22" s="121"/>
      <c r="AZ22" s="121"/>
      <c r="BA22" s="121"/>
      <c r="BB22" s="121"/>
      <c r="BC22" s="121"/>
      <c r="BD22" s="121"/>
      <c r="BE22" s="121"/>
      <c r="BF22" s="152"/>
      <c r="BG22" s="121"/>
      <c r="BH22" s="121"/>
      <c r="BI22" s="121"/>
      <c r="BJ22" s="121">
        <v>22</v>
      </c>
      <c r="BK22" s="121" t="str">
        <f t="shared" si="1"/>
        <v>PCA_21</v>
      </c>
      <c r="BL22" s="121" t="str">
        <f t="array" ref="BL22">INDEX(IF($AS$2:$BH$46="","",$AS$2:$BH$46),AQ22,$AR$1)</f>
        <v/>
      </c>
    </row>
    <row r="23" spans="1:97" ht="15" customHeight="1">
      <c r="A23" s="118"/>
      <c r="B23" s="179" t="s">
        <v>107</v>
      </c>
      <c r="C23" s="179"/>
      <c r="D23" s="179"/>
      <c r="E23" s="125"/>
      <c r="F23" s="183">
        <v>44145</v>
      </c>
      <c r="G23" s="183"/>
      <c r="H23" s="183"/>
      <c r="I23" s="183"/>
      <c r="J23" s="183"/>
      <c r="K23" s="183"/>
      <c r="L23" s="183"/>
      <c r="M23" s="183"/>
      <c r="AJ23" s="122"/>
      <c r="AK23" s="118"/>
      <c r="AL23" s="118"/>
      <c r="AM23" s="118"/>
      <c r="AN23" s="118"/>
      <c r="AO23" s="118"/>
      <c r="AP23" s="118"/>
      <c r="AQ23" s="121">
        <v>22</v>
      </c>
      <c r="AR23" s="121" t="s">
        <v>108</v>
      </c>
      <c r="AS23" s="121"/>
      <c r="AT23" s="121"/>
      <c r="AU23" s="121"/>
      <c r="AV23" s="121"/>
      <c r="AW23" s="121"/>
      <c r="AX23" s="121"/>
      <c r="AY23" s="121"/>
      <c r="AZ23" s="121"/>
      <c r="BA23" s="121"/>
      <c r="BB23" s="121"/>
      <c r="BC23" s="121"/>
      <c r="BD23" s="121"/>
      <c r="BE23" s="121"/>
      <c r="BF23" s="121"/>
      <c r="BG23" s="121"/>
      <c r="BH23" s="121"/>
      <c r="BI23" s="121"/>
      <c r="BJ23" s="121">
        <v>23</v>
      </c>
      <c r="BK23" s="121" t="str">
        <f t="shared" si="1"/>
        <v>PCA_22</v>
      </c>
      <c r="BL23" s="121" t="str">
        <f t="array" ref="BL23">INDEX(IF($AS$2:$BH$46="","",$AS$2:$BH$46),AQ23,$AR$1)</f>
        <v/>
      </c>
    </row>
    <row r="24" spans="1:97" ht="17.25" customHeight="1">
      <c r="A24" s="118"/>
      <c r="B24" s="179" t="s">
        <v>109</v>
      </c>
      <c r="C24" s="179"/>
      <c r="D24" s="179"/>
      <c r="E24" s="125"/>
      <c r="F24" s="180" t="s">
        <v>110</v>
      </c>
      <c r="G24" s="180"/>
      <c r="H24" s="180"/>
      <c r="I24" s="180"/>
      <c r="J24" s="180"/>
      <c r="K24" s="180"/>
      <c r="L24" s="180"/>
      <c r="M24" s="180"/>
      <c r="AJ24" s="122"/>
      <c r="AK24" s="143"/>
      <c r="AL24" s="143"/>
      <c r="AM24" s="144"/>
      <c r="AN24" s="118"/>
      <c r="AO24" s="118"/>
      <c r="AP24" s="118"/>
      <c r="AQ24" s="121">
        <v>23</v>
      </c>
      <c r="AR24" s="121" t="s">
        <v>111</v>
      </c>
      <c r="AS24" s="121"/>
      <c r="AT24" s="121"/>
      <c r="AU24" s="121"/>
      <c r="AV24" s="121"/>
      <c r="AW24" s="121"/>
      <c r="AX24" s="121"/>
      <c r="BB24" s="121"/>
      <c r="BC24" s="121"/>
      <c r="BD24" s="121"/>
      <c r="BE24" s="121"/>
      <c r="BF24" s="152"/>
      <c r="BG24" s="121"/>
      <c r="BH24" s="121"/>
      <c r="BJ24" s="121">
        <v>24</v>
      </c>
      <c r="BK24" s="121" t="str">
        <f t="shared" si="1"/>
        <v>PCA_23</v>
      </c>
      <c r="BL24" s="121" t="str">
        <f t="array" ref="BL24">INDEX(IF($AS$2:$BH$46="","",$AS$2:$BH$46),AQ24,$AR$1)</f>
        <v/>
      </c>
    </row>
    <row r="25" spans="1:97" s="118" customFormat="1" ht="23.25" customHeight="1">
      <c r="B25" s="126" t="s">
        <v>112</v>
      </c>
      <c r="C25" s="123"/>
      <c r="D25" s="123"/>
      <c r="E25" s="123"/>
      <c r="G25" s="123"/>
      <c r="H25" s="123"/>
      <c r="I25" s="123"/>
      <c r="J25" s="123"/>
      <c r="K25" s="123"/>
      <c r="L25" s="123"/>
      <c r="M25" s="132"/>
      <c r="N25" s="121"/>
      <c r="O25" s="121"/>
      <c r="P25" s="121"/>
      <c r="Q25" s="121"/>
      <c r="R25" s="121"/>
      <c r="S25" s="121"/>
      <c r="T25" s="121"/>
      <c r="U25" s="121"/>
      <c r="V25" s="121"/>
      <c r="W25" s="121"/>
      <c r="X25" s="121"/>
      <c r="Y25" s="121"/>
      <c r="Z25" s="121"/>
      <c r="AA25" s="121"/>
      <c r="AB25" s="121"/>
      <c r="AC25" s="121"/>
      <c r="AD25" s="121"/>
      <c r="AE25" s="121"/>
      <c r="AF25" s="121"/>
      <c r="AG25" s="121"/>
      <c r="AH25" s="121"/>
      <c r="AI25" s="121"/>
      <c r="AJ25" s="122"/>
      <c r="AK25" s="143"/>
      <c r="AL25" s="143"/>
      <c r="AM25" s="143"/>
      <c r="AQ25" s="121">
        <v>24</v>
      </c>
      <c r="AR25" s="121" t="s">
        <v>113</v>
      </c>
      <c r="AS25" s="121"/>
      <c r="AT25" s="121"/>
      <c r="AU25" s="121"/>
      <c r="AV25" s="121"/>
      <c r="AW25" s="121"/>
      <c r="AX25" s="121"/>
      <c r="AY25" s="121"/>
      <c r="AZ25" s="121"/>
      <c r="BA25" s="121"/>
      <c r="BB25" s="152"/>
      <c r="BC25" s="152"/>
      <c r="BD25" s="152"/>
      <c r="BE25" s="152"/>
      <c r="BF25" s="152"/>
      <c r="BG25" s="152"/>
      <c r="BH25" s="121"/>
      <c r="BI25" s="121"/>
      <c r="BJ25" s="121">
        <v>25</v>
      </c>
      <c r="BK25" s="121" t="str">
        <f t="shared" si="1"/>
        <v>PCA_24</v>
      </c>
      <c r="BL25" s="121" t="str">
        <f t="array" ref="BL25">INDEX(IF($AS$2:$BH$46="","",$AS$2:$BH$46),AQ25,$AR$1)</f>
        <v/>
      </c>
      <c r="BM25" s="121"/>
      <c r="BN25" s="121"/>
      <c r="BO25" s="121"/>
      <c r="BP25" s="121"/>
      <c r="BQ25" s="121"/>
      <c r="BR25" s="121"/>
      <c r="BS25" s="121"/>
      <c r="BT25" s="121"/>
      <c r="BU25" s="121"/>
      <c r="BV25" s="121"/>
      <c r="BW25" s="121"/>
      <c r="CB25" s="121"/>
      <c r="CC25" s="122"/>
      <c r="CD25" s="122"/>
      <c r="CE25" s="122"/>
      <c r="CF25" s="122"/>
      <c r="CG25" s="122"/>
    </row>
    <row r="26" spans="1:97" ht="20.25" customHeight="1">
      <c r="A26" s="118"/>
      <c r="B26" s="184" t="s">
        <v>114</v>
      </c>
      <c r="C26" s="184"/>
      <c r="D26" s="184"/>
      <c r="E26" s="184"/>
      <c r="F26" s="184"/>
      <c r="G26" s="118"/>
      <c r="H26" s="118"/>
      <c r="I26" s="118"/>
      <c r="J26" s="118"/>
      <c r="K26" s="118"/>
      <c r="L26" s="118"/>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2"/>
      <c r="AK26" s="143"/>
      <c r="AL26" s="143"/>
      <c r="AM26" s="143"/>
      <c r="AN26" s="118"/>
      <c r="AO26" s="118"/>
      <c r="AP26" s="118"/>
      <c r="AQ26" s="121">
        <v>25</v>
      </c>
      <c r="AR26" s="121" t="s">
        <v>115</v>
      </c>
      <c r="AS26" s="121"/>
      <c r="AT26" s="121"/>
      <c r="AU26" s="121"/>
      <c r="AV26" s="121"/>
      <c r="AW26" s="121"/>
      <c r="AX26" s="121"/>
      <c r="AY26" s="121"/>
      <c r="AZ26" s="152"/>
      <c r="BA26" s="152"/>
      <c r="BB26" s="121"/>
      <c r="BC26" s="121"/>
      <c r="BD26" s="121"/>
      <c r="BE26" s="121"/>
      <c r="BF26" s="121"/>
      <c r="BG26" s="121"/>
      <c r="BH26" s="121"/>
      <c r="BI26" s="121"/>
      <c r="BJ26" s="121">
        <v>26</v>
      </c>
      <c r="BK26" s="121" t="str">
        <f t="shared" si="1"/>
        <v>PCA_25</v>
      </c>
      <c r="BL26" s="121" t="str">
        <f t="array" ref="BL26">INDEX(IF($AS$2:$BH$46="","",$AS$2:$BH$46),AQ26,$AR$1)</f>
        <v/>
      </c>
    </row>
    <row r="27" spans="1:97" ht="12.75" customHeight="1">
      <c r="A27" s="118"/>
      <c r="B27" s="127"/>
      <c r="C27" s="127"/>
      <c r="D27" s="127"/>
      <c r="AL27" s="145"/>
      <c r="AM27" s="145"/>
      <c r="AQ27" s="121">
        <v>26</v>
      </c>
      <c r="AR27" s="121" t="s">
        <v>116</v>
      </c>
      <c r="AY27" s="121"/>
      <c r="AZ27" s="121"/>
      <c r="BA27" s="121"/>
      <c r="BB27" s="121"/>
      <c r="BC27" s="121"/>
      <c r="BD27" s="121"/>
      <c r="BE27" s="121"/>
      <c r="BF27" s="121"/>
      <c r="BG27" s="121"/>
      <c r="BH27" s="121"/>
      <c r="BI27" s="121"/>
      <c r="BJ27" s="121">
        <v>27</v>
      </c>
      <c r="BK27" s="121" t="str">
        <f t="shared" si="1"/>
        <v>PCA_26</v>
      </c>
      <c r="BL27" s="121" t="str">
        <f t="array" ref="BL27">INDEX(IF($AS$2:$BH$46="","",$AS$2:$BH$46),AQ27,$AR$1)</f>
        <v/>
      </c>
    </row>
    <row r="28" spans="1:97" s="118" customFormat="1" ht="4.5" customHeight="1">
      <c r="B28" s="14"/>
      <c r="C28" s="14"/>
      <c r="D28" s="14"/>
      <c r="E28" s="14"/>
      <c r="F28" s="14"/>
      <c r="G28" s="14"/>
      <c r="H28" s="14"/>
      <c r="I28" s="14"/>
      <c r="J28" s="14"/>
      <c r="K28" s="14"/>
      <c r="L28" s="14"/>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46"/>
      <c r="AL28" s="143"/>
      <c r="AM28" s="143"/>
      <c r="AQ28" s="121">
        <v>27</v>
      </c>
      <c r="AR28" s="121" t="s">
        <v>117</v>
      </c>
      <c r="AS28" s="121"/>
      <c r="AT28" s="121"/>
      <c r="AU28" s="121"/>
      <c r="AV28" s="121"/>
      <c r="AW28" s="121"/>
      <c r="AX28" s="121"/>
      <c r="AY28" s="121"/>
      <c r="AZ28" s="121"/>
      <c r="BA28" s="121"/>
      <c r="BB28" s="121"/>
      <c r="BC28" s="121"/>
      <c r="BD28" s="121"/>
      <c r="BE28" s="121"/>
      <c r="BF28" s="121"/>
      <c r="BG28" s="121"/>
      <c r="BH28" s="121"/>
      <c r="BI28" s="121"/>
      <c r="BJ28" s="121">
        <v>28</v>
      </c>
      <c r="BK28" s="121" t="str">
        <f t="shared" si="1"/>
        <v>PCA_27</v>
      </c>
      <c r="BL28" s="121" t="str">
        <f t="array" ref="BL28">INDEX(IF($AS$2:$BH$46="","",$AS$2:$BH$46),AQ28,$AR$1)</f>
        <v/>
      </c>
      <c r="BM28" s="121"/>
      <c r="BN28" s="121"/>
      <c r="BO28" s="121"/>
      <c r="BP28" s="121"/>
      <c r="BQ28" s="121"/>
      <c r="BR28" s="121"/>
      <c r="BS28" s="121"/>
      <c r="BT28" s="121"/>
      <c r="BU28" s="121"/>
      <c r="BV28" s="121"/>
      <c r="BW28" s="121"/>
      <c r="CB28" s="121"/>
      <c r="CC28" s="122"/>
      <c r="CD28" s="122"/>
      <c r="CE28" s="122"/>
      <c r="CF28" s="122"/>
      <c r="CG28" s="122"/>
    </row>
    <row r="29" spans="1:97" s="119" customFormat="1" ht="25.5" customHeight="1">
      <c r="A29" s="128"/>
      <c r="B29" s="173" t="s">
        <v>118</v>
      </c>
      <c r="C29" s="173"/>
      <c r="D29" s="173" t="s">
        <v>119</v>
      </c>
      <c r="E29" s="173"/>
      <c r="F29" s="173" t="s">
        <v>120</v>
      </c>
      <c r="G29" s="173"/>
      <c r="H29" s="174" t="s">
        <v>121</v>
      </c>
      <c r="I29" s="174"/>
      <c r="J29" s="129" t="s">
        <v>122</v>
      </c>
      <c r="K29" s="173" t="s">
        <v>123</v>
      </c>
      <c r="L29" s="173"/>
      <c r="M29" s="173"/>
      <c r="N29" s="173"/>
      <c r="O29" s="134"/>
      <c r="P29" s="134"/>
      <c r="Q29" s="134"/>
      <c r="R29" s="134"/>
      <c r="S29" s="134"/>
      <c r="T29" s="134"/>
      <c r="U29" s="134"/>
      <c r="V29" s="134"/>
      <c r="W29" s="134"/>
      <c r="X29" s="134"/>
      <c r="Y29" s="134"/>
      <c r="Z29" s="134"/>
      <c r="AA29" s="134"/>
      <c r="AB29" s="134"/>
      <c r="AC29" s="134"/>
      <c r="AD29" s="134"/>
      <c r="AE29" s="134"/>
      <c r="AF29" s="134"/>
      <c r="AG29" s="134"/>
      <c r="AH29" s="134"/>
      <c r="AI29" s="134"/>
      <c r="AJ29" s="147" t="s">
        <v>124</v>
      </c>
      <c r="AK29" s="128"/>
      <c r="AL29" s="128"/>
      <c r="AM29" s="128"/>
      <c r="AN29" s="128"/>
      <c r="AO29" s="128"/>
      <c r="AP29" s="128"/>
      <c r="AQ29" s="121">
        <v>28</v>
      </c>
      <c r="AR29" s="121" t="s">
        <v>125</v>
      </c>
      <c r="AS29" s="152"/>
      <c r="AT29" s="152"/>
      <c r="AU29" s="152"/>
      <c r="AV29" s="152"/>
      <c r="AW29" s="152"/>
      <c r="AX29" s="152"/>
      <c r="AY29" s="121"/>
      <c r="AZ29" s="121"/>
      <c r="BA29" s="121"/>
      <c r="BB29" s="121"/>
      <c r="BC29" s="121"/>
      <c r="BD29" s="121"/>
      <c r="BE29" s="121"/>
      <c r="BF29" s="121"/>
      <c r="BG29" s="121"/>
      <c r="BH29" s="121"/>
      <c r="BI29" s="121"/>
      <c r="BJ29" s="121">
        <v>29</v>
      </c>
      <c r="BK29" s="121" t="str">
        <f t="shared" si="1"/>
        <v>PCA_28</v>
      </c>
      <c r="BL29" s="121" t="str">
        <f t="array" ref="BL29">INDEX(IF($AS$2:$BH$46="","",$AS$2:$BH$46),AQ29,$AR$1)</f>
        <v/>
      </c>
      <c r="BM29" s="121"/>
      <c r="BN29" s="121"/>
      <c r="BO29" s="121"/>
      <c r="BP29" s="121"/>
      <c r="BQ29" s="121"/>
      <c r="BR29" s="121"/>
      <c r="BS29" s="121"/>
      <c r="BT29" s="121"/>
      <c r="BU29" s="121"/>
      <c r="BV29" s="121"/>
      <c r="BW29" s="121"/>
      <c r="BX29" s="118"/>
      <c r="BY29" s="118"/>
      <c r="BZ29" s="118"/>
      <c r="CA29" s="118"/>
      <c r="CB29" s="121"/>
      <c r="CC29" s="122"/>
      <c r="CD29" s="122"/>
      <c r="CE29" s="122"/>
      <c r="CF29" s="122"/>
      <c r="CG29" s="122"/>
      <c r="CH29" s="118"/>
      <c r="CI29" s="118"/>
      <c r="CJ29" s="118"/>
      <c r="CK29" s="118"/>
      <c r="CL29" s="118"/>
      <c r="CM29" s="118"/>
      <c r="CN29" s="118"/>
      <c r="CO29" s="118"/>
      <c r="CP29" s="118"/>
      <c r="CQ29" s="118"/>
      <c r="CR29" s="118"/>
      <c r="CS29" s="118"/>
    </row>
    <row r="30" spans="1:97" ht="15" customHeight="1">
      <c r="A30" s="118"/>
      <c r="B30" s="175" t="s">
        <v>40</v>
      </c>
      <c r="C30" s="176"/>
      <c r="D30" s="177" t="s">
        <v>126</v>
      </c>
      <c r="E30" s="177"/>
      <c r="F30" s="177" t="s">
        <v>127</v>
      </c>
      <c r="G30" s="177"/>
      <c r="H30" s="178" t="str">
        <f t="shared" ref="H30:H40" si="2">IF(J30="","",J30)</f>
        <v>SM</v>
      </c>
      <c r="I30" s="178"/>
      <c r="J30" s="130" t="s">
        <v>128</v>
      </c>
      <c r="K30" s="177" t="s">
        <v>129</v>
      </c>
      <c r="L30" s="177"/>
      <c r="M30" s="177"/>
      <c r="N30" s="177"/>
      <c r="O30" s="177"/>
      <c r="P30" s="135" t="str">
        <f>H30&amp;"_Inspection Log.xlsm"</f>
        <v>SM_Inspection Log.xlsm</v>
      </c>
      <c r="Q30" s="137" t="str">
        <f>$F$22&amp;H30&amp;"_Inspection Log.xlsm"</f>
        <v>C:\Users\sabi_\OneDrive\Desktop\New folder\Coding logs\SM_Inspection Log.xlsm</v>
      </c>
      <c r="R30" s="138">
        <f t="array" ref="R30">SUM(IF($J$30:$J$194=IF(J30="","Blank",J30),1,0))</f>
        <v>1</v>
      </c>
      <c r="S30" s="138">
        <f t="shared" ref="S30:S93" si="3">(R30&gt;0)*1</f>
        <v>1</v>
      </c>
      <c r="T30" s="138" t="str">
        <f t="shared" ref="T30:T93" si="4">TRIM(D30&amp;" "&amp;F30)</f>
        <v>Shreya Maity</v>
      </c>
      <c r="U30" s="139">
        <f t="shared" ref="U30:U93" si="5">SUM(IF($X$30:$X$194=IF(X30="_Inspection Log","",X30),1,0))</f>
        <v>1</v>
      </c>
      <c r="V30" s="139">
        <f t="shared" ref="V30:V93" si="6">(U30&gt;0)*1</f>
        <v>1</v>
      </c>
      <c r="W30" s="139">
        <f>IF(SUM(U30:U194)=SUM(V30:V194),0,1)</f>
        <v>0</v>
      </c>
      <c r="X30" s="138" t="str">
        <f t="shared" ref="X30:X93" si="7">H30&amp;"_Inspection Log"</f>
        <v>SM_Inspection Log</v>
      </c>
      <c r="Y30" s="139" t="str">
        <f t="shared" ref="Y30:Y93" si="8">IF(B30=$Q$6,"MOD",0)</f>
        <v>MOD</v>
      </c>
      <c r="Z30" s="139" t="str">
        <f t="shared" ref="Z30:Z93" si="9">T30</f>
        <v>Shreya Maity</v>
      </c>
      <c r="AA30" s="139">
        <f t="shared" ref="AA30:AA93" si="10">IF(B30=$Q$7,"Ins",0)</f>
        <v>0</v>
      </c>
      <c r="AB30" s="139"/>
      <c r="AC30" s="139"/>
      <c r="AD30" s="139"/>
      <c r="AE30" s="139"/>
      <c r="AF30" s="139"/>
      <c r="AG30" s="139"/>
      <c r="AH30" s="139"/>
      <c r="AI30" s="139"/>
      <c r="AJ30" s="148" t="s">
        <v>130</v>
      </c>
      <c r="AK30" s="118"/>
      <c r="AL30" s="118"/>
      <c r="AM30" s="118"/>
      <c r="AN30" s="118"/>
      <c r="AO30" s="118"/>
      <c r="AP30" s="118"/>
      <c r="AQ30" s="121">
        <v>29</v>
      </c>
      <c r="AR30" s="121" t="s">
        <v>131</v>
      </c>
      <c r="AS30" s="121"/>
      <c r="AT30" s="121"/>
      <c r="AU30" s="121"/>
      <c r="AV30" s="121"/>
      <c r="AW30" s="121"/>
      <c r="AX30" s="121"/>
      <c r="AY30" s="121"/>
      <c r="AZ30" s="121"/>
      <c r="BA30" s="121"/>
      <c r="BB30" s="121"/>
      <c r="BC30" s="121"/>
      <c r="BD30" s="121"/>
      <c r="BE30" s="121"/>
      <c r="BF30" s="121"/>
      <c r="BG30" s="121"/>
      <c r="BH30" s="121"/>
      <c r="BI30" s="121"/>
      <c r="BJ30" s="121">
        <v>30</v>
      </c>
      <c r="BK30" s="121" t="str">
        <f t="shared" si="1"/>
        <v>PCA_29</v>
      </c>
      <c r="BL30" s="121" t="str">
        <f t="array" ref="BL30">INDEX(IF($AS$2:$BH$46="","",$AS$2:$BH$46),AQ30,$AR$1)</f>
        <v/>
      </c>
    </row>
    <row r="31" spans="1:97" ht="15" customHeight="1">
      <c r="A31" s="118"/>
      <c r="B31" s="165" t="s">
        <v>44</v>
      </c>
      <c r="C31" s="166"/>
      <c r="D31" s="167" t="s">
        <v>132</v>
      </c>
      <c r="E31" s="167"/>
      <c r="F31" s="167" t="s">
        <v>133</v>
      </c>
      <c r="G31" s="167"/>
      <c r="H31" s="168" t="str">
        <f t="shared" si="2"/>
        <v>HP</v>
      </c>
      <c r="I31" s="168"/>
      <c r="J31" s="131" t="s">
        <v>134</v>
      </c>
      <c r="K31" s="167" t="s">
        <v>129</v>
      </c>
      <c r="L31" s="167"/>
      <c r="M31" s="167"/>
      <c r="N31" s="167"/>
      <c r="O31" s="167"/>
      <c r="P31" s="136" t="str">
        <f t="shared" ref="P31:P94" si="11">H31&amp;"_Inspection Log.xlsm"</f>
        <v>HP_Inspection Log.xlsm</v>
      </c>
      <c r="Q31" s="140" t="str">
        <f t="shared" ref="Q31:Q94" si="12">$F$22&amp;H31&amp;"_Inspection Log.xlsm"</f>
        <v>C:\Users\sabi_\OneDrive\Desktop\New folder\Coding logs\HP_Inspection Log.xlsm</v>
      </c>
      <c r="R31" s="141">
        <f t="array" ref="R31">SUM(IF($J$30:$J$194=IF(J31="","Blank",J31),1,0))</f>
        <v>1</v>
      </c>
      <c r="S31" s="141">
        <f t="shared" si="3"/>
        <v>1</v>
      </c>
      <c r="T31" s="141" t="str">
        <f t="shared" si="4"/>
        <v>Haritha P S</v>
      </c>
      <c r="U31" s="142">
        <f t="shared" si="5"/>
        <v>1</v>
      </c>
      <c r="V31" s="142">
        <f t="shared" si="6"/>
        <v>1</v>
      </c>
      <c r="W31" s="142">
        <f>IF(SUM(R30:R194)=SUM(S30:S194),0,1)</f>
        <v>0</v>
      </c>
      <c r="X31" s="141" t="str">
        <f t="shared" si="7"/>
        <v>HP_Inspection Log</v>
      </c>
      <c r="Y31" s="142">
        <f t="shared" si="8"/>
        <v>0</v>
      </c>
      <c r="Z31" s="142" t="str">
        <f t="shared" si="9"/>
        <v>Haritha P S</v>
      </c>
      <c r="AA31" s="142" t="str">
        <f t="shared" si="10"/>
        <v>Ins</v>
      </c>
      <c r="AB31" s="142"/>
      <c r="AC31" s="142"/>
      <c r="AD31" s="142"/>
      <c r="AE31" s="142"/>
      <c r="AF31" s="142"/>
      <c r="AG31" s="142"/>
      <c r="AH31" s="142"/>
      <c r="AI31" s="142"/>
      <c r="AJ31" s="149" t="s">
        <v>130</v>
      </c>
      <c r="AK31" s="118"/>
      <c r="AL31" s="118"/>
      <c r="AM31" s="118"/>
      <c r="AN31" s="118"/>
      <c r="AO31" s="118"/>
      <c r="AP31" s="118"/>
      <c r="AQ31" s="121">
        <v>30</v>
      </c>
      <c r="AR31" s="121" t="s">
        <v>135</v>
      </c>
      <c r="AS31" s="121"/>
      <c r="AT31" s="121"/>
      <c r="AU31" s="121"/>
      <c r="AV31" s="121"/>
      <c r="AW31" s="121"/>
      <c r="AX31" s="121"/>
      <c r="AY31" s="121"/>
      <c r="AZ31" s="121"/>
      <c r="BA31" s="121"/>
      <c r="BB31" s="121"/>
      <c r="BC31" s="121"/>
      <c r="BD31" s="121"/>
      <c r="BE31" s="121"/>
      <c r="BF31" s="121"/>
      <c r="BG31" s="121"/>
      <c r="BH31" s="121"/>
      <c r="BI31" s="121"/>
      <c r="BJ31" s="121">
        <v>31</v>
      </c>
      <c r="BK31" s="121" t="str">
        <f t="shared" si="1"/>
        <v>PCA_30</v>
      </c>
      <c r="BL31" s="121" t="str">
        <f t="array" ref="BL31">INDEX(IF($AS$2:$BH$46="","",$AS$2:$BH$46),AQ31,$AR$1)</f>
        <v/>
      </c>
    </row>
    <row r="32" spans="1:97" ht="15" customHeight="1">
      <c r="A32" s="118"/>
      <c r="B32" s="165" t="s">
        <v>44</v>
      </c>
      <c r="C32" s="166"/>
      <c r="D32" s="167" t="s">
        <v>136</v>
      </c>
      <c r="E32" s="167"/>
      <c r="F32" s="167" t="s">
        <v>137</v>
      </c>
      <c r="G32" s="167"/>
      <c r="H32" s="168" t="str">
        <f t="shared" si="2"/>
        <v>AA</v>
      </c>
      <c r="I32" s="168"/>
      <c r="J32" s="131" t="s">
        <v>138</v>
      </c>
      <c r="K32" s="167" t="s">
        <v>129</v>
      </c>
      <c r="L32" s="167"/>
      <c r="M32" s="167"/>
      <c r="N32" s="167"/>
      <c r="O32" s="167"/>
      <c r="P32" s="136" t="str">
        <f t="shared" si="11"/>
        <v>AA_Inspection Log.xlsm</v>
      </c>
      <c r="Q32" s="140" t="str">
        <f t="shared" si="12"/>
        <v>C:\Users\sabi_\OneDrive\Desktop\New folder\Coding logs\AA_Inspection Log.xlsm</v>
      </c>
      <c r="R32" s="141">
        <f t="array" ref="R32">SUM(IF($J$30:$J$194=IF(J32="","Blank",J32),1,0))</f>
        <v>1</v>
      </c>
      <c r="S32" s="141">
        <f t="shared" si="3"/>
        <v>1</v>
      </c>
      <c r="T32" s="141" t="str">
        <f t="shared" si="4"/>
        <v>Ayushi Agrawal</v>
      </c>
      <c r="U32" s="142">
        <f t="shared" si="5"/>
        <v>1</v>
      </c>
      <c r="V32" s="142">
        <f t="shared" si="6"/>
        <v>1</v>
      </c>
      <c r="W32" s="142">
        <f t="array" ref="W32">SUM(IF(LEN(J30:J194)&lt;=3,0,1))</f>
        <v>0</v>
      </c>
      <c r="X32" s="141" t="str">
        <f t="shared" si="7"/>
        <v>AA_Inspection Log</v>
      </c>
      <c r="Y32" s="142">
        <f t="shared" si="8"/>
        <v>0</v>
      </c>
      <c r="Z32" s="142" t="str">
        <f t="shared" si="9"/>
        <v>Ayushi Agrawal</v>
      </c>
      <c r="AA32" s="142" t="str">
        <f t="shared" si="10"/>
        <v>Ins</v>
      </c>
      <c r="AB32" s="142"/>
      <c r="AC32" s="142"/>
      <c r="AD32" s="142"/>
      <c r="AE32" s="142"/>
      <c r="AF32" s="142"/>
      <c r="AG32" s="142"/>
      <c r="AH32" s="142"/>
      <c r="AI32" s="142"/>
      <c r="AJ32" s="150" t="s">
        <v>130</v>
      </c>
      <c r="AK32" s="118"/>
      <c r="AL32" s="118"/>
      <c r="AM32" s="118"/>
      <c r="AN32" s="118"/>
      <c r="AO32" s="118"/>
      <c r="AP32" s="118"/>
      <c r="AQ32" s="121">
        <v>31</v>
      </c>
      <c r="AR32" s="121" t="s">
        <v>139</v>
      </c>
      <c r="AS32" s="121"/>
      <c r="AT32" s="121"/>
      <c r="AU32" s="121"/>
      <c r="AV32" s="121"/>
      <c r="AW32" s="121"/>
      <c r="AX32" s="121"/>
      <c r="AY32" s="121"/>
      <c r="AZ32" s="121"/>
      <c r="BA32" s="121"/>
      <c r="BB32" s="121"/>
      <c r="BC32" s="121"/>
      <c r="BD32" s="121"/>
      <c r="BE32" s="121"/>
      <c r="BF32" s="121"/>
      <c r="BG32" s="121"/>
      <c r="BH32" s="121"/>
      <c r="BI32" s="121"/>
      <c r="BJ32" s="121">
        <v>32</v>
      </c>
      <c r="BK32" s="121" t="str">
        <f t="shared" si="1"/>
        <v>PCA_31</v>
      </c>
      <c r="BL32" s="121" t="str">
        <f t="array" ref="BL32">INDEX(IF($AS$2:$BH$46="","",$AS$2:$BH$46),AQ32,$AR$1)</f>
        <v/>
      </c>
    </row>
    <row r="33" spans="1:64" ht="15" customHeight="1">
      <c r="A33" s="118"/>
      <c r="B33" s="165" t="s">
        <v>44</v>
      </c>
      <c r="C33" s="166"/>
      <c r="D33" s="167" t="s">
        <v>140</v>
      </c>
      <c r="E33" s="167"/>
      <c r="F33" s="167" t="s">
        <v>141</v>
      </c>
      <c r="G33" s="167"/>
      <c r="H33" s="168" t="str">
        <f t="shared" si="2"/>
        <v>TS</v>
      </c>
      <c r="I33" s="168"/>
      <c r="J33" s="131" t="s">
        <v>64</v>
      </c>
      <c r="K33" s="167" t="s">
        <v>129</v>
      </c>
      <c r="L33" s="167"/>
      <c r="M33" s="167"/>
      <c r="N33" s="167"/>
      <c r="O33" s="167"/>
      <c r="P33" s="136" t="str">
        <f t="shared" si="11"/>
        <v>TS_Inspection Log.xlsm</v>
      </c>
      <c r="Q33" s="140" t="str">
        <f t="shared" si="12"/>
        <v>C:\Users\sabi_\OneDrive\Desktop\New folder\Coding logs\TS_Inspection Log.xlsm</v>
      </c>
      <c r="R33" s="141">
        <f t="array" ref="R33">SUM(IF($J$30:$J$194=IF(J33="","Blank",J33),1,0))</f>
        <v>1</v>
      </c>
      <c r="S33" s="141">
        <f t="shared" si="3"/>
        <v>1</v>
      </c>
      <c r="T33" s="141" t="str">
        <f t="shared" si="4"/>
        <v>Tanya Singh</v>
      </c>
      <c r="U33" s="142">
        <f t="shared" si="5"/>
        <v>1</v>
      </c>
      <c r="V33" s="142">
        <f t="shared" si="6"/>
        <v>1</v>
      </c>
      <c r="W33" s="142">
        <f t="array" ref="W33">SUM(IF(LEN(J31:J195)&lt;=3,0,1))</f>
        <v>0</v>
      </c>
      <c r="X33" s="141" t="str">
        <f t="shared" si="7"/>
        <v>TS_Inspection Log</v>
      </c>
      <c r="Y33" s="142">
        <f t="shared" si="8"/>
        <v>0</v>
      </c>
      <c r="Z33" s="142" t="str">
        <f t="shared" si="9"/>
        <v>Tanya Singh</v>
      </c>
      <c r="AA33" s="142" t="str">
        <f t="shared" si="10"/>
        <v>Ins</v>
      </c>
      <c r="AB33" s="142"/>
      <c r="AC33" s="142"/>
      <c r="AD33" s="142"/>
      <c r="AE33" s="142"/>
      <c r="AF33" s="142"/>
      <c r="AG33" s="142"/>
      <c r="AH33" s="142"/>
      <c r="AI33" s="142"/>
      <c r="AJ33" s="150" t="s">
        <v>130</v>
      </c>
      <c r="AK33" s="118"/>
      <c r="AL33" s="118"/>
      <c r="AM33" s="118"/>
      <c r="AN33" s="118"/>
      <c r="AO33" s="118"/>
      <c r="AP33" s="118"/>
      <c r="AQ33" s="121">
        <v>32</v>
      </c>
      <c r="AR33" s="121" t="s">
        <v>142</v>
      </c>
      <c r="AS33" s="121"/>
      <c r="AT33" s="121"/>
      <c r="AU33" s="121"/>
      <c r="AV33" s="121"/>
      <c r="AW33" s="121"/>
      <c r="AX33" s="121"/>
      <c r="AY33" s="121"/>
      <c r="AZ33" s="121"/>
      <c r="BA33" s="121"/>
      <c r="BB33" s="121"/>
      <c r="BC33" s="121"/>
      <c r="BD33" s="121"/>
      <c r="BE33" s="121"/>
      <c r="BF33" s="121"/>
      <c r="BG33" s="121"/>
      <c r="BH33" s="121"/>
      <c r="BI33" s="121"/>
      <c r="BJ33" s="121">
        <v>33</v>
      </c>
      <c r="BK33" s="121" t="str">
        <f t="shared" si="1"/>
        <v>PCA_32</v>
      </c>
      <c r="BL33" s="121" t="str">
        <f t="array" ref="BL33">INDEX(IF($AS$2:$BH$46="","",$AS$2:$BH$46),AQ33,$AR$1)</f>
        <v/>
      </c>
    </row>
    <row r="34" spans="1:64" ht="15" customHeight="1">
      <c r="A34" s="118"/>
      <c r="B34" s="165" t="s">
        <v>44</v>
      </c>
      <c r="C34" s="166"/>
      <c r="D34" s="167" t="s">
        <v>143</v>
      </c>
      <c r="E34" s="167"/>
      <c r="F34" s="167" t="s">
        <v>144</v>
      </c>
      <c r="G34" s="167"/>
      <c r="H34" s="168" t="str">
        <f t="shared" si="2"/>
        <v>SH</v>
      </c>
      <c r="I34" s="168"/>
      <c r="J34" s="131" t="s">
        <v>145</v>
      </c>
      <c r="K34" s="167" t="s">
        <v>129</v>
      </c>
      <c r="L34" s="167"/>
      <c r="M34" s="167"/>
      <c r="N34" s="167"/>
      <c r="O34" s="167"/>
      <c r="P34" s="136" t="str">
        <f t="shared" si="11"/>
        <v>SH_Inspection Log.xlsm</v>
      </c>
      <c r="Q34" s="140" t="str">
        <f t="shared" si="12"/>
        <v>C:\Users\sabi_\OneDrive\Desktop\New folder\Coding logs\SH_Inspection Log.xlsm</v>
      </c>
      <c r="R34" s="141">
        <f t="array" ref="R34">SUM(IF($J$30:$J$194=IF(J34="","Blank",J34),1,0))</f>
        <v>1</v>
      </c>
      <c r="S34" s="141">
        <f t="shared" si="3"/>
        <v>1</v>
      </c>
      <c r="T34" s="141" t="str">
        <f t="shared" si="4"/>
        <v>Sabi Hussain</v>
      </c>
      <c r="U34" s="142">
        <f t="shared" si="5"/>
        <v>1</v>
      </c>
      <c r="V34" s="142">
        <f t="shared" si="6"/>
        <v>1</v>
      </c>
      <c r="W34" s="142">
        <f t="array" ref="W34">SUM(IF(LEN(J32:J196)&lt;=3,0,1))</f>
        <v>0</v>
      </c>
      <c r="X34" s="141" t="str">
        <f t="shared" si="7"/>
        <v>SH_Inspection Log</v>
      </c>
      <c r="Y34" s="142">
        <f t="shared" si="8"/>
        <v>0</v>
      </c>
      <c r="Z34" s="142" t="str">
        <f t="shared" si="9"/>
        <v>Sabi Hussain</v>
      </c>
      <c r="AA34" s="142" t="str">
        <f t="shared" si="10"/>
        <v>Ins</v>
      </c>
      <c r="AB34" s="142"/>
      <c r="AC34" s="142"/>
      <c r="AD34" s="142"/>
      <c r="AE34" s="142"/>
      <c r="AF34" s="142"/>
      <c r="AG34" s="142"/>
      <c r="AH34" s="142"/>
      <c r="AI34" s="142"/>
      <c r="AJ34" s="150" t="s">
        <v>130</v>
      </c>
      <c r="AK34" s="118"/>
      <c r="AL34" s="118"/>
      <c r="AM34" s="118"/>
      <c r="AN34" s="118"/>
      <c r="AO34" s="118"/>
      <c r="AP34" s="118"/>
      <c r="AQ34" s="121">
        <v>33</v>
      </c>
      <c r="AR34" s="121" t="s">
        <v>146</v>
      </c>
      <c r="AS34" s="121"/>
      <c r="AT34" s="121"/>
      <c r="AU34" s="121"/>
      <c r="AV34" s="121"/>
      <c r="AW34" s="121"/>
      <c r="AX34" s="121"/>
      <c r="AY34" s="121"/>
      <c r="AZ34" s="121"/>
      <c r="BA34" s="121"/>
      <c r="BB34" s="121"/>
      <c r="BC34" s="121"/>
      <c r="BD34" s="121"/>
      <c r="BE34" s="121"/>
      <c r="BF34" s="121"/>
      <c r="BG34" s="121"/>
      <c r="BH34" s="121"/>
      <c r="BI34" s="121"/>
      <c r="BJ34" s="121">
        <v>34</v>
      </c>
      <c r="BK34" s="121" t="str">
        <f t="shared" si="1"/>
        <v>PCA_33</v>
      </c>
      <c r="BL34" s="121" t="str">
        <f t="array" ref="BL34">INDEX(IF($AS$2:$BH$46="","",$AS$2:$BH$46),AQ34,$AR$1)</f>
        <v/>
      </c>
    </row>
    <row r="35" spans="1:64" ht="15" customHeight="1">
      <c r="A35" s="118"/>
      <c r="B35" s="165"/>
      <c r="C35" s="166"/>
      <c r="D35" s="167"/>
      <c r="E35" s="167"/>
      <c r="F35" s="167"/>
      <c r="G35" s="167"/>
      <c r="H35" s="168" t="str">
        <f t="shared" si="2"/>
        <v/>
      </c>
      <c r="I35" s="168"/>
      <c r="J35" s="131"/>
      <c r="K35" s="167"/>
      <c r="L35" s="167"/>
      <c r="M35" s="167"/>
      <c r="N35" s="167"/>
      <c r="O35" s="167"/>
      <c r="P35" s="136" t="str">
        <f t="shared" si="11"/>
        <v>_Inspection Log.xlsm</v>
      </c>
      <c r="Q35" s="140" t="str">
        <f t="shared" si="12"/>
        <v>C:\Users\sabi_\OneDrive\Desktop\New folder\Coding logs\_Inspection Log.xlsm</v>
      </c>
      <c r="R35" s="141">
        <f t="array" ref="R35">SUM(IF($J$30:$J$194=IF(J35="","Blank",J35),1,0))</f>
        <v>0</v>
      </c>
      <c r="S35" s="141">
        <f t="shared" si="3"/>
        <v>0</v>
      </c>
      <c r="T35" s="141" t="str">
        <f t="shared" si="4"/>
        <v/>
      </c>
      <c r="U35" s="142">
        <f t="shared" si="5"/>
        <v>0</v>
      </c>
      <c r="V35" s="142">
        <f t="shared" si="6"/>
        <v>0</v>
      </c>
      <c r="W35" s="142">
        <f t="array" ref="W35">SUM(IF(LEN(J33:J197)&lt;=3,0,1))</f>
        <v>0</v>
      </c>
      <c r="X35" s="141" t="str">
        <f t="shared" si="7"/>
        <v>_Inspection Log</v>
      </c>
      <c r="Y35" s="142">
        <f t="shared" si="8"/>
        <v>0</v>
      </c>
      <c r="Z35" s="142" t="str">
        <f t="shared" si="9"/>
        <v/>
      </c>
      <c r="AA35" s="142">
        <f t="shared" si="10"/>
        <v>0</v>
      </c>
      <c r="AB35" s="142"/>
      <c r="AC35" s="142"/>
      <c r="AD35" s="142"/>
      <c r="AE35" s="142"/>
      <c r="AF35" s="142"/>
      <c r="AG35" s="142"/>
      <c r="AH35" s="142"/>
      <c r="AI35" s="142"/>
      <c r="AJ35" s="150"/>
      <c r="AK35" s="118"/>
      <c r="AL35" s="118"/>
      <c r="AM35" s="118"/>
      <c r="AN35" s="118"/>
      <c r="AO35" s="118"/>
      <c r="AP35" s="118"/>
      <c r="AQ35" s="121">
        <v>34</v>
      </c>
      <c r="AR35" s="121" t="s">
        <v>147</v>
      </c>
      <c r="AS35" s="121"/>
      <c r="AT35" s="121"/>
      <c r="AU35" s="121"/>
      <c r="AV35" s="121"/>
      <c r="AW35" s="121"/>
      <c r="AX35" s="121"/>
      <c r="AY35" s="121"/>
      <c r="AZ35" s="121"/>
      <c r="BA35" s="121"/>
      <c r="BB35" s="121"/>
      <c r="BC35" s="121"/>
      <c r="BD35" s="121"/>
      <c r="BE35" s="121"/>
      <c r="BF35" s="121"/>
      <c r="BG35" s="121"/>
      <c r="BH35" s="121"/>
      <c r="BI35" s="121"/>
      <c r="BJ35" s="121">
        <v>35</v>
      </c>
      <c r="BK35" s="121" t="str">
        <f t="shared" si="1"/>
        <v>PCA_34</v>
      </c>
      <c r="BL35" s="121" t="str">
        <f t="array" ref="BL35">INDEX(IF($AS$2:$BH$46="","",$AS$2:$BH$46),AQ35,$AR$1)</f>
        <v/>
      </c>
    </row>
    <row r="36" spans="1:64" ht="15" customHeight="1">
      <c r="A36" s="118"/>
      <c r="B36" s="165"/>
      <c r="C36" s="166"/>
      <c r="D36" s="167"/>
      <c r="E36" s="167"/>
      <c r="F36" s="167"/>
      <c r="G36" s="167"/>
      <c r="H36" s="168" t="str">
        <f t="shared" si="2"/>
        <v/>
      </c>
      <c r="I36" s="168"/>
      <c r="J36" s="131"/>
      <c r="K36" s="167"/>
      <c r="L36" s="167"/>
      <c r="M36" s="167"/>
      <c r="N36" s="167"/>
      <c r="O36" s="167"/>
      <c r="P36" s="136" t="str">
        <f t="shared" si="11"/>
        <v>_Inspection Log.xlsm</v>
      </c>
      <c r="Q36" s="140" t="str">
        <f t="shared" si="12"/>
        <v>C:\Users\sabi_\OneDrive\Desktop\New folder\Coding logs\_Inspection Log.xlsm</v>
      </c>
      <c r="R36" s="141">
        <f t="array" ref="R36">SUM(IF($J$30:$J$194=IF(J36="","Blank",J36),1,0))</f>
        <v>0</v>
      </c>
      <c r="S36" s="141">
        <f t="shared" si="3"/>
        <v>0</v>
      </c>
      <c r="T36" s="141" t="str">
        <f t="shared" si="4"/>
        <v/>
      </c>
      <c r="U36" s="142">
        <f t="shared" si="5"/>
        <v>0</v>
      </c>
      <c r="V36" s="142">
        <f t="shared" si="6"/>
        <v>0</v>
      </c>
      <c r="W36" s="142">
        <f t="array" ref="W36">SUM(IF(LEN(J34:J198)&lt;=3,0,1))</f>
        <v>0</v>
      </c>
      <c r="X36" s="141" t="str">
        <f t="shared" si="7"/>
        <v>_Inspection Log</v>
      </c>
      <c r="Y36" s="142">
        <f t="shared" si="8"/>
        <v>0</v>
      </c>
      <c r="Z36" s="142" t="str">
        <f t="shared" si="9"/>
        <v/>
      </c>
      <c r="AA36" s="142">
        <f t="shared" si="10"/>
        <v>0</v>
      </c>
      <c r="AB36" s="142"/>
      <c r="AC36" s="142"/>
      <c r="AD36" s="142"/>
      <c r="AE36" s="142"/>
      <c r="AF36" s="142"/>
      <c r="AG36" s="142"/>
      <c r="AH36" s="142"/>
      <c r="AI36" s="142"/>
      <c r="AJ36" s="150"/>
      <c r="AK36" s="118"/>
      <c r="AL36" s="118"/>
      <c r="AM36" s="118"/>
      <c r="AN36" s="118"/>
      <c r="AO36" s="118"/>
      <c r="AP36" s="118"/>
      <c r="AQ36" s="121">
        <v>35</v>
      </c>
      <c r="AR36" s="121" t="s">
        <v>148</v>
      </c>
      <c r="AS36" s="121"/>
      <c r="AT36" s="121"/>
      <c r="AU36" s="121"/>
      <c r="AV36" s="121"/>
      <c r="AW36" s="121"/>
      <c r="AX36" s="121"/>
      <c r="AY36" s="121"/>
      <c r="AZ36" s="121"/>
      <c r="BA36" s="121"/>
      <c r="BB36" s="121"/>
      <c r="BC36" s="121"/>
      <c r="BD36" s="121"/>
      <c r="BE36" s="121"/>
      <c r="BF36" s="121"/>
      <c r="BG36" s="121"/>
      <c r="BH36" s="121"/>
      <c r="BI36" s="121"/>
      <c r="BJ36" s="121">
        <v>36</v>
      </c>
      <c r="BK36" s="121" t="str">
        <f t="shared" si="1"/>
        <v>PCA_35</v>
      </c>
      <c r="BL36" s="121" t="str">
        <f t="array" ref="BL36">INDEX(IF($AS$2:$BH$46="","",$AS$2:$BH$46),AQ36,$AR$1)</f>
        <v/>
      </c>
    </row>
    <row r="37" spans="1:64" ht="15" customHeight="1">
      <c r="A37" s="118"/>
      <c r="B37" s="165"/>
      <c r="C37" s="166"/>
      <c r="D37" s="167"/>
      <c r="E37" s="167"/>
      <c r="F37" s="167"/>
      <c r="G37" s="167"/>
      <c r="H37" s="168" t="str">
        <f t="shared" si="2"/>
        <v/>
      </c>
      <c r="I37" s="168"/>
      <c r="J37" s="131"/>
      <c r="K37" s="167"/>
      <c r="L37" s="167"/>
      <c r="M37" s="167"/>
      <c r="N37" s="167"/>
      <c r="O37" s="167"/>
      <c r="P37" s="136" t="str">
        <f t="shared" si="11"/>
        <v>_Inspection Log.xlsm</v>
      </c>
      <c r="Q37" s="140" t="str">
        <f t="shared" si="12"/>
        <v>C:\Users\sabi_\OneDrive\Desktop\New folder\Coding logs\_Inspection Log.xlsm</v>
      </c>
      <c r="R37" s="141">
        <f t="array" ref="R37">SUM(IF($J$30:$J$194=IF(J37="","Blank",J37),1,0))</f>
        <v>0</v>
      </c>
      <c r="S37" s="141">
        <f t="shared" si="3"/>
        <v>0</v>
      </c>
      <c r="T37" s="141" t="str">
        <f t="shared" si="4"/>
        <v/>
      </c>
      <c r="U37" s="142">
        <f t="shared" si="5"/>
        <v>0</v>
      </c>
      <c r="V37" s="142">
        <f t="shared" si="6"/>
        <v>0</v>
      </c>
      <c r="W37" s="142">
        <f t="array" ref="W37">SUM(IF(LEN(J35:J199)&lt;=3,0,1))</f>
        <v>0</v>
      </c>
      <c r="X37" s="141" t="str">
        <f t="shared" si="7"/>
        <v>_Inspection Log</v>
      </c>
      <c r="Y37" s="142">
        <f t="shared" si="8"/>
        <v>0</v>
      </c>
      <c r="Z37" s="142" t="str">
        <f t="shared" si="9"/>
        <v/>
      </c>
      <c r="AA37" s="142">
        <f t="shared" si="10"/>
        <v>0</v>
      </c>
      <c r="AB37" s="142"/>
      <c r="AC37" s="142"/>
      <c r="AD37" s="142"/>
      <c r="AE37" s="142"/>
      <c r="AF37" s="142"/>
      <c r="AG37" s="142"/>
      <c r="AH37" s="142"/>
      <c r="AI37" s="142"/>
      <c r="AJ37" s="150"/>
      <c r="AK37" s="118"/>
      <c r="AL37" s="118"/>
      <c r="AM37" s="118"/>
      <c r="AN37" s="118"/>
      <c r="AO37" s="118"/>
      <c r="AP37" s="118"/>
      <c r="AQ37" s="121">
        <v>36</v>
      </c>
      <c r="AR37" s="121" t="s">
        <v>149</v>
      </c>
      <c r="AS37" s="121"/>
      <c r="AT37" s="121"/>
      <c r="AU37" s="121"/>
      <c r="AV37" s="121"/>
      <c r="AW37" s="121"/>
      <c r="AX37" s="121"/>
      <c r="AY37" s="121"/>
      <c r="AZ37" s="121"/>
      <c r="BA37" s="121"/>
      <c r="BB37" s="121"/>
      <c r="BC37" s="121"/>
      <c r="BD37" s="121"/>
      <c r="BE37" s="121"/>
      <c r="BF37" s="121"/>
      <c r="BG37" s="121"/>
      <c r="BH37" s="121"/>
      <c r="BI37" s="121"/>
      <c r="BJ37" s="121">
        <v>37</v>
      </c>
      <c r="BK37" s="121" t="str">
        <f t="shared" si="1"/>
        <v>PCA_36</v>
      </c>
      <c r="BL37" s="121" t="str">
        <f t="array" ref="BL37">INDEX(IF($AS$2:$BH$46="","",$AS$2:$BH$46),AQ37,$AR$1)</f>
        <v/>
      </c>
    </row>
    <row r="38" spans="1:64" ht="15" customHeight="1">
      <c r="A38" s="118"/>
      <c r="B38" s="165"/>
      <c r="C38" s="166"/>
      <c r="D38" s="167"/>
      <c r="E38" s="167"/>
      <c r="F38" s="167"/>
      <c r="G38" s="167"/>
      <c r="H38" s="168" t="str">
        <f t="shared" si="2"/>
        <v/>
      </c>
      <c r="I38" s="168"/>
      <c r="J38" s="131"/>
      <c r="K38" s="167"/>
      <c r="L38" s="167"/>
      <c r="M38" s="167"/>
      <c r="N38" s="167"/>
      <c r="O38" s="167"/>
      <c r="P38" s="136" t="str">
        <f t="shared" si="11"/>
        <v>_Inspection Log.xlsm</v>
      </c>
      <c r="Q38" s="140" t="str">
        <f t="shared" si="12"/>
        <v>C:\Users\sabi_\OneDrive\Desktop\New folder\Coding logs\_Inspection Log.xlsm</v>
      </c>
      <c r="R38" s="141">
        <f t="array" ref="R38">SUM(IF($J$30:$J$194=IF(J38="","Blank",J38),1,0))</f>
        <v>0</v>
      </c>
      <c r="S38" s="141">
        <f t="shared" si="3"/>
        <v>0</v>
      </c>
      <c r="T38" s="141" t="str">
        <f t="shared" si="4"/>
        <v/>
      </c>
      <c r="U38" s="142">
        <f t="shared" si="5"/>
        <v>0</v>
      </c>
      <c r="V38" s="142">
        <f t="shared" si="6"/>
        <v>0</v>
      </c>
      <c r="W38" s="142">
        <f t="array" ref="W38">SUM(IF(LEN(J36:J200)&lt;=3,0,1))</f>
        <v>0</v>
      </c>
      <c r="X38" s="141" t="str">
        <f t="shared" si="7"/>
        <v>_Inspection Log</v>
      </c>
      <c r="Y38" s="142">
        <f t="shared" si="8"/>
        <v>0</v>
      </c>
      <c r="Z38" s="142" t="str">
        <f t="shared" si="9"/>
        <v/>
      </c>
      <c r="AA38" s="142">
        <f t="shared" si="10"/>
        <v>0</v>
      </c>
      <c r="AB38" s="142"/>
      <c r="AC38" s="142"/>
      <c r="AD38" s="142"/>
      <c r="AE38" s="142"/>
      <c r="AF38" s="142"/>
      <c r="AG38" s="142"/>
      <c r="AH38" s="142"/>
      <c r="AI38" s="142"/>
      <c r="AJ38" s="150"/>
      <c r="AK38" s="118"/>
      <c r="AL38" s="118"/>
      <c r="AM38" s="118"/>
      <c r="AN38" s="118"/>
      <c r="AO38" s="118"/>
      <c r="AP38" s="118"/>
      <c r="AQ38" s="121">
        <v>37</v>
      </c>
      <c r="AR38" s="121" t="s">
        <v>150</v>
      </c>
      <c r="AS38" s="121"/>
      <c r="AT38" s="121"/>
      <c r="AU38" s="121"/>
      <c r="AV38" s="121"/>
      <c r="AW38" s="121"/>
      <c r="AX38" s="121"/>
      <c r="AY38" s="121"/>
      <c r="AZ38" s="121"/>
      <c r="BA38" s="121"/>
      <c r="BB38" s="121"/>
      <c r="BC38" s="121"/>
      <c r="BD38" s="121"/>
      <c r="BE38" s="121"/>
      <c r="BF38" s="121"/>
      <c r="BG38" s="121"/>
      <c r="BH38" s="121"/>
      <c r="BI38" s="121"/>
      <c r="BJ38" s="121">
        <v>38</v>
      </c>
      <c r="BK38" s="121" t="str">
        <f t="shared" si="1"/>
        <v>PCA_37</v>
      </c>
      <c r="BL38" s="121" t="str">
        <f t="array" ref="BL38">INDEX(IF($AS$2:$BH$46="","",$AS$2:$BH$46),AQ38,$AR$1)</f>
        <v/>
      </c>
    </row>
    <row r="39" spans="1:64" ht="15" customHeight="1">
      <c r="A39" s="118"/>
      <c r="B39" s="165"/>
      <c r="C39" s="166"/>
      <c r="D39" s="167"/>
      <c r="E39" s="167"/>
      <c r="F39" s="167"/>
      <c r="G39" s="167"/>
      <c r="H39" s="168" t="str">
        <f t="shared" si="2"/>
        <v/>
      </c>
      <c r="I39" s="168"/>
      <c r="J39" s="131"/>
      <c r="K39" s="167"/>
      <c r="L39" s="167"/>
      <c r="M39" s="167"/>
      <c r="N39" s="167"/>
      <c r="O39" s="167"/>
      <c r="P39" s="136" t="str">
        <f t="shared" si="11"/>
        <v>_Inspection Log.xlsm</v>
      </c>
      <c r="Q39" s="140" t="str">
        <f t="shared" si="12"/>
        <v>C:\Users\sabi_\OneDrive\Desktop\New folder\Coding logs\_Inspection Log.xlsm</v>
      </c>
      <c r="R39" s="141">
        <f t="array" ref="R39">SUM(IF($J$30:$J$194=IF(J39="","Blank",J39),1,0))</f>
        <v>0</v>
      </c>
      <c r="S39" s="141">
        <f t="shared" si="3"/>
        <v>0</v>
      </c>
      <c r="T39" s="141" t="str">
        <f t="shared" si="4"/>
        <v/>
      </c>
      <c r="U39" s="142">
        <f t="shared" si="5"/>
        <v>0</v>
      </c>
      <c r="V39" s="142">
        <f t="shared" si="6"/>
        <v>0</v>
      </c>
      <c r="W39" s="142">
        <f t="array" ref="W39">SUM(IF(LEN(J37:J201)&lt;=3,0,1))</f>
        <v>0</v>
      </c>
      <c r="X39" s="141" t="str">
        <f t="shared" si="7"/>
        <v>_Inspection Log</v>
      </c>
      <c r="Y39" s="142">
        <f t="shared" si="8"/>
        <v>0</v>
      </c>
      <c r="Z39" s="142" t="str">
        <f t="shared" si="9"/>
        <v/>
      </c>
      <c r="AA39" s="142">
        <f t="shared" si="10"/>
        <v>0</v>
      </c>
      <c r="AB39" s="142"/>
      <c r="AC39" s="142"/>
      <c r="AD39" s="142"/>
      <c r="AE39" s="142"/>
      <c r="AF39" s="142"/>
      <c r="AG39" s="142"/>
      <c r="AH39" s="142"/>
      <c r="AI39" s="142"/>
      <c r="AJ39" s="150"/>
      <c r="AK39" s="118"/>
      <c r="AL39" s="118"/>
      <c r="AM39" s="118"/>
      <c r="AN39" s="118"/>
      <c r="AO39" s="118"/>
      <c r="AP39" s="118"/>
      <c r="AQ39" s="121">
        <v>38</v>
      </c>
      <c r="AR39" s="121" t="s">
        <v>151</v>
      </c>
      <c r="AS39" s="121"/>
      <c r="AT39" s="121"/>
      <c r="AU39" s="121"/>
      <c r="AV39" s="121"/>
      <c r="AW39" s="121"/>
      <c r="AX39" s="121"/>
      <c r="AY39" s="121"/>
      <c r="AZ39" s="121"/>
      <c r="BA39" s="121"/>
      <c r="BB39" s="121"/>
      <c r="BC39" s="121"/>
      <c r="BD39" s="121"/>
      <c r="BE39" s="121"/>
      <c r="BF39" s="121"/>
      <c r="BG39" s="121"/>
      <c r="BH39" s="121"/>
      <c r="BI39" s="121"/>
      <c r="BJ39" s="121">
        <v>39</v>
      </c>
      <c r="BK39" s="121" t="str">
        <f t="shared" si="1"/>
        <v>PCA_38</v>
      </c>
      <c r="BL39" s="121" t="str">
        <f t="array" ref="BL39">INDEX(IF($AS$2:$BH$46="","",$AS$2:$BH$46),AQ39,$AR$1)</f>
        <v/>
      </c>
    </row>
    <row r="40" spans="1:64" ht="15" customHeight="1">
      <c r="A40" s="118"/>
      <c r="B40" s="165"/>
      <c r="C40" s="166"/>
      <c r="D40" s="167"/>
      <c r="E40" s="167"/>
      <c r="F40" s="167"/>
      <c r="G40" s="167"/>
      <c r="H40" s="168" t="str">
        <f t="shared" si="2"/>
        <v/>
      </c>
      <c r="I40" s="168"/>
      <c r="J40" s="131"/>
      <c r="K40" s="167"/>
      <c r="L40" s="167"/>
      <c r="M40" s="167"/>
      <c r="N40" s="167"/>
      <c r="O40" s="167"/>
      <c r="P40" s="136" t="str">
        <f t="shared" si="11"/>
        <v>_Inspection Log.xlsm</v>
      </c>
      <c r="Q40" s="140" t="str">
        <f t="shared" si="12"/>
        <v>C:\Users\sabi_\OneDrive\Desktop\New folder\Coding logs\_Inspection Log.xlsm</v>
      </c>
      <c r="R40" s="141">
        <f t="array" ref="R40">SUM(IF($J$30:$J$194=IF(J40="","Blank",J40),1,0))</f>
        <v>0</v>
      </c>
      <c r="S40" s="141">
        <f t="shared" si="3"/>
        <v>0</v>
      </c>
      <c r="T40" s="141" t="str">
        <f t="shared" si="4"/>
        <v/>
      </c>
      <c r="U40" s="142">
        <f t="shared" si="5"/>
        <v>0</v>
      </c>
      <c r="V40" s="142">
        <f t="shared" si="6"/>
        <v>0</v>
      </c>
      <c r="W40" s="142">
        <f t="array" ref="W40">SUM(IF(LEN(J38:J202)&lt;=3,0,1))</f>
        <v>0</v>
      </c>
      <c r="X40" s="141" t="str">
        <f t="shared" si="7"/>
        <v>_Inspection Log</v>
      </c>
      <c r="Y40" s="142">
        <f t="shared" si="8"/>
        <v>0</v>
      </c>
      <c r="Z40" s="142" t="str">
        <f t="shared" si="9"/>
        <v/>
      </c>
      <c r="AA40" s="142">
        <f t="shared" si="10"/>
        <v>0</v>
      </c>
      <c r="AB40" s="142"/>
      <c r="AC40" s="142"/>
      <c r="AD40" s="142"/>
      <c r="AE40" s="142"/>
      <c r="AF40" s="142"/>
      <c r="AG40" s="142"/>
      <c r="AH40" s="142"/>
      <c r="AI40" s="142"/>
      <c r="AJ40" s="150"/>
      <c r="AK40" s="118"/>
      <c r="AL40" s="118"/>
      <c r="AM40" s="118"/>
      <c r="AN40" s="118"/>
      <c r="AO40" s="118"/>
      <c r="AP40" s="118"/>
      <c r="AQ40" s="121">
        <v>39</v>
      </c>
      <c r="AR40" s="121" t="s">
        <v>152</v>
      </c>
      <c r="AS40" s="121"/>
      <c r="AT40" s="121"/>
      <c r="AU40" s="121"/>
      <c r="AV40" s="121"/>
      <c r="AW40" s="121"/>
      <c r="AX40" s="121"/>
      <c r="AY40" s="121"/>
      <c r="AZ40" s="121"/>
      <c r="BA40" s="121"/>
      <c r="BB40" s="121"/>
      <c r="BC40" s="121"/>
      <c r="BD40" s="121"/>
      <c r="BE40" s="121"/>
      <c r="BF40" s="121"/>
      <c r="BG40" s="121"/>
      <c r="BH40" s="121"/>
      <c r="BI40" s="121"/>
      <c r="BJ40" s="121">
        <v>40</v>
      </c>
      <c r="BK40" s="121" t="str">
        <f t="shared" si="1"/>
        <v>PCA_39</v>
      </c>
      <c r="BL40" s="121" t="str">
        <f t="array" ref="BL40">INDEX(IF($AS$2:$BH$46="","",$AS$2:$BH$46),AQ40,$AR$1)</f>
        <v/>
      </c>
    </row>
    <row r="41" spans="1:64" ht="15" customHeight="1">
      <c r="A41" s="118"/>
      <c r="B41" s="165"/>
      <c r="C41" s="166"/>
      <c r="D41" s="167"/>
      <c r="E41" s="167"/>
      <c r="F41" s="167"/>
      <c r="G41" s="167"/>
      <c r="H41" s="168" t="str">
        <f t="shared" ref="H41:H59" si="13">IF(J41="","",J41)</f>
        <v/>
      </c>
      <c r="I41" s="168"/>
      <c r="J41" s="131"/>
      <c r="K41" s="167"/>
      <c r="L41" s="167"/>
      <c r="M41" s="167"/>
      <c r="N41" s="167"/>
      <c r="O41" s="167"/>
      <c r="P41" s="136" t="str">
        <f t="shared" si="11"/>
        <v>_Inspection Log.xlsm</v>
      </c>
      <c r="Q41" s="140" t="str">
        <f t="shared" si="12"/>
        <v>C:\Users\sabi_\OneDrive\Desktop\New folder\Coding logs\_Inspection Log.xlsm</v>
      </c>
      <c r="R41" s="141">
        <f t="array" ref="R41">SUM(IF($J$30:$J$194=IF(J41="","Blank",J41),1,0))</f>
        <v>0</v>
      </c>
      <c r="S41" s="141">
        <f t="shared" si="3"/>
        <v>0</v>
      </c>
      <c r="T41" s="141" t="str">
        <f t="shared" si="4"/>
        <v/>
      </c>
      <c r="U41" s="142">
        <f t="shared" si="5"/>
        <v>0</v>
      </c>
      <c r="V41" s="142">
        <f t="shared" si="6"/>
        <v>0</v>
      </c>
      <c r="W41" s="142">
        <f t="array" ref="W41">SUM(IF(LEN(J39:J203)&lt;=3,0,1))</f>
        <v>0</v>
      </c>
      <c r="X41" s="141" t="str">
        <f t="shared" si="7"/>
        <v>_Inspection Log</v>
      </c>
      <c r="Y41" s="142">
        <f t="shared" si="8"/>
        <v>0</v>
      </c>
      <c r="Z41" s="142" t="str">
        <f t="shared" si="9"/>
        <v/>
      </c>
      <c r="AA41" s="142">
        <f t="shared" si="10"/>
        <v>0</v>
      </c>
      <c r="AB41" s="142"/>
      <c r="AC41" s="142"/>
      <c r="AD41" s="142"/>
      <c r="AE41" s="142"/>
      <c r="AF41" s="142"/>
      <c r="AG41" s="142"/>
      <c r="AH41" s="142"/>
      <c r="AI41" s="142"/>
      <c r="AJ41" s="150"/>
      <c r="AK41" s="118"/>
      <c r="AL41" s="118"/>
      <c r="AM41" s="118"/>
      <c r="AN41" s="118"/>
      <c r="AO41" s="118"/>
      <c r="AP41" s="118"/>
      <c r="AQ41" s="121">
        <v>40</v>
      </c>
      <c r="AR41" s="121" t="s">
        <v>153</v>
      </c>
      <c r="AS41" s="121"/>
      <c r="AT41" s="121"/>
      <c r="AU41" s="121"/>
      <c r="AV41" s="121"/>
      <c r="AW41" s="121"/>
      <c r="AX41" s="121"/>
      <c r="AY41" s="121"/>
      <c r="AZ41" s="121"/>
      <c r="BA41" s="121"/>
      <c r="BB41" s="121"/>
      <c r="BC41" s="121"/>
      <c r="BD41" s="121"/>
      <c r="BE41" s="121"/>
      <c r="BF41" s="121"/>
      <c r="BG41" s="121"/>
      <c r="BH41" s="121"/>
      <c r="BI41" s="121"/>
      <c r="BJ41" s="121">
        <v>41</v>
      </c>
      <c r="BK41" s="121" t="str">
        <f t="shared" si="1"/>
        <v>PCA_40</v>
      </c>
      <c r="BL41" s="121" t="str">
        <f t="array" ref="BL41">INDEX(IF($AS$2:$BH$46="","",$AS$2:$BH$46),AQ41,$AR$1)</f>
        <v/>
      </c>
    </row>
    <row r="42" spans="1:64" ht="15" customHeight="1">
      <c r="A42" s="118"/>
      <c r="B42" s="165"/>
      <c r="C42" s="166"/>
      <c r="D42" s="167"/>
      <c r="E42" s="167"/>
      <c r="F42" s="167"/>
      <c r="G42" s="167"/>
      <c r="H42" s="168" t="str">
        <f t="shared" si="13"/>
        <v/>
      </c>
      <c r="I42" s="168"/>
      <c r="J42" s="131"/>
      <c r="K42" s="167"/>
      <c r="L42" s="167"/>
      <c r="M42" s="167"/>
      <c r="N42" s="167"/>
      <c r="O42" s="167"/>
      <c r="P42" s="136" t="str">
        <f t="shared" si="11"/>
        <v>_Inspection Log.xlsm</v>
      </c>
      <c r="Q42" s="140" t="str">
        <f t="shared" si="12"/>
        <v>C:\Users\sabi_\OneDrive\Desktop\New folder\Coding logs\_Inspection Log.xlsm</v>
      </c>
      <c r="R42" s="141">
        <f t="array" ref="R42">SUM(IF($J$30:$J$194=IF(J42="","Blank",J42),1,0))</f>
        <v>0</v>
      </c>
      <c r="S42" s="141">
        <f t="shared" si="3"/>
        <v>0</v>
      </c>
      <c r="T42" s="141" t="str">
        <f t="shared" si="4"/>
        <v/>
      </c>
      <c r="U42" s="142">
        <f t="shared" si="5"/>
        <v>0</v>
      </c>
      <c r="V42" s="142">
        <f t="shared" si="6"/>
        <v>0</v>
      </c>
      <c r="W42" s="142">
        <f t="array" ref="W42">SUM(IF(LEN(J40:J204)&lt;=3,0,1))</f>
        <v>0</v>
      </c>
      <c r="X42" s="141" t="str">
        <f t="shared" si="7"/>
        <v>_Inspection Log</v>
      </c>
      <c r="Y42" s="142">
        <f t="shared" si="8"/>
        <v>0</v>
      </c>
      <c r="Z42" s="142" t="str">
        <f t="shared" si="9"/>
        <v/>
      </c>
      <c r="AA42" s="142">
        <f t="shared" si="10"/>
        <v>0</v>
      </c>
      <c r="AB42" s="142"/>
      <c r="AC42" s="142"/>
      <c r="AD42" s="142"/>
      <c r="AE42" s="142"/>
      <c r="AF42" s="142"/>
      <c r="AG42" s="142"/>
      <c r="AH42" s="142"/>
      <c r="AI42" s="142"/>
      <c r="AJ42" s="150"/>
      <c r="AK42" s="118"/>
      <c r="AL42" s="118"/>
      <c r="AM42" s="118"/>
      <c r="AN42" s="118"/>
      <c r="AO42" s="118"/>
      <c r="AP42" s="118"/>
      <c r="AQ42" s="121">
        <v>41</v>
      </c>
      <c r="AR42" s="121" t="s">
        <v>154</v>
      </c>
      <c r="AS42" s="121"/>
      <c r="AT42" s="121"/>
      <c r="AU42" s="121"/>
      <c r="AV42" s="121"/>
      <c r="AW42" s="121"/>
      <c r="AX42" s="121"/>
      <c r="AY42" s="121"/>
      <c r="AZ42" s="121"/>
      <c r="BA42" s="121"/>
      <c r="BB42" s="121"/>
      <c r="BC42" s="121"/>
      <c r="BD42" s="121"/>
      <c r="BE42" s="121"/>
      <c r="BF42" s="121"/>
      <c r="BG42" s="121"/>
      <c r="BH42" s="121"/>
      <c r="BI42" s="121"/>
      <c r="BJ42" s="121">
        <v>42</v>
      </c>
      <c r="BK42" s="121" t="str">
        <f t="shared" si="1"/>
        <v>PCA_41</v>
      </c>
      <c r="BL42" s="121" t="str">
        <f t="array" ref="BL42">INDEX(IF($AS$2:$BH$46="","",$AS$2:$BH$46),AQ42,$AR$1)</f>
        <v/>
      </c>
    </row>
    <row r="43" spans="1:64" ht="15" customHeight="1">
      <c r="A43" s="118"/>
      <c r="B43" s="165"/>
      <c r="C43" s="166"/>
      <c r="D43" s="167"/>
      <c r="E43" s="167"/>
      <c r="F43" s="167"/>
      <c r="G43" s="167"/>
      <c r="H43" s="168" t="str">
        <f t="shared" si="13"/>
        <v/>
      </c>
      <c r="I43" s="168"/>
      <c r="J43" s="131"/>
      <c r="K43" s="167"/>
      <c r="L43" s="167"/>
      <c r="M43" s="167"/>
      <c r="N43" s="167"/>
      <c r="O43" s="167"/>
      <c r="P43" s="136" t="str">
        <f t="shared" si="11"/>
        <v>_Inspection Log.xlsm</v>
      </c>
      <c r="Q43" s="140" t="str">
        <f t="shared" si="12"/>
        <v>C:\Users\sabi_\OneDrive\Desktop\New folder\Coding logs\_Inspection Log.xlsm</v>
      </c>
      <c r="R43" s="141">
        <f t="array" ref="R43">SUM(IF($J$30:$J$194=IF(J43="","Blank",J43),1,0))</f>
        <v>0</v>
      </c>
      <c r="S43" s="141">
        <f t="shared" si="3"/>
        <v>0</v>
      </c>
      <c r="T43" s="141" t="str">
        <f t="shared" si="4"/>
        <v/>
      </c>
      <c r="U43" s="142">
        <f t="shared" si="5"/>
        <v>0</v>
      </c>
      <c r="V43" s="142">
        <f t="shared" si="6"/>
        <v>0</v>
      </c>
      <c r="W43" s="142">
        <f t="array" ref="W43">SUM(IF(LEN(J41:J205)&lt;=3,0,1))</f>
        <v>0</v>
      </c>
      <c r="X43" s="141" t="str">
        <f t="shared" si="7"/>
        <v>_Inspection Log</v>
      </c>
      <c r="Y43" s="142">
        <f t="shared" si="8"/>
        <v>0</v>
      </c>
      <c r="Z43" s="142" t="str">
        <f t="shared" si="9"/>
        <v/>
      </c>
      <c r="AA43" s="142">
        <f t="shared" si="10"/>
        <v>0</v>
      </c>
      <c r="AB43" s="142"/>
      <c r="AC43" s="142"/>
      <c r="AD43" s="142"/>
      <c r="AE43" s="142"/>
      <c r="AF43" s="142"/>
      <c r="AG43" s="142"/>
      <c r="AH43" s="142"/>
      <c r="AI43" s="142"/>
      <c r="AJ43" s="150"/>
      <c r="AK43" s="118"/>
      <c r="AL43" s="118"/>
      <c r="AM43" s="118"/>
      <c r="AN43" s="118"/>
      <c r="AO43" s="118"/>
      <c r="AP43" s="118"/>
      <c r="AQ43" s="121">
        <v>42</v>
      </c>
      <c r="AR43" s="121" t="s">
        <v>155</v>
      </c>
      <c r="AS43" s="121"/>
      <c r="AT43" s="121"/>
      <c r="AU43" s="121"/>
      <c r="AV43" s="121"/>
      <c r="AW43" s="121"/>
      <c r="AX43" s="121"/>
      <c r="AY43" s="121"/>
      <c r="AZ43" s="121"/>
      <c r="BA43" s="121"/>
      <c r="BB43" s="121"/>
      <c r="BC43" s="121"/>
      <c r="BD43" s="121"/>
      <c r="BE43" s="121"/>
      <c r="BF43" s="121"/>
      <c r="BG43" s="121"/>
      <c r="BH43" s="121"/>
      <c r="BI43" s="121"/>
      <c r="BJ43" s="121">
        <v>43</v>
      </c>
      <c r="BK43" s="121" t="str">
        <f t="shared" si="1"/>
        <v>PCA_42</v>
      </c>
      <c r="BL43" s="121" t="str">
        <f t="array" ref="BL43">INDEX(IF($AS$2:$BH$46="","",$AS$2:$BH$46),AQ43,$AR$1)</f>
        <v/>
      </c>
    </row>
    <row r="44" spans="1:64" ht="15" customHeight="1">
      <c r="A44" s="118"/>
      <c r="B44" s="165"/>
      <c r="C44" s="166"/>
      <c r="D44" s="167"/>
      <c r="E44" s="167"/>
      <c r="F44" s="167"/>
      <c r="G44" s="167"/>
      <c r="H44" s="168" t="str">
        <f t="shared" si="13"/>
        <v/>
      </c>
      <c r="I44" s="168"/>
      <c r="J44" s="131"/>
      <c r="K44" s="167"/>
      <c r="L44" s="167"/>
      <c r="M44" s="167"/>
      <c r="N44" s="167"/>
      <c r="O44" s="167"/>
      <c r="P44" s="136" t="str">
        <f t="shared" si="11"/>
        <v>_Inspection Log.xlsm</v>
      </c>
      <c r="Q44" s="140" t="str">
        <f t="shared" si="12"/>
        <v>C:\Users\sabi_\OneDrive\Desktop\New folder\Coding logs\_Inspection Log.xlsm</v>
      </c>
      <c r="R44" s="141">
        <f t="array" ref="R44">SUM(IF($J$30:$J$194=IF(J44="","Blank",J44),1,0))</f>
        <v>0</v>
      </c>
      <c r="S44" s="141">
        <f t="shared" si="3"/>
        <v>0</v>
      </c>
      <c r="T44" s="141" t="str">
        <f t="shared" si="4"/>
        <v/>
      </c>
      <c r="U44" s="142">
        <f t="shared" si="5"/>
        <v>0</v>
      </c>
      <c r="V44" s="142">
        <f t="shared" si="6"/>
        <v>0</v>
      </c>
      <c r="W44" s="142">
        <f t="array" ref="W44">SUM(IF(LEN(J42:J206)&lt;=3,0,1))</f>
        <v>0</v>
      </c>
      <c r="X44" s="141" t="str">
        <f t="shared" si="7"/>
        <v>_Inspection Log</v>
      </c>
      <c r="Y44" s="142">
        <f t="shared" si="8"/>
        <v>0</v>
      </c>
      <c r="Z44" s="142" t="str">
        <f t="shared" si="9"/>
        <v/>
      </c>
      <c r="AA44" s="142">
        <f t="shared" si="10"/>
        <v>0</v>
      </c>
      <c r="AB44" s="142"/>
      <c r="AC44" s="142"/>
      <c r="AD44" s="142"/>
      <c r="AE44" s="142"/>
      <c r="AF44" s="142"/>
      <c r="AG44" s="142"/>
      <c r="AH44" s="142"/>
      <c r="AI44" s="142"/>
      <c r="AJ44" s="150"/>
      <c r="AK44" s="118"/>
      <c r="AL44" s="118"/>
      <c r="AM44" s="118"/>
      <c r="AN44" s="118"/>
      <c r="AO44" s="118"/>
      <c r="AP44" s="118"/>
      <c r="AQ44" s="121">
        <v>43</v>
      </c>
      <c r="AR44" s="121" t="s">
        <v>156</v>
      </c>
      <c r="AS44" s="121"/>
      <c r="AT44" s="121"/>
      <c r="AU44" s="121"/>
      <c r="AV44" s="121"/>
      <c r="AW44" s="121"/>
      <c r="AX44" s="121"/>
      <c r="AY44" s="121"/>
      <c r="AZ44" s="121"/>
      <c r="BA44" s="121"/>
      <c r="BB44" s="121"/>
      <c r="BC44" s="121"/>
      <c r="BD44" s="121"/>
      <c r="BE44" s="121"/>
      <c r="BF44" s="121"/>
      <c r="BG44" s="121"/>
      <c r="BH44" s="121"/>
      <c r="BI44" s="121"/>
      <c r="BJ44" s="121">
        <v>44</v>
      </c>
      <c r="BK44" s="121" t="str">
        <f t="shared" si="1"/>
        <v>PCA_43</v>
      </c>
      <c r="BL44" s="121" t="str">
        <f t="array" ref="BL44">INDEX(IF($AS$2:$BH$46="","",$AS$2:$BH$46),AQ44,$AR$1)</f>
        <v/>
      </c>
    </row>
    <row r="45" spans="1:64" ht="15" customHeight="1">
      <c r="A45" s="118"/>
      <c r="B45" s="165"/>
      <c r="C45" s="166"/>
      <c r="D45" s="167"/>
      <c r="E45" s="167"/>
      <c r="F45" s="167"/>
      <c r="G45" s="167"/>
      <c r="H45" s="168" t="str">
        <f t="shared" si="13"/>
        <v/>
      </c>
      <c r="I45" s="168"/>
      <c r="J45" s="131"/>
      <c r="K45" s="167"/>
      <c r="L45" s="167"/>
      <c r="M45" s="167"/>
      <c r="N45" s="167"/>
      <c r="O45" s="167"/>
      <c r="P45" s="136" t="str">
        <f t="shared" si="11"/>
        <v>_Inspection Log.xlsm</v>
      </c>
      <c r="Q45" s="140" t="str">
        <f t="shared" si="12"/>
        <v>C:\Users\sabi_\OneDrive\Desktop\New folder\Coding logs\_Inspection Log.xlsm</v>
      </c>
      <c r="R45" s="141">
        <f t="array" ref="R45">SUM(IF($J$30:$J$194=IF(J45="","Blank",J45),1,0))</f>
        <v>0</v>
      </c>
      <c r="S45" s="141">
        <f t="shared" si="3"/>
        <v>0</v>
      </c>
      <c r="T45" s="141" t="str">
        <f t="shared" si="4"/>
        <v/>
      </c>
      <c r="U45" s="142">
        <f t="shared" si="5"/>
        <v>0</v>
      </c>
      <c r="V45" s="142">
        <f t="shared" si="6"/>
        <v>0</v>
      </c>
      <c r="W45" s="142">
        <f t="array" ref="W45">SUM(IF(LEN(J43:J207)&lt;=3,0,1))</f>
        <v>0</v>
      </c>
      <c r="X45" s="141" t="str">
        <f t="shared" si="7"/>
        <v>_Inspection Log</v>
      </c>
      <c r="Y45" s="142">
        <f t="shared" si="8"/>
        <v>0</v>
      </c>
      <c r="Z45" s="142" t="str">
        <f t="shared" si="9"/>
        <v/>
      </c>
      <c r="AA45" s="142">
        <f t="shared" si="10"/>
        <v>0</v>
      </c>
      <c r="AB45" s="142"/>
      <c r="AC45" s="142"/>
      <c r="AD45" s="142"/>
      <c r="AE45" s="142"/>
      <c r="AF45" s="142"/>
      <c r="AG45" s="142"/>
      <c r="AH45" s="142"/>
      <c r="AI45" s="142"/>
      <c r="AJ45" s="150"/>
      <c r="AK45" s="118"/>
      <c r="AL45" s="118"/>
      <c r="AM45" s="118"/>
      <c r="AN45" s="118"/>
      <c r="AO45" s="118"/>
      <c r="AP45" s="118"/>
      <c r="AQ45" s="121">
        <v>44</v>
      </c>
      <c r="AR45" s="121" t="s">
        <v>157</v>
      </c>
      <c r="AS45" s="121"/>
      <c r="AT45" s="121"/>
      <c r="AU45" s="121"/>
      <c r="AV45" s="121"/>
      <c r="AW45" s="121"/>
      <c r="AX45" s="121"/>
      <c r="AY45" s="121"/>
      <c r="AZ45" s="121"/>
      <c r="BA45" s="121"/>
      <c r="BB45" s="121"/>
      <c r="BC45" s="121"/>
      <c r="BD45" s="121"/>
      <c r="BE45" s="121"/>
      <c r="BF45" s="121"/>
      <c r="BG45" s="121"/>
      <c r="BH45" s="121"/>
      <c r="BI45" s="121"/>
      <c r="BJ45" s="121">
        <v>45</v>
      </c>
      <c r="BK45" s="121" t="str">
        <f t="shared" si="1"/>
        <v>PCA_44</v>
      </c>
      <c r="BL45" s="121" t="str">
        <f t="array" ref="BL45">INDEX(IF($AS$2:$BH$46="","",$AS$2:$BH$46),AQ45,$AR$1)</f>
        <v/>
      </c>
    </row>
    <row r="46" spans="1:64" ht="15" customHeight="1">
      <c r="A46" s="118"/>
      <c r="B46" s="165"/>
      <c r="C46" s="166"/>
      <c r="D46" s="167"/>
      <c r="E46" s="167"/>
      <c r="F46" s="167"/>
      <c r="G46" s="167"/>
      <c r="H46" s="168" t="str">
        <f t="shared" si="13"/>
        <v/>
      </c>
      <c r="I46" s="168"/>
      <c r="J46" s="131"/>
      <c r="K46" s="167"/>
      <c r="L46" s="167"/>
      <c r="M46" s="167"/>
      <c r="N46" s="167"/>
      <c r="O46" s="167"/>
      <c r="P46" s="136" t="str">
        <f t="shared" si="11"/>
        <v>_Inspection Log.xlsm</v>
      </c>
      <c r="Q46" s="140" t="str">
        <f t="shared" si="12"/>
        <v>C:\Users\sabi_\OneDrive\Desktop\New folder\Coding logs\_Inspection Log.xlsm</v>
      </c>
      <c r="R46" s="141">
        <f t="array" ref="R46">SUM(IF($J$30:$J$194=IF(J46="","Blank",J46),1,0))</f>
        <v>0</v>
      </c>
      <c r="S46" s="141">
        <f t="shared" si="3"/>
        <v>0</v>
      </c>
      <c r="T46" s="141" t="str">
        <f t="shared" si="4"/>
        <v/>
      </c>
      <c r="U46" s="142">
        <f t="shared" si="5"/>
        <v>0</v>
      </c>
      <c r="V46" s="142">
        <f t="shared" si="6"/>
        <v>0</v>
      </c>
      <c r="W46" s="142">
        <f t="array" ref="W46">SUM(IF(LEN(J44:J208)&lt;=3,0,1))</f>
        <v>0</v>
      </c>
      <c r="X46" s="141" t="str">
        <f t="shared" si="7"/>
        <v>_Inspection Log</v>
      </c>
      <c r="Y46" s="142">
        <f t="shared" si="8"/>
        <v>0</v>
      </c>
      <c r="Z46" s="142" t="str">
        <f t="shared" si="9"/>
        <v/>
      </c>
      <c r="AA46" s="142">
        <f t="shared" si="10"/>
        <v>0</v>
      </c>
      <c r="AB46" s="142"/>
      <c r="AC46" s="142"/>
      <c r="AD46" s="142"/>
      <c r="AE46" s="142"/>
      <c r="AF46" s="142"/>
      <c r="AG46" s="142"/>
      <c r="AH46" s="142"/>
      <c r="AI46" s="142"/>
      <c r="AJ46" s="150"/>
      <c r="AK46" s="118"/>
      <c r="AL46" s="118"/>
      <c r="AM46" s="118"/>
      <c r="AN46" s="118"/>
      <c r="AO46" s="118"/>
      <c r="AP46" s="118"/>
      <c r="AQ46" s="121">
        <v>45</v>
      </c>
      <c r="AR46" s="121" t="s">
        <v>158</v>
      </c>
      <c r="AS46" s="121"/>
      <c r="AT46" s="121"/>
      <c r="AU46" s="121"/>
      <c r="AV46" s="121"/>
      <c r="AW46" s="121"/>
      <c r="AX46" s="121"/>
      <c r="AY46" s="121"/>
      <c r="AZ46" s="121"/>
      <c r="BA46" s="121"/>
      <c r="BB46" s="121"/>
      <c r="BC46" s="121"/>
      <c r="BD46" s="121"/>
      <c r="BE46" s="121"/>
      <c r="BF46" s="121"/>
      <c r="BG46" s="121"/>
      <c r="BH46" s="121"/>
      <c r="BI46" s="121"/>
      <c r="BJ46" s="121">
        <v>46</v>
      </c>
      <c r="BK46" s="121" t="str">
        <f t="shared" si="1"/>
        <v>PCA_45</v>
      </c>
      <c r="BL46" s="121" t="str">
        <f t="array" ref="BL46">INDEX(IF($AS$2:$BH$46="","",$AS$2:$BH$46),AQ46,$AR$1)</f>
        <v/>
      </c>
    </row>
    <row r="47" spans="1:64" ht="15" customHeight="1">
      <c r="A47" s="118"/>
      <c r="B47" s="165"/>
      <c r="C47" s="166"/>
      <c r="D47" s="167"/>
      <c r="E47" s="167"/>
      <c r="F47" s="167"/>
      <c r="G47" s="167"/>
      <c r="H47" s="168" t="str">
        <f t="shared" si="13"/>
        <v/>
      </c>
      <c r="I47" s="168"/>
      <c r="J47" s="131"/>
      <c r="K47" s="167"/>
      <c r="L47" s="167"/>
      <c r="M47" s="167"/>
      <c r="N47" s="167"/>
      <c r="O47" s="167"/>
      <c r="P47" s="136" t="str">
        <f t="shared" si="11"/>
        <v>_Inspection Log.xlsm</v>
      </c>
      <c r="Q47" s="140" t="str">
        <f t="shared" si="12"/>
        <v>C:\Users\sabi_\OneDrive\Desktop\New folder\Coding logs\_Inspection Log.xlsm</v>
      </c>
      <c r="R47" s="141">
        <f t="array" ref="R47">SUM(IF($J$30:$J$194=IF(J47="","Blank",J47),1,0))</f>
        <v>0</v>
      </c>
      <c r="S47" s="141">
        <f t="shared" si="3"/>
        <v>0</v>
      </c>
      <c r="T47" s="141" t="str">
        <f t="shared" si="4"/>
        <v/>
      </c>
      <c r="U47" s="142">
        <f t="shared" si="5"/>
        <v>0</v>
      </c>
      <c r="V47" s="142">
        <f t="shared" si="6"/>
        <v>0</v>
      </c>
      <c r="W47" s="142">
        <f t="array" ref="W47">SUM(IF(LEN(J45:J209)&lt;=3,0,1))</f>
        <v>0</v>
      </c>
      <c r="X47" s="141" t="str">
        <f t="shared" si="7"/>
        <v>_Inspection Log</v>
      </c>
      <c r="Y47" s="142">
        <f t="shared" si="8"/>
        <v>0</v>
      </c>
      <c r="Z47" s="142" t="str">
        <f t="shared" si="9"/>
        <v/>
      </c>
      <c r="AA47" s="142">
        <f t="shared" si="10"/>
        <v>0</v>
      </c>
      <c r="AB47" s="142"/>
      <c r="AC47" s="142"/>
      <c r="AD47" s="142"/>
      <c r="AE47" s="142"/>
      <c r="AF47" s="142"/>
      <c r="AG47" s="142"/>
      <c r="AH47" s="142"/>
      <c r="AI47" s="142"/>
      <c r="AJ47" s="150"/>
      <c r="AK47" s="118"/>
      <c r="AL47" s="118"/>
      <c r="AM47" s="118"/>
      <c r="AN47" s="118"/>
      <c r="AO47" s="118"/>
      <c r="AP47" s="118"/>
      <c r="AQ47" s="121">
        <v>46</v>
      </c>
      <c r="AR47" s="121" t="s">
        <v>159</v>
      </c>
      <c r="AS47" s="121"/>
      <c r="AT47" s="121"/>
      <c r="AU47" s="121"/>
      <c r="AV47" s="121"/>
      <c r="AW47" s="121"/>
      <c r="AX47" s="121"/>
      <c r="AY47" s="121"/>
      <c r="AZ47" s="121"/>
      <c r="BA47" s="121"/>
      <c r="BB47" s="121"/>
      <c r="BC47" s="121"/>
      <c r="BD47" s="121"/>
      <c r="BE47" s="121"/>
      <c r="BF47" s="121"/>
      <c r="BG47" s="121"/>
      <c r="BH47" s="121"/>
      <c r="BI47" s="121"/>
      <c r="BJ47" s="121"/>
      <c r="BK47" s="121"/>
    </row>
    <row r="48" spans="1:64" ht="15" customHeight="1">
      <c r="A48" s="118"/>
      <c r="B48" s="165"/>
      <c r="C48" s="166"/>
      <c r="D48" s="167"/>
      <c r="E48" s="167"/>
      <c r="F48" s="167"/>
      <c r="G48" s="167"/>
      <c r="H48" s="168" t="str">
        <f t="shared" si="13"/>
        <v/>
      </c>
      <c r="I48" s="168"/>
      <c r="J48" s="131"/>
      <c r="K48" s="167"/>
      <c r="L48" s="167"/>
      <c r="M48" s="167"/>
      <c r="N48" s="167"/>
      <c r="O48" s="167"/>
      <c r="P48" s="136" t="str">
        <f t="shared" si="11"/>
        <v>_Inspection Log.xlsm</v>
      </c>
      <c r="Q48" s="140" t="str">
        <f t="shared" si="12"/>
        <v>C:\Users\sabi_\OneDrive\Desktop\New folder\Coding logs\_Inspection Log.xlsm</v>
      </c>
      <c r="R48" s="141">
        <f t="array" ref="R48">SUM(IF($J$30:$J$194=IF(J48="","Blank",J48),1,0))</f>
        <v>0</v>
      </c>
      <c r="S48" s="141">
        <f t="shared" si="3"/>
        <v>0</v>
      </c>
      <c r="T48" s="141" t="str">
        <f t="shared" si="4"/>
        <v/>
      </c>
      <c r="U48" s="142">
        <f t="shared" si="5"/>
        <v>0</v>
      </c>
      <c r="V48" s="142">
        <f t="shared" si="6"/>
        <v>0</v>
      </c>
      <c r="W48" s="142">
        <f t="array" ref="W48">SUM(IF(LEN(J46:J210)&lt;=3,0,1))</f>
        <v>0</v>
      </c>
      <c r="X48" s="141" t="str">
        <f t="shared" si="7"/>
        <v>_Inspection Log</v>
      </c>
      <c r="Y48" s="142">
        <f t="shared" si="8"/>
        <v>0</v>
      </c>
      <c r="Z48" s="142" t="str">
        <f t="shared" si="9"/>
        <v/>
      </c>
      <c r="AA48" s="142">
        <f t="shared" si="10"/>
        <v>0</v>
      </c>
      <c r="AB48" s="142"/>
      <c r="AC48" s="142"/>
      <c r="AD48" s="142"/>
      <c r="AE48" s="142"/>
      <c r="AF48" s="142"/>
      <c r="AG48" s="142"/>
      <c r="AH48" s="142"/>
      <c r="AI48" s="142"/>
      <c r="AJ48" s="150"/>
      <c r="AK48" s="118"/>
      <c r="AL48" s="118"/>
      <c r="AM48" s="118"/>
      <c r="AN48" s="118"/>
      <c r="AO48" s="118"/>
      <c r="AP48" s="118"/>
      <c r="AQ48" s="121"/>
      <c r="AR48" s="121"/>
      <c r="AS48" s="121"/>
      <c r="AT48" s="121"/>
      <c r="AU48" s="121"/>
      <c r="AV48" s="121"/>
      <c r="AW48" s="121"/>
      <c r="AX48" s="121"/>
      <c r="AY48" s="121"/>
      <c r="AZ48" s="121"/>
      <c r="BA48" s="121"/>
      <c r="BB48" s="121"/>
      <c r="BC48" s="121"/>
      <c r="BD48" s="121"/>
      <c r="BE48" s="121"/>
      <c r="BF48" s="121"/>
      <c r="BG48" s="121"/>
      <c r="BH48" s="121"/>
      <c r="BI48" s="121"/>
      <c r="BJ48" s="121"/>
      <c r="BK48" s="121"/>
    </row>
    <row r="49" spans="1:63" ht="15" customHeight="1">
      <c r="A49" s="118"/>
      <c r="B49" s="165"/>
      <c r="C49" s="166"/>
      <c r="D49" s="167"/>
      <c r="E49" s="167"/>
      <c r="F49" s="167"/>
      <c r="G49" s="167"/>
      <c r="H49" s="168" t="str">
        <f t="shared" si="13"/>
        <v/>
      </c>
      <c r="I49" s="168"/>
      <c r="J49" s="131"/>
      <c r="K49" s="167"/>
      <c r="L49" s="167"/>
      <c r="M49" s="167"/>
      <c r="N49" s="167"/>
      <c r="O49" s="167"/>
      <c r="P49" s="136" t="str">
        <f t="shared" si="11"/>
        <v>_Inspection Log.xlsm</v>
      </c>
      <c r="Q49" s="140" t="str">
        <f t="shared" si="12"/>
        <v>C:\Users\sabi_\OneDrive\Desktop\New folder\Coding logs\_Inspection Log.xlsm</v>
      </c>
      <c r="R49" s="141">
        <f t="array" ref="R49">SUM(IF($J$30:$J$194=IF(J49="","Blank",J49),1,0))</f>
        <v>0</v>
      </c>
      <c r="S49" s="141">
        <f t="shared" si="3"/>
        <v>0</v>
      </c>
      <c r="T49" s="141" t="str">
        <f t="shared" si="4"/>
        <v/>
      </c>
      <c r="U49" s="142">
        <f t="shared" si="5"/>
        <v>0</v>
      </c>
      <c r="V49" s="142">
        <f t="shared" si="6"/>
        <v>0</v>
      </c>
      <c r="W49" s="142">
        <f t="array" ref="W49">SUM(IF(LEN(J47:J211)&lt;=3,0,1))</f>
        <v>0</v>
      </c>
      <c r="X49" s="141" t="str">
        <f t="shared" si="7"/>
        <v>_Inspection Log</v>
      </c>
      <c r="Y49" s="142">
        <f t="shared" si="8"/>
        <v>0</v>
      </c>
      <c r="Z49" s="142" t="str">
        <f t="shared" si="9"/>
        <v/>
      </c>
      <c r="AA49" s="142">
        <f t="shared" si="10"/>
        <v>0</v>
      </c>
      <c r="AB49" s="142"/>
      <c r="AC49" s="142"/>
      <c r="AD49" s="142"/>
      <c r="AE49" s="142"/>
      <c r="AF49" s="142"/>
      <c r="AG49" s="142"/>
      <c r="AH49" s="142"/>
      <c r="AI49" s="142"/>
      <c r="AJ49" s="150"/>
      <c r="AK49" s="118"/>
      <c r="AL49" s="118"/>
      <c r="AM49" s="118"/>
      <c r="AN49" s="118"/>
      <c r="AO49" s="118"/>
      <c r="AP49" s="118"/>
      <c r="AQ49" s="121"/>
      <c r="AR49" s="121"/>
      <c r="AS49" s="121"/>
      <c r="AT49" s="121"/>
      <c r="AU49" s="121"/>
      <c r="AV49" s="121"/>
      <c r="AW49" s="121"/>
      <c r="AX49" s="121"/>
      <c r="AY49" s="121"/>
      <c r="AZ49" s="121"/>
      <c r="BA49" s="121"/>
      <c r="BB49" s="121"/>
      <c r="BC49" s="121"/>
      <c r="BD49" s="121"/>
      <c r="BE49" s="121"/>
      <c r="BF49" s="121"/>
      <c r="BG49" s="121"/>
      <c r="BH49" s="121"/>
      <c r="BI49" s="121"/>
      <c r="BJ49" s="121"/>
      <c r="BK49" s="121"/>
    </row>
    <row r="50" spans="1:63" ht="15" customHeight="1">
      <c r="A50" s="118"/>
      <c r="B50" s="165"/>
      <c r="C50" s="166"/>
      <c r="D50" s="167"/>
      <c r="E50" s="167"/>
      <c r="F50" s="167"/>
      <c r="G50" s="167"/>
      <c r="H50" s="168" t="str">
        <f t="shared" si="13"/>
        <v/>
      </c>
      <c r="I50" s="168"/>
      <c r="J50" s="131"/>
      <c r="K50" s="167"/>
      <c r="L50" s="167"/>
      <c r="M50" s="167"/>
      <c r="N50" s="167"/>
      <c r="O50" s="167"/>
      <c r="P50" s="136" t="str">
        <f t="shared" si="11"/>
        <v>_Inspection Log.xlsm</v>
      </c>
      <c r="Q50" s="140" t="str">
        <f t="shared" si="12"/>
        <v>C:\Users\sabi_\OneDrive\Desktop\New folder\Coding logs\_Inspection Log.xlsm</v>
      </c>
      <c r="R50" s="141">
        <f t="array" ref="R50">SUM(IF($J$30:$J$194=IF(J50="","Blank",J50),1,0))</f>
        <v>0</v>
      </c>
      <c r="S50" s="141">
        <f t="shared" si="3"/>
        <v>0</v>
      </c>
      <c r="T50" s="141" t="str">
        <f t="shared" si="4"/>
        <v/>
      </c>
      <c r="U50" s="142">
        <f t="shared" si="5"/>
        <v>0</v>
      </c>
      <c r="V50" s="142">
        <f t="shared" si="6"/>
        <v>0</v>
      </c>
      <c r="W50" s="142">
        <f t="array" ref="W50">SUM(IF(LEN(J48:J212)&lt;=3,0,1))</f>
        <v>0</v>
      </c>
      <c r="X50" s="141" t="str">
        <f t="shared" si="7"/>
        <v>_Inspection Log</v>
      </c>
      <c r="Y50" s="142">
        <f t="shared" si="8"/>
        <v>0</v>
      </c>
      <c r="Z50" s="142" t="str">
        <f t="shared" si="9"/>
        <v/>
      </c>
      <c r="AA50" s="142">
        <f t="shared" si="10"/>
        <v>0</v>
      </c>
      <c r="AB50" s="142"/>
      <c r="AC50" s="142"/>
      <c r="AD50" s="142"/>
      <c r="AE50" s="142"/>
      <c r="AF50" s="142"/>
      <c r="AG50" s="142"/>
      <c r="AH50" s="142"/>
      <c r="AI50" s="142"/>
      <c r="AJ50" s="150"/>
      <c r="AK50" s="118"/>
      <c r="AL50" s="118"/>
      <c r="AM50" s="118"/>
      <c r="AN50" s="118"/>
      <c r="AO50" s="118"/>
      <c r="AP50" s="118"/>
      <c r="AQ50" s="121"/>
      <c r="AR50" s="121"/>
      <c r="AS50" s="121"/>
      <c r="AT50" s="121"/>
      <c r="AU50" s="121"/>
      <c r="AV50" s="121"/>
      <c r="AW50" s="121"/>
      <c r="AX50" s="121"/>
      <c r="AY50" s="121"/>
      <c r="AZ50" s="121"/>
      <c r="BA50" s="121"/>
      <c r="BB50" s="121"/>
      <c r="BC50" s="121"/>
      <c r="BD50" s="121"/>
      <c r="BE50" s="121"/>
      <c r="BF50" s="121"/>
      <c r="BG50" s="121"/>
      <c r="BH50" s="121"/>
      <c r="BI50" s="121"/>
      <c r="BJ50" s="121"/>
      <c r="BK50" s="121"/>
    </row>
    <row r="51" spans="1:63" ht="15" customHeight="1">
      <c r="A51" s="118"/>
      <c r="B51" s="165"/>
      <c r="C51" s="166"/>
      <c r="D51" s="167"/>
      <c r="E51" s="167"/>
      <c r="F51" s="167"/>
      <c r="G51" s="167"/>
      <c r="H51" s="168" t="str">
        <f t="shared" si="13"/>
        <v/>
      </c>
      <c r="I51" s="168"/>
      <c r="J51" s="131"/>
      <c r="K51" s="167"/>
      <c r="L51" s="167"/>
      <c r="M51" s="167"/>
      <c r="N51" s="167"/>
      <c r="O51" s="167"/>
      <c r="P51" s="136" t="str">
        <f t="shared" si="11"/>
        <v>_Inspection Log.xlsm</v>
      </c>
      <c r="Q51" s="140" t="str">
        <f t="shared" si="12"/>
        <v>C:\Users\sabi_\OneDrive\Desktop\New folder\Coding logs\_Inspection Log.xlsm</v>
      </c>
      <c r="R51" s="141">
        <f t="array" ref="R51">SUM(IF($J$30:$J$194=IF(J51="","Blank",J51),1,0))</f>
        <v>0</v>
      </c>
      <c r="S51" s="141">
        <f t="shared" si="3"/>
        <v>0</v>
      </c>
      <c r="T51" s="141" t="str">
        <f t="shared" si="4"/>
        <v/>
      </c>
      <c r="U51" s="142">
        <f t="shared" si="5"/>
        <v>0</v>
      </c>
      <c r="V51" s="142">
        <f t="shared" si="6"/>
        <v>0</v>
      </c>
      <c r="W51" s="142">
        <f t="array" ref="W51">SUM(IF(LEN(J49:J213)&lt;=3,0,1))</f>
        <v>0</v>
      </c>
      <c r="X51" s="141" t="str">
        <f t="shared" si="7"/>
        <v>_Inspection Log</v>
      </c>
      <c r="Y51" s="142">
        <f t="shared" si="8"/>
        <v>0</v>
      </c>
      <c r="Z51" s="142" t="str">
        <f t="shared" si="9"/>
        <v/>
      </c>
      <c r="AA51" s="142">
        <f t="shared" si="10"/>
        <v>0</v>
      </c>
      <c r="AB51" s="142"/>
      <c r="AC51" s="142"/>
      <c r="AD51" s="142"/>
      <c r="AE51" s="142"/>
      <c r="AF51" s="142"/>
      <c r="AG51" s="142"/>
      <c r="AH51" s="142"/>
      <c r="AI51" s="142"/>
      <c r="AJ51" s="150"/>
      <c r="AK51" s="118"/>
      <c r="AL51" s="118"/>
      <c r="AM51" s="118"/>
      <c r="AN51" s="118"/>
      <c r="AO51" s="118"/>
      <c r="AP51" s="118"/>
      <c r="AQ51" s="121"/>
      <c r="AR51" s="121"/>
      <c r="AS51" s="121"/>
      <c r="AT51" s="121"/>
      <c r="AU51" s="121"/>
      <c r="AV51" s="121"/>
      <c r="AW51" s="121"/>
      <c r="AX51" s="121"/>
      <c r="AY51" s="121"/>
      <c r="AZ51" s="121"/>
      <c r="BA51" s="121"/>
      <c r="BB51" s="121"/>
      <c r="BC51" s="121"/>
      <c r="BD51" s="121"/>
      <c r="BE51" s="121"/>
      <c r="BF51" s="121"/>
      <c r="BG51" s="121"/>
      <c r="BH51" s="121"/>
      <c r="BI51" s="121"/>
      <c r="BJ51" s="121"/>
      <c r="BK51" s="121"/>
    </row>
    <row r="52" spans="1:63" ht="15" customHeight="1">
      <c r="A52" s="118"/>
      <c r="B52" s="165"/>
      <c r="C52" s="166"/>
      <c r="D52" s="167"/>
      <c r="E52" s="167"/>
      <c r="F52" s="167"/>
      <c r="G52" s="167"/>
      <c r="H52" s="168" t="str">
        <f t="shared" si="13"/>
        <v/>
      </c>
      <c r="I52" s="168"/>
      <c r="J52" s="131"/>
      <c r="K52" s="167"/>
      <c r="L52" s="167"/>
      <c r="M52" s="167"/>
      <c r="N52" s="167"/>
      <c r="O52" s="167"/>
      <c r="P52" s="136" t="str">
        <f t="shared" si="11"/>
        <v>_Inspection Log.xlsm</v>
      </c>
      <c r="Q52" s="140" t="str">
        <f t="shared" si="12"/>
        <v>C:\Users\sabi_\OneDrive\Desktop\New folder\Coding logs\_Inspection Log.xlsm</v>
      </c>
      <c r="R52" s="141">
        <f t="array" ref="R52">SUM(IF($J$30:$J$194=IF(J52="","Blank",J52),1,0))</f>
        <v>0</v>
      </c>
      <c r="S52" s="141">
        <f t="shared" si="3"/>
        <v>0</v>
      </c>
      <c r="T52" s="141" t="str">
        <f t="shared" si="4"/>
        <v/>
      </c>
      <c r="U52" s="142">
        <f t="shared" si="5"/>
        <v>0</v>
      </c>
      <c r="V52" s="142">
        <f t="shared" si="6"/>
        <v>0</v>
      </c>
      <c r="W52" s="142">
        <f t="array" ref="W52">SUM(IF(LEN(J50:J214)&lt;=3,0,1))</f>
        <v>0</v>
      </c>
      <c r="X52" s="141" t="str">
        <f t="shared" si="7"/>
        <v>_Inspection Log</v>
      </c>
      <c r="Y52" s="142">
        <f t="shared" si="8"/>
        <v>0</v>
      </c>
      <c r="Z52" s="142" t="str">
        <f t="shared" si="9"/>
        <v/>
      </c>
      <c r="AA52" s="142">
        <f t="shared" si="10"/>
        <v>0</v>
      </c>
      <c r="AB52" s="142"/>
      <c r="AC52" s="142"/>
      <c r="AD52" s="142"/>
      <c r="AE52" s="142"/>
      <c r="AF52" s="142"/>
      <c r="AG52" s="142"/>
      <c r="AH52" s="142"/>
      <c r="AI52" s="142"/>
      <c r="AJ52" s="150"/>
      <c r="AK52" s="118"/>
      <c r="AL52" s="118"/>
      <c r="AM52" s="118"/>
      <c r="AN52" s="118"/>
      <c r="AO52" s="118"/>
      <c r="AP52" s="118"/>
      <c r="AQ52" s="121"/>
      <c r="AR52" s="121"/>
      <c r="AS52" s="121"/>
      <c r="AT52" s="121"/>
      <c r="AU52" s="121"/>
      <c r="AV52" s="121"/>
      <c r="AW52" s="121"/>
      <c r="AX52" s="121"/>
      <c r="AY52" s="121"/>
      <c r="AZ52" s="121"/>
      <c r="BA52" s="121"/>
      <c r="BB52" s="121"/>
      <c r="BC52" s="121"/>
      <c r="BD52" s="121"/>
      <c r="BE52" s="121"/>
      <c r="BF52" s="121"/>
      <c r="BG52" s="121"/>
      <c r="BH52" s="121"/>
      <c r="BI52" s="121"/>
      <c r="BJ52" s="121"/>
      <c r="BK52" s="121"/>
    </row>
    <row r="53" spans="1:63" ht="15" customHeight="1">
      <c r="A53" s="118"/>
      <c r="B53" s="165"/>
      <c r="C53" s="166"/>
      <c r="D53" s="167"/>
      <c r="E53" s="167"/>
      <c r="F53" s="167"/>
      <c r="G53" s="167"/>
      <c r="H53" s="168" t="str">
        <f t="shared" si="13"/>
        <v/>
      </c>
      <c r="I53" s="168"/>
      <c r="J53" s="131"/>
      <c r="K53" s="167"/>
      <c r="L53" s="167"/>
      <c r="M53" s="167"/>
      <c r="N53" s="167"/>
      <c r="O53" s="167"/>
      <c r="P53" s="136" t="str">
        <f t="shared" si="11"/>
        <v>_Inspection Log.xlsm</v>
      </c>
      <c r="Q53" s="140" t="str">
        <f t="shared" si="12"/>
        <v>C:\Users\sabi_\OneDrive\Desktop\New folder\Coding logs\_Inspection Log.xlsm</v>
      </c>
      <c r="R53" s="141">
        <f t="array" ref="R53">SUM(IF($J$30:$J$194=IF(J53="","Blank",J53),1,0))</f>
        <v>0</v>
      </c>
      <c r="S53" s="141">
        <f t="shared" si="3"/>
        <v>0</v>
      </c>
      <c r="T53" s="141" t="str">
        <f t="shared" si="4"/>
        <v/>
      </c>
      <c r="U53" s="142">
        <f t="shared" si="5"/>
        <v>0</v>
      </c>
      <c r="V53" s="142">
        <f t="shared" si="6"/>
        <v>0</v>
      </c>
      <c r="W53" s="142">
        <f t="array" ref="W53">SUM(IF(LEN(J51:J215)&lt;=3,0,1))</f>
        <v>0</v>
      </c>
      <c r="X53" s="141" t="str">
        <f t="shared" si="7"/>
        <v>_Inspection Log</v>
      </c>
      <c r="Y53" s="142">
        <f t="shared" si="8"/>
        <v>0</v>
      </c>
      <c r="Z53" s="142" t="str">
        <f t="shared" si="9"/>
        <v/>
      </c>
      <c r="AA53" s="142">
        <f t="shared" si="10"/>
        <v>0</v>
      </c>
      <c r="AB53" s="142"/>
      <c r="AC53" s="142"/>
      <c r="AD53" s="142"/>
      <c r="AE53" s="142"/>
      <c r="AF53" s="142"/>
      <c r="AG53" s="142"/>
      <c r="AH53" s="142"/>
      <c r="AI53" s="142"/>
      <c r="AJ53" s="150"/>
      <c r="AK53" s="118"/>
      <c r="AL53" s="118"/>
      <c r="AM53" s="118"/>
      <c r="AN53" s="118"/>
      <c r="AO53" s="118"/>
      <c r="AP53" s="118"/>
      <c r="AQ53" s="121"/>
      <c r="AR53" s="121"/>
      <c r="AS53" s="121"/>
      <c r="AT53" s="121"/>
      <c r="AU53" s="121"/>
      <c r="AV53" s="121"/>
      <c r="AW53" s="121"/>
      <c r="AX53" s="121"/>
      <c r="AY53" s="121"/>
      <c r="AZ53" s="121"/>
      <c r="BA53" s="121"/>
      <c r="BB53" s="121"/>
      <c r="BC53" s="121"/>
      <c r="BD53" s="121"/>
      <c r="BE53" s="121"/>
      <c r="BF53" s="121"/>
      <c r="BG53" s="121"/>
      <c r="BH53" s="121"/>
      <c r="BI53" s="121"/>
      <c r="BJ53" s="121"/>
      <c r="BK53" s="121"/>
    </row>
    <row r="54" spans="1:63" ht="15" customHeight="1">
      <c r="A54" s="118"/>
      <c r="B54" s="165"/>
      <c r="C54" s="166"/>
      <c r="D54" s="167"/>
      <c r="E54" s="167"/>
      <c r="F54" s="167"/>
      <c r="G54" s="167"/>
      <c r="H54" s="168" t="str">
        <f t="shared" si="13"/>
        <v/>
      </c>
      <c r="I54" s="168"/>
      <c r="J54" s="131"/>
      <c r="K54" s="167"/>
      <c r="L54" s="167"/>
      <c r="M54" s="167"/>
      <c r="N54" s="167"/>
      <c r="O54" s="167"/>
      <c r="P54" s="136" t="str">
        <f t="shared" si="11"/>
        <v>_Inspection Log.xlsm</v>
      </c>
      <c r="Q54" s="140" t="str">
        <f t="shared" si="12"/>
        <v>C:\Users\sabi_\OneDrive\Desktop\New folder\Coding logs\_Inspection Log.xlsm</v>
      </c>
      <c r="R54" s="141">
        <f t="array" ref="R54">SUM(IF($J$30:$J$194=IF(J54="","Blank",J54),1,0))</f>
        <v>0</v>
      </c>
      <c r="S54" s="141">
        <f t="shared" si="3"/>
        <v>0</v>
      </c>
      <c r="T54" s="141" t="str">
        <f t="shared" si="4"/>
        <v/>
      </c>
      <c r="U54" s="142">
        <f t="shared" si="5"/>
        <v>0</v>
      </c>
      <c r="V54" s="142">
        <f t="shared" si="6"/>
        <v>0</v>
      </c>
      <c r="W54" s="142">
        <f t="array" ref="W54">SUM(IF(LEN(J52:J216)&lt;=3,0,1))</f>
        <v>0</v>
      </c>
      <c r="X54" s="141" t="str">
        <f t="shared" si="7"/>
        <v>_Inspection Log</v>
      </c>
      <c r="Y54" s="142">
        <f t="shared" si="8"/>
        <v>0</v>
      </c>
      <c r="Z54" s="142" t="str">
        <f t="shared" si="9"/>
        <v/>
      </c>
      <c r="AA54" s="142">
        <f t="shared" si="10"/>
        <v>0</v>
      </c>
      <c r="AB54" s="142"/>
      <c r="AC54" s="142"/>
      <c r="AD54" s="142"/>
      <c r="AE54" s="142"/>
      <c r="AF54" s="142"/>
      <c r="AG54" s="142"/>
      <c r="AH54" s="142"/>
      <c r="AI54" s="142"/>
      <c r="AJ54" s="150"/>
      <c r="AK54" s="118"/>
      <c r="AL54" s="118"/>
      <c r="AM54" s="118"/>
      <c r="AN54" s="118"/>
      <c r="AO54" s="118"/>
      <c r="AP54" s="118"/>
      <c r="AQ54" s="121"/>
      <c r="AR54" s="121"/>
      <c r="AS54" s="121"/>
      <c r="AT54" s="121"/>
      <c r="AU54" s="121"/>
      <c r="AV54" s="121"/>
      <c r="AW54" s="121"/>
      <c r="AX54" s="121"/>
      <c r="AY54" s="121"/>
      <c r="AZ54" s="121"/>
      <c r="BA54" s="121"/>
      <c r="BB54" s="121"/>
      <c r="BC54" s="121"/>
      <c r="BD54" s="121"/>
      <c r="BE54" s="121"/>
      <c r="BF54" s="121"/>
      <c r="BG54" s="121"/>
      <c r="BH54" s="121"/>
      <c r="BI54" s="121"/>
      <c r="BJ54" s="121"/>
      <c r="BK54" s="121"/>
    </row>
    <row r="55" spans="1:63" ht="15" customHeight="1">
      <c r="A55" s="118"/>
      <c r="B55" s="165"/>
      <c r="C55" s="166"/>
      <c r="D55" s="167"/>
      <c r="E55" s="167"/>
      <c r="F55" s="167"/>
      <c r="G55" s="167"/>
      <c r="H55" s="168" t="str">
        <f t="shared" si="13"/>
        <v/>
      </c>
      <c r="I55" s="168"/>
      <c r="J55" s="131"/>
      <c r="K55" s="167"/>
      <c r="L55" s="167"/>
      <c r="M55" s="167"/>
      <c r="N55" s="167"/>
      <c r="O55" s="167"/>
      <c r="P55" s="136" t="str">
        <f t="shared" si="11"/>
        <v>_Inspection Log.xlsm</v>
      </c>
      <c r="Q55" s="140" t="str">
        <f t="shared" si="12"/>
        <v>C:\Users\sabi_\OneDrive\Desktop\New folder\Coding logs\_Inspection Log.xlsm</v>
      </c>
      <c r="R55" s="141">
        <f t="array" ref="R55">SUM(IF($J$30:$J$194=IF(J55="","Blank",J55),1,0))</f>
        <v>0</v>
      </c>
      <c r="S55" s="141">
        <f t="shared" si="3"/>
        <v>0</v>
      </c>
      <c r="T55" s="141" t="str">
        <f t="shared" si="4"/>
        <v/>
      </c>
      <c r="U55" s="142">
        <f t="shared" si="5"/>
        <v>0</v>
      </c>
      <c r="V55" s="142">
        <f t="shared" si="6"/>
        <v>0</v>
      </c>
      <c r="W55" s="142">
        <f t="array" ref="W55">SUM(IF(LEN(J53:J217)&lt;=3,0,1))</f>
        <v>0</v>
      </c>
      <c r="X55" s="141" t="str">
        <f t="shared" si="7"/>
        <v>_Inspection Log</v>
      </c>
      <c r="Y55" s="142">
        <f t="shared" si="8"/>
        <v>0</v>
      </c>
      <c r="Z55" s="142" t="str">
        <f t="shared" si="9"/>
        <v/>
      </c>
      <c r="AA55" s="142">
        <f t="shared" si="10"/>
        <v>0</v>
      </c>
      <c r="AB55" s="142"/>
      <c r="AC55" s="142"/>
      <c r="AD55" s="142"/>
      <c r="AE55" s="142"/>
      <c r="AF55" s="142"/>
      <c r="AG55" s="142"/>
      <c r="AH55" s="142"/>
      <c r="AI55" s="142"/>
      <c r="AJ55" s="150"/>
      <c r="AK55" s="118"/>
      <c r="AL55" s="118"/>
      <c r="AM55" s="118"/>
      <c r="AN55" s="118"/>
      <c r="AO55" s="118"/>
      <c r="AP55" s="118"/>
      <c r="AQ55" s="121"/>
      <c r="AR55" s="121"/>
      <c r="AS55" s="121"/>
      <c r="AT55" s="121"/>
      <c r="AU55" s="121"/>
      <c r="AV55" s="121"/>
      <c r="AW55" s="121"/>
      <c r="AX55" s="121"/>
      <c r="AY55" s="121"/>
      <c r="AZ55" s="121"/>
      <c r="BA55" s="121"/>
      <c r="BB55" s="121"/>
      <c r="BC55" s="121"/>
      <c r="BD55" s="121"/>
      <c r="BE55" s="121"/>
      <c r="BF55" s="121"/>
      <c r="BG55" s="121"/>
      <c r="BH55" s="121"/>
      <c r="BI55" s="121"/>
      <c r="BJ55" s="121"/>
      <c r="BK55" s="121"/>
    </row>
    <row r="56" spans="1:63" ht="15" customHeight="1">
      <c r="A56" s="118"/>
      <c r="B56" s="165"/>
      <c r="C56" s="166"/>
      <c r="D56" s="167"/>
      <c r="E56" s="167"/>
      <c r="F56" s="167"/>
      <c r="G56" s="167"/>
      <c r="H56" s="168" t="str">
        <f t="shared" si="13"/>
        <v/>
      </c>
      <c r="I56" s="168"/>
      <c r="J56" s="131"/>
      <c r="K56" s="167"/>
      <c r="L56" s="167"/>
      <c r="M56" s="167"/>
      <c r="N56" s="167"/>
      <c r="O56" s="167"/>
      <c r="P56" s="136" t="str">
        <f t="shared" si="11"/>
        <v>_Inspection Log.xlsm</v>
      </c>
      <c r="Q56" s="140" t="str">
        <f t="shared" si="12"/>
        <v>C:\Users\sabi_\OneDrive\Desktop\New folder\Coding logs\_Inspection Log.xlsm</v>
      </c>
      <c r="R56" s="141">
        <f t="array" ref="R56">SUM(IF($J$30:$J$194=IF(J56="","Blank",J56),1,0))</f>
        <v>0</v>
      </c>
      <c r="S56" s="141">
        <f t="shared" si="3"/>
        <v>0</v>
      </c>
      <c r="T56" s="141" t="str">
        <f t="shared" si="4"/>
        <v/>
      </c>
      <c r="U56" s="142">
        <f t="shared" si="5"/>
        <v>0</v>
      </c>
      <c r="V56" s="142">
        <f t="shared" si="6"/>
        <v>0</v>
      </c>
      <c r="W56" s="142">
        <f t="array" ref="W56">SUM(IF(LEN(J54:J218)&lt;=3,0,1))</f>
        <v>0</v>
      </c>
      <c r="X56" s="141" t="str">
        <f t="shared" si="7"/>
        <v>_Inspection Log</v>
      </c>
      <c r="Y56" s="142">
        <f t="shared" si="8"/>
        <v>0</v>
      </c>
      <c r="Z56" s="142" t="str">
        <f t="shared" si="9"/>
        <v/>
      </c>
      <c r="AA56" s="142">
        <f t="shared" si="10"/>
        <v>0</v>
      </c>
      <c r="AB56" s="142"/>
      <c r="AC56" s="142"/>
      <c r="AD56" s="142"/>
      <c r="AE56" s="142"/>
      <c r="AF56" s="142"/>
      <c r="AG56" s="142"/>
      <c r="AH56" s="142"/>
      <c r="AI56" s="142"/>
      <c r="AJ56" s="150"/>
      <c r="AK56" s="118"/>
      <c r="AL56" s="118"/>
      <c r="AM56" s="118"/>
      <c r="AN56" s="118"/>
      <c r="AO56" s="118"/>
      <c r="AP56" s="118"/>
      <c r="AQ56" s="121"/>
      <c r="AR56" s="121"/>
      <c r="AS56" s="121"/>
      <c r="AT56" s="121"/>
      <c r="AU56" s="121"/>
      <c r="AV56" s="121"/>
      <c r="AW56" s="121"/>
      <c r="AX56" s="121"/>
      <c r="AY56" s="121"/>
      <c r="AZ56" s="121"/>
      <c r="BA56" s="121"/>
      <c r="BB56" s="121"/>
      <c r="BC56" s="121"/>
      <c r="BD56" s="121"/>
      <c r="BE56" s="121"/>
      <c r="BF56" s="121"/>
      <c r="BG56" s="121"/>
      <c r="BH56" s="121"/>
      <c r="BI56" s="121"/>
      <c r="BJ56" s="121"/>
      <c r="BK56" s="121"/>
    </row>
    <row r="57" spans="1:63" ht="15" customHeight="1">
      <c r="A57" s="118"/>
      <c r="B57" s="165"/>
      <c r="C57" s="166"/>
      <c r="D57" s="167"/>
      <c r="E57" s="167"/>
      <c r="F57" s="167"/>
      <c r="G57" s="167"/>
      <c r="H57" s="168" t="str">
        <f t="shared" si="13"/>
        <v/>
      </c>
      <c r="I57" s="168"/>
      <c r="J57" s="131"/>
      <c r="K57" s="167"/>
      <c r="L57" s="167"/>
      <c r="M57" s="167"/>
      <c r="N57" s="167"/>
      <c r="O57" s="167"/>
      <c r="P57" s="136" t="str">
        <f t="shared" si="11"/>
        <v>_Inspection Log.xlsm</v>
      </c>
      <c r="Q57" s="140" t="str">
        <f t="shared" si="12"/>
        <v>C:\Users\sabi_\OneDrive\Desktop\New folder\Coding logs\_Inspection Log.xlsm</v>
      </c>
      <c r="R57" s="141">
        <f t="array" ref="R57">SUM(IF($J$30:$J$194=IF(J57="","Blank",J57),1,0))</f>
        <v>0</v>
      </c>
      <c r="S57" s="141">
        <f t="shared" si="3"/>
        <v>0</v>
      </c>
      <c r="T57" s="141" t="str">
        <f t="shared" si="4"/>
        <v/>
      </c>
      <c r="U57" s="142">
        <f t="shared" si="5"/>
        <v>0</v>
      </c>
      <c r="V57" s="142">
        <f t="shared" si="6"/>
        <v>0</v>
      </c>
      <c r="W57" s="142">
        <f t="array" ref="W57">SUM(IF(LEN(J55:J219)&lt;=3,0,1))</f>
        <v>0</v>
      </c>
      <c r="X57" s="141" t="str">
        <f t="shared" si="7"/>
        <v>_Inspection Log</v>
      </c>
      <c r="Y57" s="142">
        <f t="shared" si="8"/>
        <v>0</v>
      </c>
      <c r="Z57" s="142" t="str">
        <f t="shared" si="9"/>
        <v/>
      </c>
      <c r="AA57" s="142">
        <f t="shared" si="10"/>
        <v>0</v>
      </c>
      <c r="AB57" s="142"/>
      <c r="AC57" s="142"/>
      <c r="AD57" s="142"/>
      <c r="AE57" s="142"/>
      <c r="AF57" s="142"/>
      <c r="AG57" s="142"/>
      <c r="AH57" s="142"/>
      <c r="AI57" s="142"/>
      <c r="AJ57" s="150"/>
      <c r="AK57" s="118"/>
      <c r="AL57" s="118"/>
      <c r="AM57" s="118"/>
      <c r="AN57" s="118"/>
      <c r="AO57" s="118"/>
      <c r="AP57" s="118"/>
      <c r="AQ57" s="121"/>
      <c r="AR57" s="121"/>
      <c r="AS57" s="121"/>
      <c r="AT57" s="121"/>
      <c r="AU57" s="121"/>
      <c r="AV57" s="121"/>
      <c r="AW57" s="121"/>
      <c r="AX57" s="121"/>
      <c r="AY57" s="121"/>
      <c r="AZ57" s="121"/>
      <c r="BA57" s="121"/>
      <c r="BB57" s="121"/>
      <c r="BC57" s="121"/>
      <c r="BD57" s="121"/>
      <c r="BE57" s="121"/>
      <c r="BF57" s="121"/>
      <c r="BG57" s="121"/>
      <c r="BH57" s="121"/>
      <c r="BI57" s="121"/>
      <c r="BJ57" s="121"/>
      <c r="BK57" s="121"/>
    </row>
    <row r="58" spans="1:63" ht="15" customHeight="1">
      <c r="A58" s="118"/>
      <c r="B58" s="165"/>
      <c r="C58" s="166"/>
      <c r="D58" s="167"/>
      <c r="E58" s="167"/>
      <c r="F58" s="167"/>
      <c r="G58" s="167"/>
      <c r="H58" s="168" t="str">
        <f t="shared" si="13"/>
        <v/>
      </c>
      <c r="I58" s="168"/>
      <c r="J58" s="131"/>
      <c r="K58" s="167"/>
      <c r="L58" s="167"/>
      <c r="M58" s="167"/>
      <c r="N58" s="167"/>
      <c r="O58" s="167"/>
      <c r="P58" s="136" t="str">
        <f t="shared" si="11"/>
        <v>_Inspection Log.xlsm</v>
      </c>
      <c r="Q58" s="140" t="str">
        <f t="shared" si="12"/>
        <v>C:\Users\sabi_\OneDrive\Desktop\New folder\Coding logs\_Inspection Log.xlsm</v>
      </c>
      <c r="R58" s="141">
        <f t="array" ref="R58">SUM(IF($J$30:$J$194=IF(J58="","Blank",J58),1,0))</f>
        <v>0</v>
      </c>
      <c r="S58" s="141">
        <f t="shared" si="3"/>
        <v>0</v>
      </c>
      <c r="T58" s="141" t="str">
        <f t="shared" si="4"/>
        <v/>
      </c>
      <c r="U58" s="142">
        <f t="shared" si="5"/>
        <v>0</v>
      </c>
      <c r="V58" s="142">
        <f t="shared" si="6"/>
        <v>0</v>
      </c>
      <c r="W58" s="142">
        <f t="array" ref="W58">SUM(IF(LEN(J56:J220)&lt;=3,0,1))</f>
        <v>0</v>
      </c>
      <c r="X58" s="141" t="str">
        <f t="shared" si="7"/>
        <v>_Inspection Log</v>
      </c>
      <c r="Y58" s="142">
        <f t="shared" si="8"/>
        <v>0</v>
      </c>
      <c r="Z58" s="142" t="str">
        <f t="shared" si="9"/>
        <v/>
      </c>
      <c r="AA58" s="142">
        <f t="shared" si="10"/>
        <v>0</v>
      </c>
      <c r="AB58" s="142"/>
      <c r="AC58" s="142"/>
      <c r="AD58" s="142"/>
      <c r="AE58" s="142"/>
      <c r="AF58" s="142"/>
      <c r="AG58" s="142"/>
      <c r="AH58" s="142"/>
      <c r="AI58" s="142"/>
      <c r="AJ58" s="150"/>
      <c r="AK58" s="118"/>
      <c r="AL58" s="118"/>
      <c r="AM58" s="118"/>
      <c r="AN58" s="118"/>
      <c r="AO58" s="118"/>
      <c r="AP58" s="118"/>
      <c r="AQ58" s="121"/>
      <c r="AR58" s="121"/>
      <c r="AS58" s="121"/>
      <c r="AT58" s="121"/>
      <c r="AU58" s="121"/>
      <c r="AV58" s="121"/>
      <c r="AW58" s="121"/>
      <c r="AX58" s="121"/>
      <c r="AY58" s="121"/>
      <c r="AZ58" s="121"/>
      <c r="BA58" s="121"/>
      <c r="BB58" s="121"/>
      <c r="BC58" s="121"/>
      <c r="BD58" s="121"/>
      <c r="BE58" s="121"/>
      <c r="BF58" s="121"/>
      <c r="BG58" s="121"/>
      <c r="BH58" s="121"/>
      <c r="BI58" s="121"/>
      <c r="BJ58" s="121"/>
      <c r="BK58" s="121"/>
    </row>
    <row r="59" spans="1:63" ht="15" customHeight="1">
      <c r="A59" s="118"/>
      <c r="B59" s="165"/>
      <c r="C59" s="166"/>
      <c r="D59" s="167"/>
      <c r="E59" s="167"/>
      <c r="F59" s="167"/>
      <c r="G59" s="167"/>
      <c r="H59" s="168" t="str">
        <f t="shared" si="13"/>
        <v/>
      </c>
      <c r="I59" s="168"/>
      <c r="J59" s="131"/>
      <c r="K59" s="167"/>
      <c r="L59" s="167"/>
      <c r="M59" s="167"/>
      <c r="N59" s="167"/>
      <c r="O59" s="167"/>
      <c r="P59" s="136" t="str">
        <f t="shared" si="11"/>
        <v>_Inspection Log.xlsm</v>
      </c>
      <c r="Q59" s="140" t="str">
        <f t="shared" si="12"/>
        <v>C:\Users\sabi_\OneDrive\Desktop\New folder\Coding logs\_Inspection Log.xlsm</v>
      </c>
      <c r="R59" s="141">
        <f t="array" ref="R59">SUM(IF($J$30:$J$194=IF(J59="","Blank",J59),1,0))</f>
        <v>0</v>
      </c>
      <c r="S59" s="141">
        <f t="shared" si="3"/>
        <v>0</v>
      </c>
      <c r="T59" s="141" t="str">
        <f t="shared" si="4"/>
        <v/>
      </c>
      <c r="U59" s="142">
        <f t="shared" si="5"/>
        <v>0</v>
      </c>
      <c r="V59" s="142">
        <f t="shared" si="6"/>
        <v>0</v>
      </c>
      <c r="W59" s="142">
        <f t="array" ref="W59">SUM(IF(LEN(J57:J221)&lt;=3,0,1))</f>
        <v>0</v>
      </c>
      <c r="X59" s="141" t="str">
        <f t="shared" si="7"/>
        <v>_Inspection Log</v>
      </c>
      <c r="Y59" s="142">
        <f t="shared" si="8"/>
        <v>0</v>
      </c>
      <c r="Z59" s="142" t="str">
        <f t="shared" si="9"/>
        <v/>
      </c>
      <c r="AA59" s="142">
        <f t="shared" si="10"/>
        <v>0</v>
      </c>
      <c r="AB59" s="142"/>
      <c r="AC59" s="142"/>
      <c r="AD59" s="142"/>
      <c r="AE59" s="142"/>
      <c r="AF59" s="142"/>
      <c r="AG59" s="142"/>
      <c r="AH59" s="142"/>
      <c r="AI59" s="142"/>
      <c r="AJ59" s="150"/>
      <c r="AK59" s="118"/>
      <c r="AL59" s="118"/>
      <c r="AM59" s="118"/>
      <c r="AN59" s="118"/>
      <c r="AO59" s="118"/>
      <c r="AP59" s="118"/>
      <c r="AQ59" s="121"/>
      <c r="AR59" s="121"/>
      <c r="AS59" s="121"/>
      <c r="AT59" s="121"/>
      <c r="AU59" s="121"/>
      <c r="AV59" s="121"/>
      <c r="AW59" s="121"/>
      <c r="AX59" s="121"/>
      <c r="AY59" s="121"/>
      <c r="AZ59" s="121"/>
      <c r="BA59" s="121"/>
      <c r="BB59" s="121"/>
      <c r="BC59" s="121"/>
      <c r="BD59" s="121"/>
      <c r="BE59" s="121"/>
      <c r="BF59" s="121"/>
      <c r="BG59" s="121"/>
      <c r="BH59" s="121"/>
      <c r="BI59" s="121"/>
      <c r="BJ59" s="121"/>
      <c r="BK59" s="121"/>
    </row>
    <row r="60" spans="1:63" ht="15" customHeight="1">
      <c r="A60" s="118"/>
      <c r="B60" s="165"/>
      <c r="C60" s="166"/>
      <c r="D60" s="167"/>
      <c r="E60" s="167"/>
      <c r="F60" s="167"/>
      <c r="G60" s="167"/>
      <c r="H60" s="168" t="str">
        <f t="shared" ref="H60:H123" si="14">IF(J60="","",J60)</f>
        <v/>
      </c>
      <c r="I60" s="168"/>
      <c r="J60" s="131"/>
      <c r="K60" s="167"/>
      <c r="L60" s="167"/>
      <c r="M60" s="167"/>
      <c r="N60" s="167"/>
      <c r="O60" s="167"/>
      <c r="P60" s="136" t="str">
        <f t="shared" si="11"/>
        <v>_Inspection Log.xlsm</v>
      </c>
      <c r="Q60" s="140" t="str">
        <f t="shared" si="12"/>
        <v>C:\Users\sabi_\OneDrive\Desktop\New folder\Coding logs\_Inspection Log.xlsm</v>
      </c>
      <c r="R60" s="141">
        <f t="array" ref="R60">SUM(IF($J$30:$J$194=IF(J60="","Blank",J60),1,0))</f>
        <v>0</v>
      </c>
      <c r="S60" s="141">
        <f t="shared" si="3"/>
        <v>0</v>
      </c>
      <c r="T60" s="141" t="str">
        <f t="shared" si="4"/>
        <v/>
      </c>
      <c r="U60" s="142">
        <f t="shared" si="5"/>
        <v>0</v>
      </c>
      <c r="V60" s="142">
        <f t="shared" si="6"/>
        <v>0</v>
      </c>
      <c r="W60" s="142">
        <f t="array" ref="W60">SUM(IF(LEN(J58:J222)&lt;=3,0,1))</f>
        <v>0</v>
      </c>
      <c r="X60" s="141" t="str">
        <f t="shared" si="7"/>
        <v>_Inspection Log</v>
      </c>
      <c r="Y60" s="142">
        <f t="shared" si="8"/>
        <v>0</v>
      </c>
      <c r="Z60" s="142" t="str">
        <f t="shared" si="9"/>
        <v/>
      </c>
      <c r="AA60" s="142">
        <f t="shared" si="10"/>
        <v>0</v>
      </c>
      <c r="AB60" s="142"/>
      <c r="AC60" s="142"/>
      <c r="AD60" s="142"/>
      <c r="AE60" s="142"/>
      <c r="AF60" s="142"/>
      <c r="AG60" s="142"/>
      <c r="AH60" s="142"/>
      <c r="AI60" s="142"/>
      <c r="AJ60" s="150"/>
      <c r="AK60" s="118"/>
      <c r="AL60" s="118"/>
      <c r="AM60" s="118"/>
      <c r="AN60" s="118"/>
      <c r="AO60" s="118"/>
      <c r="AP60" s="118"/>
      <c r="AQ60" s="121"/>
      <c r="AR60" s="121"/>
      <c r="AS60" s="121"/>
      <c r="AT60" s="121"/>
      <c r="AU60" s="121"/>
      <c r="AV60" s="121"/>
      <c r="AW60" s="121"/>
      <c r="AX60" s="121"/>
      <c r="AY60" s="121"/>
      <c r="AZ60" s="121"/>
      <c r="BA60" s="121"/>
      <c r="BB60" s="121"/>
      <c r="BC60" s="121"/>
      <c r="BD60" s="121"/>
      <c r="BE60" s="121"/>
      <c r="BF60" s="121"/>
      <c r="BG60" s="121"/>
      <c r="BH60" s="121"/>
      <c r="BI60" s="121"/>
      <c r="BJ60" s="121"/>
      <c r="BK60" s="121"/>
    </row>
    <row r="61" spans="1:63" ht="15" customHeight="1">
      <c r="A61" s="118"/>
      <c r="B61" s="165"/>
      <c r="C61" s="166"/>
      <c r="D61" s="167"/>
      <c r="E61" s="167"/>
      <c r="F61" s="167"/>
      <c r="G61" s="167"/>
      <c r="H61" s="168" t="str">
        <f t="shared" si="14"/>
        <v/>
      </c>
      <c r="I61" s="168"/>
      <c r="J61" s="131"/>
      <c r="K61" s="167"/>
      <c r="L61" s="167"/>
      <c r="M61" s="167"/>
      <c r="N61" s="167"/>
      <c r="O61" s="167"/>
      <c r="P61" s="136" t="str">
        <f t="shared" si="11"/>
        <v>_Inspection Log.xlsm</v>
      </c>
      <c r="Q61" s="140" t="str">
        <f t="shared" si="12"/>
        <v>C:\Users\sabi_\OneDrive\Desktop\New folder\Coding logs\_Inspection Log.xlsm</v>
      </c>
      <c r="R61" s="141">
        <f t="array" ref="R61">SUM(IF($J$30:$J$194=IF(J61="","Blank",J61),1,0))</f>
        <v>0</v>
      </c>
      <c r="S61" s="141">
        <f t="shared" si="3"/>
        <v>0</v>
      </c>
      <c r="T61" s="141" t="str">
        <f t="shared" si="4"/>
        <v/>
      </c>
      <c r="U61" s="142">
        <f t="shared" si="5"/>
        <v>0</v>
      </c>
      <c r="V61" s="142">
        <f t="shared" si="6"/>
        <v>0</v>
      </c>
      <c r="W61" s="142">
        <f t="array" ref="W61">SUM(IF(LEN(J59:J223)&lt;=3,0,1))</f>
        <v>0</v>
      </c>
      <c r="X61" s="141" t="str">
        <f t="shared" si="7"/>
        <v>_Inspection Log</v>
      </c>
      <c r="Y61" s="142">
        <f t="shared" si="8"/>
        <v>0</v>
      </c>
      <c r="Z61" s="142" t="str">
        <f t="shared" si="9"/>
        <v/>
      </c>
      <c r="AA61" s="142">
        <f t="shared" si="10"/>
        <v>0</v>
      </c>
      <c r="AB61" s="142"/>
      <c r="AC61" s="142"/>
      <c r="AD61" s="142"/>
      <c r="AE61" s="142"/>
      <c r="AF61" s="142"/>
      <c r="AG61" s="142"/>
      <c r="AH61" s="142"/>
      <c r="AI61" s="142"/>
      <c r="AJ61" s="150"/>
      <c r="AK61" s="118"/>
      <c r="AL61" s="118"/>
      <c r="AM61" s="118"/>
      <c r="AN61" s="118"/>
      <c r="AO61" s="118"/>
      <c r="AP61" s="118"/>
      <c r="AQ61" s="121"/>
      <c r="AR61" s="121"/>
      <c r="AS61" s="121"/>
      <c r="AT61" s="121"/>
      <c r="AU61" s="121"/>
      <c r="AV61" s="121"/>
      <c r="AW61" s="121"/>
      <c r="AX61" s="121"/>
      <c r="AY61" s="121"/>
      <c r="AZ61" s="121"/>
      <c r="BA61" s="121"/>
      <c r="BB61" s="121"/>
      <c r="BC61" s="121"/>
      <c r="BD61" s="121"/>
      <c r="BE61" s="121"/>
      <c r="BF61" s="121"/>
      <c r="BG61" s="121"/>
      <c r="BH61" s="121"/>
      <c r="BI61" s="121"/>
      <c r="BJ61" s="121"/>
      <c r="BK61" s="121"/>
    </row>
    <row r="62" spans="1:63" ht="15" customHeight="1">
      <c r="A62" s="118"/>
      <c r="B62" s="165"/>
      <c r="C62" s="166"/>
      <c r="D62" s="167"/>
      <c r="E62" s="167"/>
      <c r="F62" s="167"/>
      <c r="G62" s="167"/>
      <c r="H62" s="168" t="str">
        <f t="shared" si="14"/>
        <v/>
      </c>
      <c r="I62" s="168"/>
      <c r="J62" s="131"/>
      <c r="K62" s="167"/>
      <c r="L62" s="167"/>
      <c r="M62" s="167"/>
      <c r="N62" s="167"/>
      <c r="O62" s="167"/>
      <c r="P62" s="136" t="str">
        <f t="shared" si="11"/>
        <v>_Inspection Log.xlsm</v>
      </c>
      <c r="Q62" s="140" t="str">
        <f t="shared" si="12"/>
        <v>C:\Users\sabi_\OneDrive\Desktop\New folder\Coding logs\_Inspection Log.xlsm</v>
      </c>
      <c r="R62" s="141">
        <f t="array" ref="R62">SUM(IF($J$30:$J$194=IF(J62="","Blank",J62),1,0))</f>
        <v>0</v>
      </c>
      <c r="S62" s="141">
        <f t="shared" si="3"/>
        <v>0</v>
      </c>
      <c r="T62" s="141" t="str">
        <f t="shared" si="4"/>
        <v/>
      </c>
      <c r="U62" s="142">
        <f t="shared" si="5"/>
        <v>0</v>
      </c>
      <c r="V62" s="142">
        <f t="shared" si="6"/>
        <v>0</v>
      </c>
      <c r="W62" s="142">
        <f t="array" ref="W62">SUM(IF(LEN(J60:J224)&lt;=3,0,1))</f>
        <v>0</v>
      </c>
      <c r="X62" s="141" t="str">
        <f t="shared" si="7"/>
        <v>_Inspection Log</v>
      </c>
      <c r="Y62" s="142">
        <f t="shared" si="8"/>
        <v>0</v>
      </c>
      <c r="Z62" s="142" t="str">
        <f t="shared" si="9"/>
        <v/>
      </c>
      <c r="AA62" s="142">
        <f t="shared" si="10"/>
        <v>0</v>
      </c>
      <c r="AB62" s="142"/>
      <c r="AC62" s="142"/>
      <c r="AD62" s="142"/>
      <c r="AE62" s="142"/>
      <c r="AF62" s="142"/>
      <c r="AG62" s="142"/>
      <c r="AH62" s="142"/>
      <c r="AI62" s="142"/>
      <c r="AJ62" s="150"/>
      <c r="AK62" s="118"/>
      <c r="AL62" s="118"/>
      <c r="AM62" s="118"/>
      <c r="AN62" s="118"/>
      <c r="AO62" s="118"/>
      <c r="AP62" s="118"/>
      <c r="AQ62" s="121"/>
      <c r="AR62" s="121"/>
      <c r="AS62" s="121"/>
      <c r="AT62" s="121"/>
      <c r="AU62" s="121"/>
      <c r="AV62" s="121"/>
      <c r="AW62" s="121"/>
      <c r="AX62" s="121"/>
      <c r="AY62" s="121"/>
      <c r="AZ62" s="121"/>
      <c r="BA62" s="121"/>
      <c r="BB62" s="121"/>
      <c r="BC62" s="121"/>
      <c r="BD62" s="121"/>
      <c r="BE62" s="121"/>
      <c r="BF62" s="121"/>
      <c r="BG62" s="121"/>
      <c r="BH62" s="121"/>
      <c r="BI62" s="121"/>
      <c r="BJ62" s="121"/>
      <c r="BK62" s="121"/>
    </row>
    <row r="63" spans="1:63" ht="15" customHeight="1">
      <c r="A63" s="118"/>
      <c r="B63" s="165"/>
      <c r="C63" s="166"/>
      <c r="D63" s="167"/>
      <c r="E63" s="167"/>
      <c r="F63" s="167"/>
      <c r="G63" s="167"/>
      <c r="H63" s="168" t="str">
        <f t="shared" si="14"/>
        <v/>
      </c>
      <c r="I63" s="168"/>
      <c r="J63" s="131"/>
      <c r="K63" s="167"/>
      <c r="L63" s="167"/>
      <c r="M63" s="167"/>
      <c r="N63" s="167"/>
      <c r="O63" s="167"/>
      <c r="P63" s="136" t="str">
        <f t="shared" si="11"/>
        <v>_Inspection Log.xlsm</v>
      </c>
      <c r="Q63" s="140" t="str">
        <f t="shared" si="12"/>
        <v>C:\Users\sabi_\OneDrive\Desktop\New folder\Coding logs\_Inspection Log.xlsm</v>
      </c>
      <c r="R63" s="141">
        <f t="array" ref="R63">SUM(IF($J$30:$J$194=IF(J63="","Blank",J63),1,0))</f>
        <v>0</v>
      </c>
      <c r="S63" s="141">
        <f t="shared" si="3"/>
        <v>0</v>
      </c>
      <c r="T63" s="141" t="str">
        <f t="shared" si="4"/>
        <v/>
      </c>
      <c r="U63" s="142">
        <f t="shared" si="5"/>
        <v>0</v>
      </c>
      <c r="V63" s="142">
        <f t="shared" si="6"/>
        <v>0</v>
      </c>
      <c r="W63" s="142">
        <f t="array" ref="W63">SUM(IF(LEN(J61:J225)&lt;=3,0,1))</f>
        <v>0</v>
      </c>
      <c r="X63" s="141" t="str">
        <f t="shared" si="7"/>
        <v>_Inspection Log</v>
      </c>
      <c r="Y63" s="142">
        <f t="shared" si="8"/>
        <v>0</v>
      </c>
      <c r="Z63" s="142" t="str">
        <f t="shared" si="9"/>
        <v/>
      </c>
      <c r="AA63" s="142">
        <f t="shared" si="10"/>
        <v>0</v>
      </c>
      <c r="AB63" s="142"/>
      <c r="AC63" s="142"/>
      <c r="AD63" s="142"/>
      <c r="AE63" s="142"/>
      <c r="AF63" s="142"/>
      <c r="AG63" s="142"/>
      <c r="AH63" s="142"/>
      <c r="AI63" s="142"/>
      <c r="AJ63" s="150"/>
      <c r="AK63" s="118"/>
      <c r="AL63" s="118"/>
      <c r="AM63" s="118"/>
      <c r="AN63" s="118"/>
      <c r="AO63" s="118"/>
      <c r="AP63" s="118"/>
      <c r="AQ63" s="121"/>
      <c r="AR63" s="121"/>
      <c r="AS63" s="121"/>
      <c r="AT63" s="121"/>
      <c r="AU63" s="121"/>
      <c r="AV63" s="121"/>
      <c r="AW63" s="121"/>
      <c r="AX63" s="121"/>
      <c r="AY63" s="121"/>
      <c r="AZ63" s="121"/>
      <c r="BA63" s="121"/>
      <c r="BB63" s="121"/>
      <c r="BC63" s="121"/>
      <c r="BD63" s="121"/>
      <c r="BE63" s="121"/>
      <c r="BF63" s="121"/>
      <c r="BG63" s="121"/>
      <c r="BH63" s="121"/>
      <c r="BI63" s="121"/>
      <c r="BJ63" s="121"/>
      <c r="BK63" s="121"/>
    </row>
    <row r="64" spans="1:63" ht="15" customHeight="1">
      <c r="A64" s="118"/>
      <c r="B64" s="165"/>
      <c r="C64" s="166"/>
      <c r="D64" s="167"/>
      <c r="E64" s="167"/>
      <c r="F64" s="167"/>
      <c r="G64" s="167"/>
      <c r="H64" s="168" t="str">
        <f t="shared" si="14"/>
        <v/>
      </c>
      <c r="I64" s="168"/>
      <c r="J64" s="131"/>
      <c r="K64" s="167"/>
      <c r="L64" s="167"/>
      <c r="M64" s="167"/>
      <c r="N64" s="167"/>
      <c r="O64" s="167"/>
      <c r="P64" s="136" t="str">
        <f t="shared" si="11"/>
        <v>_Inspection Log.xlsm</v>
      </c>
      <c r="Q64" s="140" t="str">
        <f t="shared" si="12"/>
        <v>C:\Users\sabi_\OneDrive\Desktop\New folder\Coding logs\_Inspection Log.xlsm</v>
      </c>
      <c r="R64" s="141">
        <f t="array" ref="R64">SUM(IF($J$30:$J$194=IF(J64="","Blank",J64),1,0))</f>
        <v>0</v>
      </c>
      <c r="S64" s="141">
        <f t="shared" si="3"/>
        <v>0</v>
      </c>
      <c r="T64" s="141" t="str">
        <f t="shared" si="4"/>
        <v/>
      </c>
      <c r="U64" s="142">
        <f t="shared" si="5"/>
        <v>0</v>
      </c>
      <c r="V64" s="142">
        <f t="shared" si="6"/>
        <v>0</v>
      </c>
      <c r="W64" s="142">
        <f t="array" ref="W64">SUM(IF(LEN(J62:J226)&lt;=3,0,1))</f>
        <v>0</v>
      </c>
      <c r="X64" s="141" t="str">
        <f t="shared" si="7"/>
        <v>_Inspection Log</v>
      </c>
      <c r="Y64" s="142">
        <f t="shared" si="8"/>
        <v>0</v>
      </c>
      <c r="Z64" s="142" t="str">
        <f t="shared" si="9"/>
        <v/>
      </c>
      <c r="AA64" s="142">
        <f t="shared" si="10"/>
        <v>0</v>
      </c>
      <c r="AB64" s="142"/>
      <c r="AC64" s="142"/>
      <c r="AD64" s="142"/>
      <c r="AE64" s="142"/>
      <c r="AF64" s="142"/>
      <c r="AG64" s="142"/>
      <c r="AH64" s="142"/>
      <c r="AI64" s="142"/>
      <c r="AJ64" s="150"/>
      <c r="AK64" s="118"/>
      <c r="AL64" s="118"/>
      <c r="AM64" s="118"/>
      <c r="AN64" s="118"/>
      <c r="AO64" s="118"/>
      <c r="AP64" s="118"/>
      <c r="AQ64" s="121"/>
      <c r="AR64" s="121"/>
      <c r="AS64" s="121"/>
      <c r="AT64" s="121"/>
      <c r="AU64" s="121"/>
      <c r="AV64" s="121"/>
      <c r="AW64" s="121"/>
      <c r="AX64" s="121"/>
      <c r="AY64" s="121"/>
      <c r="AZ64" s="121"/>
      <c r="BA64" s="121"/>
      <c r="BB64" s="121"/>
      <c r="BC64" s="121"/>
      <c r="BD64" s="121"/>
      <c r="BE64" s="121"/>
      <c r="BF64" s="121"/>
      <c r="BG64" s="121"/>
      <c r="BH64" s="121"/>
      <c r="BI64" s="121"/>
      <c r="BJ64" s="121"/>
      <c r="BK64" s="121"/>
    </row>
    <row r="65" spans="1:63" ht="15" customHeight="1">
      <c r="A65" s="118"/>
      <c r="B65" s="165"/>
      <c r="C65" s="166"/>
      <c r="D65" s="167"/>
      <c r="E65" s="167"/>
      <c r="F65" s="167"/>
      <c r="G65" s="167"/>
      <c r="H65" s="168" t="str">
        <f t="shared" si="14"/>
        <v/>
      </c>
      <c r="I65" s="168"/>
      <c r="J65" s="131"/>
      <c r="K65" s="167"/>
      <c r="L65" s="167"/>
      <c r="M65" s="167"/>
      <c r="N65" s="167"/>
      <c r="O65" s="167"/>
      <c r="P65" s="136" t="str">
        <f t="shared" si="11"/>
        <v>_Inspection Log.xlsm</v>
      </c>
      <c r="Q65" s="140" t="str">
        <f t="shared" si="12"/>
        <v>C:\Users\sabi_\OneDrive\Desktop\New folder\Coding logs\_Inspection Log.xlsm</v>
      </c>
      <c r="R65" s="141">
        <f t="array" ref="R65">SUM(IF($J$30:$J$194=IF(J65="","Blank",J65),1,0))</f>
        <v>0</v>
      </c>
      <c r="S65" s="141">
        <f t="shared" si="3"/>
        <v>0</v>
      </c>
      <c r="T65" s="141" t="str">
        <f t="shared" si="4"/>
        <v/>
      </c>
      <c r="U65" s="142">
        <f t="shared" si="5"/>
        <v>0</v>
      </c>
      <c r="V65" s="142">
        <f t="shared" si="6"/>
        <v>0</v>
      </c>
      <c r="W65" s="142">
        <f t="array" ref="W65">SUM(IF(LEN(J63:J227)&lt;=3,0,1))</f>
        <v>0</v>
      </c>
      <c r="X65" s="141" t="str">
        <f t="shared" si="7"/>
        <v>_Inspection Log</v>
      </c>
      <c r="Y65" s="142">
        <f t="shared" si="8"/>
        <v>0</v>
      </c>
      <c r="Z65" s="142" t="str">
        <f t="shared" si="9"/>
        <v/>
      </c>
      <c r="AA65" s="142">
        <f t="shared" si="10"/>
        <v>0</v>
      </c>
      <c r="AB65" s="142"/>
      <c r="AC65" s="142"/>
      <c r="AD65" s="142"/>
      <c r="AE65" s="142"/>
      <c r="AF65" s="142"/>
      <c r="AG65" s="142"/>
      <c r="AH65" s="142"/>
      <c r="AI65" s="142"/>
      <c r="AJ65" s="150"/>
      <c r="AK65" s="118"/>
      <c r="AL65" s="118"/>
      <c r="AM65" s="118"/>
      <c r="AN65" s="118"/>
      <c r="AO65" s="118"/>
      <c r="AP65" s="118"/>
      <c r="AQ65" s="121"/>
      <c r="AR65" s="121"/>
      <c r="AS65" s="121"/>
      <c r="AT65" s="121"/>
      <c r="AU65" s="121"/>
      <c r="AV65" s="121"/>
      <c r="AW65" s="121"/>
      <c r="AX65" s="121"/>
      <c r="AY65" s="121"/>
      <c r="AZ65" s="121"/>
      <c r="BA65" s="121"/>
      <c r="BB65" s="121"/>
      <c r="BC65" s="121"/>
      <c r="BD65" s="121"/>
      <c r="BE65" s="121"/>
      <c r="BF65" s="121"/>
      <c r="BG65" s="121"/>
      <c r="BH65" s="121"/>
      <c r="BI65" s="121"/>
      <c r="BJ65" s="121"/>
      <c r="BK65" s="121"/>
    </row>
    <row r="66" spans="1:63" ht="15" customHeight="1">
      <c r="A66" s="118"/>
      <c r="B66" s="165"/>
      <c r="C66" s="166"/>
      <c r="D66" s="167"/>
      <c r="E66" s="167"/>
      <c r="F66" s="167"/>
      <c r="G66" s="167"/>
      <c r="H66" s="168" t="str">
        <f t="shared" si="14"/>
        <v/>
      </c>
      <c r="I66" s="168"/>
      <c r="J66" s="131"/>
      <c r="K66" s="167"/>
      <c r="L66" s="167"/>
      <c r="M66" s="167"/>
      <c r="N66" s="167"/>
      <c r="O66" s="167"/>
      <c r="P66" s="136" t="str">
        <f t="shared" si="11"/>
        <v>_Inspection Log.xlsm</v>
      </c>
      <c r="Q66" s="140" t="str">
        <f t="shared" si="12"/>
        <v>C:\Users\sabi_\OneDrive\Desktop\New folder\Coding logs\_Inspection Log.xlsm</v>
      </c>
      <c r="R66" s="141">
        <f t="array" ref="R66">SUM(IF($J$30:$J$194=IF(J66="","Blank",J66),1,0))</f>
        <v>0</v>
      </c>
      <c r="S66" s="141">
        <f t="shared" si="3"/>
        <v>0</v>
      </c>
      <c r="T66" s="141" t="str">
        <f t="shared" si="4"/>
        <v/>
      </c>
      <c r="U66" s="142">
        <f t="shared" si="5"/>
        <v>0</v>
      </c>
      <c r="V66" s="142">
        <f t="shared" si="6"/>
        <v>0</v>
      </c>
      <c r="W66" s="142">
        <f t="array" ref="W66">SUM(IF(LEN(J64:J228)&lt;=3,0,1))</f>
        <v>0</v>
      </c>
      <c r="X66" s="141" t="str">
        <f t="shared" si="7"/>
        <v>_Inspection Log</v>
      </c>
      <c r="Y66" s="142">
        <f t="shared" si="8"/>
        <v>0</v>
      </c>
      <c r="Z66" s="142" t="str">
        <f t="shared" si="9"/>
        <v/>
      </c>
      <c r="AA66" s="142">
        <f t="shared" si="10"/>
        <v>0</v>
      </c>
      <c r="AB66" s="142"/>
      <c r="AC66" s="142"/>
      <c r="AD66" s="142"/>
      <c r="AE66" s="142"/>
      <c r="AF66" s="142"/>
      <c r="AG66" s="142"/>
      <c r="AH66" s="142"/>
      <c r="AI66" s="142"/>
      <c r="AJ66" s="150"/>
      <c r="AK66" s="118"/>
      <c r="AL66" s="118"/>
      <c r="AM66" s="118"/>
      <c r="AN66" s="118"/>
      <c r="AO66" s="118"/>
      <c r="AP66" s="118"/>
      <c r="AQ66" s="121"/>
      <c r="AR66" s="121"/>
      <c r="AS66" s="121"/>
      <c r="AT66" s="121"/>
      <c r="AU66" s="121"/>
      <c r="AV66" s="121"/>
      <c r="AW66" s="121"/>
      <c r="AX66" s="121"/>
      <c r="AY66" s="121"/>
      <c r="AZ66" s="121"/>
      <c r="BA66" s="121"/>
      <c r="BB66" s="121"/>
      <c r="BC66" s="121"/>
      <c r="BD66" s="121"/>
      <c r="BE66" s="121"/>
      <c r="BF66" s="121"/>
      <c r="BG66" s="121"/>
      <c r="BH66" s="121"/>
      <c r="BI66" s="121"/>
      <c r="BJ66" s="121"/>
      <c r="BK66" s="121"/>
    </row>
    <row r="67" spans="1:63" ht="15" customHeight="1">
      <c r="A67" s="118"/>
      <c r="B67" s="165"/>
      <c r="C67" s="166"/>
      <c r="D67" s="167"/>
      <c r="E67" s="167"/>
      <c r="F67" s="167"/>
      <c r="G67" s="167"/>
      <c r="H67" s="168" t="str">
        <f t="shared" si="14"/>
        <v/>
      </c>
      <c r="I67" s="168"/>
      <c r="J67" s="131"/>
      <c r="K67" s="167"/>
      <c r="L67" s="167"/>
      <c r="M67" s="167"/>
      <c r="N67" s="167"/>
      <c r="O67" s="167"/>
      <c r="P67" s="136" t="str">
        <f t="shared" si="11"/>
        <v>_Inspection Log.xlsm</v>
      </c>
      <c r="Q67" s="140" t="str">
        <f t="shared" si="12"/>
        <v>C:\Users\sabi_\OneDrive\Desktop\New folder\Coding logs\_Inspection Log.xlsm</v>
      </c>
      <c r="R67" s="141">
        <f t="array" ref="R67">SUM(IF($J$30:$J$194=IF(J67="","Blank",J67),1,0))</f>
        <v>0</v>
      </c>
      <c r="S67" s="141">
        <f t="shared" si="3"/>
        <v>0</v>
      </c>
      <c r="T67" s="141" t="str">
        <f t="shared" si="4"/>
        <v/>
      </c>
      <c r="U67" s="142">
        <f t="shared" si="5"/>
        <v>0</v>
      </c>
      <c r="V67" s="142">
        <f t="shared" si="6"/>
        <v>0</v>
      </c>
      <c r="W67" s="142">
        <f t="array" ref="W67">SUM(IF(LEN(J65:J229)&lt;=3,0,1))</f>
        <v>0</v>
      </c>
      <c r="X67" s="141" t="str">
        <f t="shared" si="7"/>
        <v>_Inspection Log</v>
      </c>
      <c r="Y67" s="142">
        <f t="shared" si="8"/>
        <v>0</v>
      </c>
      <c r="Z67" s="142" t="str">
        <f t="shared" si="9"/>
        <v/>
      </c>
      <c r="AA67" s="142">
        <f t="shared" si="10"/>
        <v>0</v>
      </c>
      <c r="AB67" s="142"/>
      <c r="AC67" s="142"/>
      <c r="AD67" s="142"/>
      <c r="AE67" s="142"/>
      <c r="AF67" s="142"/>
      <c r="AG67" s="142"/>
      <c r="AH67" s="142"/>
      <c r="AI67" s="142"/>
      <c r="AJ67" s="150"/>
      <c r="AK67" s="118"/>
      <c r="AL67" s="118"/>
      <c r="AM67" s="118"/>
      <c r="AN67" s="118"/>
      <c r="AO67" s="118"/>
      <c r="AP67" s="118"/>
      <c r="AQ67" s="121"/>
      <c r="AR67" s="121"/>
      <c r="AS67" s="121"/>
      <c r="AT67" s="121"/>
      <c r="AU67" s="121"/>
      <c r="AV67" s="121"/>
      <c r="AW67" s="121"/>
      <c r="AX67" s="121"/>
      <c r="AY67" s="121"/>
      <c r="AZ67" s="121"/>
      <c r="BA67" s="121"/>
      <c r="BB67" s="121"/>
      <c r="BC67" s="121"/>
      <c r="BD67" s="121"/>
      <c r="BE67" s="121"/>
      <c r="BF67" s="121"/>
      <c r="BG67" s="121"/>
      <c r="BH67" s="121"/>
      <c r="BI67" s="121"/>
      <c r="BJ67" s="121"/>
      <c r="BK67" s="121"/>
    </row>
    <row r="68" spans="1:63" ht="15" customHeight="1">
      <c r="A68" s="118"/>
      <c r="B68" s="165"/>
      <c r="C68" s="166"/>
      <c r="D68" s="167"/>
      <c r="E68" s="167"/>
      <c r="F68" s="167"/>
      <c r="G68" s="167"/>
      <c r="H68" s="168" t="str">
        <f t="shared" si="14"/>
        <v/>
      </c>
      <c r="I68" s="168"/>
      <c r="J68" s="131"/>
      <c r="K68" s="167"/>
      <c r="L68" s="167"/>
      <c r="M68" s="167"/>
      <c r="N68" s="167"/>
      <c r="O68" s="167"/>
      <c r="P68" s="136" t="str">
        <f t="shared" si="11"/>
        <v>_Inspection Log.xlsm</v>
      </c>
      <c r="Q68" s="140" t="str">
        <f t="shared" si="12"/>
        <v>C:\Users\sabi_\OneDrive\Desktop\New folder\Coding logs\_Inspection Log.xlsm</v>
      </c>
      <c r="R68" s="141">
        <f t="array" ref="R68">SUM(IF($J$30:$J$194=IF(J68="","Blank",J68),1,0))</f>
        <v>0</v>
      </c>
      <c r="S68" s="141">
        <f t="shared" si="3"/>
        <v>0</v>
      </c>
      <c r="T68" s="141" t="str">
        <f t="shared" si="4"/>
        <v/>
      </c>
      <c r="U68" s="142">
        <f t="shared" si="5"/>
        <v>0</v>
      </c>
      <c r="V68" s="142">
        <f t="shared" si="6"/>
        <v>0</v>
      </c>
      <c r="W68" s="142">
        <f t="array" ref="W68">SUM(IF(LEN(J66:J230)&lt;=3,0,1))</f>
        <v>0</v>
      </c>
      <c r="X68" s="141" t="str">
        <f t="shared" si="7"/>
        <v>_Inspection Log</v>
      </c>
      <c r="Y68" s="142">
        <f t="shared" si="8"/>
        <v>0</v>
      </c>
      <c r="Z68" s="142" t="str">
        <f t="shared" si="9"/>
        <v/>
      </c>
      <c r="AA68" s="142">
        <f t="shared" si="10"/>
        <v>0</v>
      </c>
      <c r="AB68" s="142"/>
      <c r="AC68" s="142"/>
      <c r="AD68" s="142"/>
      <c r="AE68" s="142"/>
      <c r="AF68" s="142"/>
      <c r="AG68" s="142"/>
      <c r="AH68" s="142"/>
      <c r="AI68" s="142"/>
      <c r="AJ68" s="150"/>
      <c r="AK68" s="118"/>
      <c r="AL68" s="118"/>
      <c r="AM68" s="118"/>
      <c r="AN68" s="118"/>
      <c r="AO68" s="118"/>
      <c r="AP68" s="118"/>
      <c r="AQ68" s="121"/>
      <c r="AR68" s="121"/>
      <c r="AS68" s="121"/>
      <c r="AT68" s="121"/>
      <c r="AU68" s="121"/>
      <c r="AV68" s="121"/>
      <c r="AW68" s="121"/>
      <c r="AX68" s="121"/>
      <c r="AY68" s="121"/>
      <c r="AZ68" s="121"/>
      <c r="BA68" s="121"/>
      <c r="BB68" s="121"/>
      <c r="BC68" s="121"/>
      <c r="BD68" s="121"/>
      <c r="BE68" s="121"/>
      <c r="BF68" s="121"/>
      <c r="BG68" s="121"/>
      <c r="BH68" s="121"/>
      <c r="BI68" s="121"/>
      <c r="BJ68" s="121"/>
      <c r="BK68" s="121"/>
    </row>
    <row r="69" spans="1:63" ht="15" customHeight="1">
      <c r="A69" s="118"/>
      <c r="B69" s="165"/>
      <c r="C69" s="166"/>
      <c r="D69" s="167"/>
      <c r="E69" s="167"/>
      <c r="F69" s="167"/>
      <c r="G69" s="167"/>
      <c r="H69" s="168" t="str">
        <f t="shared" si="14"/>
        <v/>
      </c>
      <c r="I69" s="168"/>
      <c r="J69" s="131"/>
      <c r="K69" s="167"/>
      <c r="L69" s="167"/>
      <c r="M69" s="167"/>
      <c r="N69" s="167"/>
      <c r="O69" s="167"/>
      <c r="P69" s="136" t="str">
        <f t="shared" si="11"/>
        <v>_Inspection Log.xlsm</v>
      </c>
      <c r="Q69" s="140" t="str">
        <f t="shared" si="12"/>
        <v>C:\Users\sabi_\OneDrive\Desktop\New folder\Coding logs\_Inspection Log.xlsm</v>
      </c>
      <c r="R69" s="141">
        <f t="array" ref="R69">SUM(IF($J$30:$J$194=IF(J69="","Blank",J69),1,0))</f>
        <v>0</v>
      </c>
      <c r="S69" s="141">
        <f t="shared" si="3"/>
        <v>0</v>
      </c>
      <c r="T69" s="141" t="str">
        <f t="shared" si="4"/>
        <v/>
      </c>
      <c r="U69" s="142">
        <f t="shared" si="5"/>
        <v>0</v>
      </c>
      <c r="V69" s="142">
        <f t="shared" si="6"/>
        <v>0</v>
      </c>
      <c r="W69" s="142">
        <f t="array" ref="W69">SUM(IF(LEN(J67:J231)&lt;=3,0,1))</f>
        <v>0</v>
      </c>
      <c r="X69" s="141" t="str">
        <f t="shared" si="7"/>
        <v>_Inspection Log</v>
      </c>
      <c r="Y69" s="142">
        <f t="shared" si="8"/>
        <v>0</v>
      </c>
      <c r="Z69" s="142" t="str">
        <f t="shared" si="9"/>
        <v/>
      </c>
      <c r="AA69" s="142">
        <f t="shared" si="10"/>
        <v>0</v>
      </c>
      <c r="AB69" s="142"/>
      <c r="AC69" s="142"/>
      <c r="AD69" s="142"/>
      <c r="AE69" s="142"/>
      <c r="AF69" s="142"/>
      <c r="AG69" s="142"/>
      <c r="AH69" s="142"/>
      <c r="AI69" s="142"/>
      <c r="AJ69" s="150"/>
      <c r="AK69" s="118"/>
      <c r="AL69" s="118"/>
      <c r="AM69" s="118"/>
      <c r="AN69" s="118"/>
      <c r="AO69" s="118"/>
      <c r="AP69" s="118"/>
      <c r="AQ69" s="121"/>
      <c r="AR69" s="121"/>
      <c r="AS69" s="121"/>
      <c r="AT69" s="121"/>
      <c r="AU69" s="121"/>
      <c r="AV69" s="121"/>
      <c r="AW69" s="121"/>
      <c r="AX69" s="121"/>
      <c r="AY69" s="121"/>
      <c r="AZ69" s="121"/>
      <c r="BA69" s="121"/>
      <c r="BB69" s="121"/>
      <c r="BC69" s="121"/>
      <c r="BD69" s="121"/>
      <c r="BE69" s="121"/>
      <c r="BF69" s="121"/>
      <c r="BG69" s="121"/>
      <c r="BH69" s="121"/>
      <c r="BI69" s="121"/>
      <c r="BJ69" s="121"/>
      <c r="BK69" s="121"/>
    </row>
    <row r="70" spans="1:63" ht="15" customHeight="1">
      <c r="A70" s="118"/>
      <c r="B70" s="165"/>
      <c r="C70" s="166"/>
      <c r="D70" s="167"/>
      <c r="E70" s="167"/>
      <c r="F70" s="167"/>
      <c r="G70" s="167"/>
      <c r="H70" s="168" t="str">
        <f t="shared" si="14"/>
        <v/>
      </c>
      <c r="I70" s="168"/>
      <c r="J70" s="131"/>
      <c r="K70" s="167"/>
      <c r="L70" s="167"/>
      <c r="M70" s="167"/>
      <c r="N70" s="167"/>
      <c r="O70" s="167"/>
      <c r="P70" s="136" t="str">
        <f t="shared" si="11"/>
        <v>_Inspection Log.xlsm</v>
      </c>
      <c r="Q70" s="140" t="str">
        <f t="shared" si="12"/>
        <v>C:\Users\sabi_\OneDrive\Desktop\New folder\Coding logs\_Inspection Log.xlsm</v>
      </c>
      <c r="R70" s="141">
        <f t="array" ref="R70">SUM(IF($J$30:$J$194=IF(J70="","Blank",J70),1,0))</f>
        <v>0</v>
      </c>
      <c r="S70" s="141">
        <f t="shared" si="3"/>
        <v>0</v>
      </c>
      <c r="T70" s="141" t="str">
        <f t="shared" si="4"/>
        <v/>
      </c>
      <c r="U70" s="142">
        <f t="shared" si="5"/>
        <v>0</v>
      </c>
      <c r="V70" s="142">
        <f t="shared" si="6"/>
        <v>0</v>
      </c>
      <c r="W70" s="142">
        <f t="array" ref="W70">SUM(IF(LEN(J68:J232)&lt;=3,0,1))</f>
        <v>0</v>
      </c>
      <c r="X70" s="141" t="str">
        <f t="shared" si="7"/>
        <v>_Inspection Log</v>
      </c>
      <c r="Y70" s="142">
        <f t="shared" si="8"/>
        <v>0</v>
      </c>
      <c r="Z70" s="142" t="str">
        <f t="shared" si="9"/>
        <v/>
      </c>
      <c r="AA70" s="142">
        <f t="shared" si="10"/>
        <v>0</v>
      </c>
      <c r="AB70" s="142"/>
      <c r="AC70" s="142"/>
      <c r="AD70" s="142"/>
      <c r="AE70" s="142"/>
      <c r="AF70" s="142"/>
      <c r="AG70" s="142"/>
      <c r="AH70" s="142"/>
      <c r="AI70" s="142"/>
      <c r="AJ70" s="150"/>
      <c r="AK70" s="118"/>
      <c r="AL70" s="118"/>
      <c r="AM70" s="118"/>
      <c r="AN70" s="118"/>
      <c r="AO70" s="118"/>
      <c r="AP70" s="118"/>
      <c r="AQ70" s="121"/>
      <c r="AR70" s="121"/>
      <c r="AS70" s="121"/>
      <c r="AT70" s="121"/>
      <c r="AU70" s="121"/>
      <c r="AV70" s="121"/>
      <c r="AW70" s="121"/>
      <c r="AX70" s="121"/>
      <c r="AY70" s="121"/>
      <c r="AZ70" s="121"/>
      <c r="BA70" s="121"/>
      <c r="BB70" s="121"/>
      <c r="BC70" s="121"/>
      <c r="BD70" s="121"/>
      <c r="BE70" s="121"/>
      <c r="BF70" s="121"/>
      <c r="BG70" s="121"/>
      <c r="BH70" s="121"/>
      <c r="BI70" s="121"/>
      <c r="BJ70" s="121"/>
      <c r="BK70" s="121"/>
    </row>
    <row r="71" spans="1:63" ht="15" customHeight="1">
      <c r="A71" s="118"/>
      <c r="B71" s="165"/>
      <c r="C71" s="166"/>
      <c r="D71" s="167"/>
      <c r="E71" s="167"/>
      <c r="F71" s="167"/>
      <c r="G71" s="167"/>
      <c r="H71" s="168" t="str">
        <f t="shared" si="14"/>
        <v/>
      </c>
      <c r="I71" s="168"/>
      <c r="J71" s="131"/>
      <c r="K71" s="167"/>
      <c r="L71" s="167"/>
      <c r="M71" s="167"/>
      <c r="N71" s="167"/>
      <c r="O71" s="167"/>
      <c r="P71" s="136" t="str">
        <f t="shared" si="11"/>
        <v>_Inspection Log.xlsm</v>
      </c>
      <c r="Q71" s="140" t="str">
        <f t="shared" si="12"/>
        <v>C:\Users\sabi_\OneDrive\Desktop\New folder\Coding logs\_Inspection Log.xlsm</v>
      </c>
      <c r="R71" s="141">
        <f t="array" ref="R71">SUM(IF($J$30:$J$194=IF(J71="","Blank",J71),1,0))</f>
        <v>0</v>
      </c>
      <c r="S71" s="141">
        <f t="shared" si="3"/>
        <v>0</v>
      </c>
      <c r="T71" s="141" t="str">
        <f t="shared" si="4"/>
        <v/>
      </c>
      <c r="U71" s="142">
        <f t="shared" si="5"/>
        <v>0</v>
      </c>
      <c r="V71" s="142">
        <f t="shared" si="6"/>
        <v>0</v>
      </c>
      <c r="W71" s="142">
        <f t="array" ref="W71">SUM(IF(LEN(J69:J233)&lt;=3,0,1))</f>
        <v>0</v>
      </c>
      <c r="X71" s="141" t="str">
        <f t="shared" si="7"/>
        <v>_Inspection Log</v>
      </c>
      <c r="Y71" s="142">
        <f t="shared" si="8"/>
        <v>0</v>
      </c>
      <c r="Z71" s="142" t="str">
        <f t="shared" si="9"/>
        <v/>
      </c>
      <c r="AA71" s="142">
        <f t="shared" si="10"/>
        <v>0</v>
      </c>
      <c r="AB71" s="142"/>
      <c r="AC71" s="142"/>
      <c r="AD71" s="142"/>
      <c r="AE71" s="142"/>
      <c r="AF71" s="142"/>
      <c r="AG71" s="142"/>
      <c r="AH71" s="142"/>
      <c r="AI71" s="142"/>
      <c r="AJ71" s="150"/>
      <c r="AK71" s="118"/>
      <c r="AL71" s="118"/>
      <c r="AM71" s="118"/>
      <c r="AN71" s="118"/>
      <c r="AO71" s="118"/>
      <c r="AP71" s="118"/>
      <c r="AQ71" s="121"/>
      <c r="AR71" s="121"/>
      <c r="AS71" s="121"/>
      <c r="AT71" s="121"/>
      <c r="AU71" s="121"/>
      <c r="AV71" s="121"/>
      <c r="AW71" s="121"/>
      <c r="AX71" s="121"/>
      <c r="AY71" s="121"/>
      <c r="AZ71" s="121"/>
      <c r="BA71" s="121"/>
      <c r="BB71" s="121"/>
      <c r="BC71" s="121"/>
      <c r="BD71" s="121"/>
      <c r="BE71" s="121"/>
      <c r="BF71" s="121"/>
      <c r="BG71" s="121"/>
      <c r="BH71" s="121"/>
      <c r="BI71" s="121"/>
      <c r="BJ71" s="121"/>
      <c r="BK71" s="121"/>
    </row>
    <row r="72" spans="1:63" ht="15" customHeight="1">
      <c r="A72" s="118"/>
      <c r="B72" s="165"/>
      <c r="C72" s="166"/>
      <c r="D72" s="167"/>
      <c r="E72" s="167"/>
      <c r="F72" s="167"/>
      <c r="G72" s="167"/>
      <c r="H72" s="168" t="str">
        <f t="shared" si="14"/>
        <v/>
      </c>
      <c r="I72" s="168"/>
      <c r="J72" s="131"/>
      <c r="K72" s="167"/>
      <c r="L72" s="167"/>
      <c r="M72" s="167"/>
      <c r="N72" s="167"/>
      <c r="O72" s="167"/>
      <c r="P72" s="136" t="str">
        <f t="shared" si="11"/>
        <v>_Inspection Log.xlsm</v>
      </c>
      <c r="Q72" s="140" t="str">
        <f t="shared" si="12"/>
        <v>C:\Users\sabi_\OneDrive\Desktop\New folder\Coding logs\_Inspection Log.xlsm</v>
      </c>
      <c r="R72" s="141">
        <f t="array" ref="R72">SUM(IF($J$30:$J$194=IF(J72="","Blank",J72),1,0))</f>
        <v>0</v>
      </c>
      <c r="S72" s="141">
        <f t="shared" si="3"/>
        <v>0</v>
      </c>
      <c r="T72" s="141" t="str">
        <f t="shared" si="4"/>
        <v/>
      </c>
      <c r="U72" s="142">
        <f t="shared" si="5"/>
        <v>0</v>
      </c>
      <c r="V72" s="142">
        <f t="shared" si="6"/>
        <v>0</v>
      </c>
      <c r="W72" s="142">
        <f t="array" ref="W72">SUM(IF(LEN(J70:J234)&lt;=3,0,1))</f>
        <v>0</v>
      </c>
      <c r="X72" s="141" t="str">
        <f t="shared" si="7"/>
        <v>_Inspection Log</v>
      </c>
      <c r="Y72" s="142">
        <f t="shared" si="8"/>
        <v>0</v>
      </c>
      <c r="Z72" s="142" t="str">
        <f t="shared" si="9"/>
        <v/>
      </c>
      <c r="AA72" s="142">
        <f t="shared" si="10"/>
        <v>0</v>
      </c>
      <c r="AB72" s="142"/>
      <c r="AC72" s="142"/>
      <c r="AD72" s="142"/>
      <c r="AE72" s="142"/>
      <c r="AF72" s="142"/>
      <c r="AG72" s="142"/>
      <c r="AH72" s="142"/>
      <c r="AI72" s="142"/>
      <c r="AJ72" s="150"/>
      <c r="AK72" s="118"/>
      <c r="AL72" s="118"/>
      <c r="AM72" s="118"/>
      <c r="AN72" s="118"/>
      <c r="AO72" s="118"/>
      <c r="AP72" s="118"/>
      <c r="AQ72" s="121"/>
      <c r="AR72" s="121"/>
      <c r="AS72" s="121"/>
      <c r="AT72" s="121"/>
      <c r="AU72" s="121"/>
      <c r="AV72" s="121"/>
      <c r="AW72" s="121"/>
      <c r="AX72" s="121"/>
      <c r="AY72" s="121"/>
      <c r="AZ72" s="121"/>
      <c r="BA72" s="121"/>
      <c r="BB72" s="121"/>
      <c r="BC72" s="121"/>
      <c r="BD72" s="121"/>
      <c r="BE72" s="121"/>
      <c r="BF72" s="121"/>
      <c r="BG72" s="121"/>
      <c r="BH72" s="121"/>
    </row>
    <row r="73" spans="1:63" ht="15" customHeight="1">
      <c r="A73" s="118"/>
      <c r="B73" s="165"/>
      <c r="C73" s="166"/>
      <c r="D73" s="167"/>
      <c r="E73" s="167"/>
      <c r="F73" s="167"/>
      <c r="G73" s="167"/>
      <c r="H73" s="168" t="str">
        <f t="shared" si="14"/>
        <v/>
      </c>
      <c r="I73" s="168"/>
      <c r="J73" s="131"/>
      <c r="K73" s="167"/>
      <c r="L73" s="167"/>
      <c r="M73" s="167"/>
      <c r="N73" s="167"/>
      <c r="O73" s="167"/>
      <c r="P73" s="136" t="str">
        <f t="shared" si="11"/>
        <v>_Inspection Log.xlsm</v>
      </c>
      <c r="Q73" s="140" t="str">
        <f t="shared" si="12"/>
        <v>C:\Users\sabi_\OneDrive\Desktop\New folder\Coding logs\_Inspection Log.xlsm</v>
      </c>
      <c r="R73" s="141">
        <f t="array" ref="R73">SUM(IF($J$30:$J$194=IF(J73="","Blank",J73),1,0))</f>
        <v>0</v>
      </c>
      <c r="S73" s="141">
        <f t="shared" si="3"/>
        <v>0</v>
      </c>
      <c r="T73" s="141" t="str">
        <f t="shared" si="4"/>
        <v/>
      </c>
      <c r="U73" s="142">
        <f t="shared" si="5"/>
        <v>0</v>
      </c>
      <c r="V73" s="142">
        <f t="shared" si="6"/>
        <v>0</v>
      </c>
      <c r="W73" s="142">
        <f t="array" ref="W73">SUM(IF(LEN(J71:J235)&lt;=3,0,1))</f>
        <v>0</v>
      </c>
      <c r="X73" s="141" t="str">
        <f t="shared" si="7"/>
        <v>_Inspection Log</v>
      </c>
      <c r="Y73" s="142">
        <f t="shared" si="8"/>
        <v>0</v>
      </c>
      <c r="Z73" s="142" t="str">
        <f t="shared" si="9"/>
        <v/>
      </c>
      <c r="AA73" s="142">
        <f t="shared" si="10"/>
        <v>0</v>
      </c>
      <c r="AB73" s="142"/>
      <c r="AC73" s="142"/>
      <c r="AD73" s="142"/>
      <c r="AE73" s="142"/>
      <c r="AF73" s="142"/>
      <c r="AG73" s="142"/>
      <c r="AH73" s="142"/>
      <c r="AI73" s="142"/>
      <c r="AJ73" s="150"/>
      <c r="AK73" s="118"/>
      <c r="AL73" s="118"/>
      <c r="AM73" s="118"/>
      <c r="AN73" s="118"/>
      <c r="AO73" s="118"/>
      <c r="AP73" s="118"/>
      <c r="AQ73" s="121"/>
      <c r="AR73" s="121"/>
      <c r="AS73" s="121"/>
      <c r="AT73" s="121"/>
      <c r="AU73" s="121"/>
      <c r="AV73" s="121"/>
      <c r="AW73" s="121"/>
      <c r="AX73" s="121"/>
      <c r="AY73" s="121"/>
      <c r="AZ73" s="121"/>
      <c r="BA73" s="121"/>
      <c r="BB73" s="121"/>
      <c r="BC73" s="121"/>
      <c r="BD73" s="121"/>
      <c r="BE73" s="121"/>
      <c r="BF73" s="121"/>
      <c r="BG73" s="121"/>
      <c r="BH73" s="121"/>
    </row>
    <row r="74" spans="1:63" ht="15" customHeight="1">
      <c r="A74" s="118"/>
      <c r="B74" s="165"/>
      <c r="C74" s="166"/>
      <c r="D74" s="167"/>
      <c r="E74" s="167"/>
      <c r="F74" s="167"/>
      <c r="G74" s="167"/>
      <c r="H74" s="168" t="str">
        <f t="shared" si="14"/>
        <v/>
      </c>
      <c r="I74" s="168"/>
      <c r="J74" s="131"/>
      <c r="K74" s="167"/>
      <c r="L74" s="167"/>
      <c r="M74" s="167"/>
      <c r="N74" s="167"/>
      <c r="O74" s="167"/>
      <c r="P74" s="136" t="str">
        <f t="shared" si="11"/>
        <v>_Inspection Log.xlsm</v>
      </c>
      <c r="Q74" s="140" t="str">
        <f t="shared" si="12"/>
        <v>C:\Users\sabi_\OneDrive\Desktop\New folder\Coding logs\_Inspection Log.xlsm</v>
      </c>
      <c r="R74" s="141">
        <f t="array" ref="R74">SUM(IF($J$30:$J$194=IF(J74="","Blank",J74),1,0))</f>
        <v>0</v>
      </c>
      <c r="S74" s="141">
        <f t="shared" si="3"/>
        <v>0</v>
      </c>
      <c r="T74" s="141" t="str">
        <f t="shared" si="4"/>
        <v/>
      </c>
      <c r="U74" s="142">
        <f t="shared" si="5"/>
        <v>0</v>
      </c>
      <c r="V74" s="142">
        <f t="shared" si="6"/>
        <v>0</v>
      </c>
      <c r="W74" s="142">
        <f t="array" ref="W74">SUM(IF(LEN(J72:J236)&lt;=3,0,1))</f>
        <v>0</v>
      </c>
      <c r="X74" s="141" t="str">
        <f t="shared" si="7"/>
        <v>_Inspection Log</v>
      </c>
      <c r="Y74" s="142">
        <f t="shared" si="8"/>
        <v>0</v>
      </c>
      <c r="Z74" s="142" t="str">
        <f t="shared" si="9"/>
        <v/>
      </c>
      <c r="AA74" s="142">
        <f t="shared" si="10"/>
        <v>0</v>
      </c>
      <c r="AB74" s="142"/>
      <c r="AC74" s="142"/>
      <c r="AD74" s="142"/>
      <c r="AE74" s="142"/>
      <c r="AF74" s="142"/>
      <c r="AG74" s="142"/>
      <c r="AH74" s="142"/>
      <c r="AI74" s="142"/>
      <c r="AJ74" s="150"/>
      <c r="AK74" s="118"/>
      <c r="AL74" s="118"/>
      <c r="AM74" s="118"/>
      <c r="AN74" s="118"/>
      <c r="AO74" s="118"/>
      <c r="AP74" s="118"/>
      <c r="AQ74" s="121"/>
      <c r="AR74" s="121"/>
      <c r="AS74" s="121"/>
      <c r="AT74" s="121"/>
      <c r="AU74" s="121"/>
      <c r="AV74" s="121"/>
      <c r="AW74" s="121"/>
      <c r="AX74" s="121"/>
      <c r="AY74" s="121"/>
      <c r="AZ74" s="121"/>
      <c r="BA74" s="121"/>
      <c r="BB74" s="121"/>
      <c r="BC74" s="121"/>
      <c r="BD74" s="121"/>
      <c r="BE74" s="121"/>
      <c r="BF74" s="121"/>
      <c r="BG74" s="121"/>
      <c r="BH74" s="121"/>
    </row>
    <row r="75" spans="1:63" ht="15" customHeight="1">
      <c r="A75" s="118"/>
      <c r="B75" s="165"/>
      <c r="C75" s="166"/>
      <c r="D75" s="167"/>
      <c r="E75" s="167"/>
      <c r="F75" s="167"/>
      <c r="G75" s="167"/>
      <c r="H75" s="168" t="str">
        <f t="shared" si="14"/>
        <v/>
      </c>
      <c r="I75" s="168"/>
      <c r="J75" s="131"/>
      <c r="K75" s="167"/>
      <c r="L75" s="167"/>
      <c r="M75" s="167"/>
      <c r="N75" s="167"/>
      <c r="O75" s="167"/>
      <c r="P75" s="136" t="str">
        <f t="shared" si="11"/>
        <v>_Inspection Log.xlsm</v>
      </c>
      <c r="Q75" s="140" t="str">
        <f t="shared" si="12"/>
        <v>C:\Users\sabi_\OneDrive\Desktop\New folder\Coding logs\_Inspection Log.xlsm</v>
      </c>
      <c r="R75" s="141">
        <f t="array" ref="R75">SUM(IF($J$30:$J$194=IF(J75="","Blank",J75),1,0))</f>
        <v>0</v>
      </c>
      <c r="S75" s="141">
        <f t="shared" si="3"/>
        <v>0</v>
      </c>
      <c r="T75" s="141" t="str">
        <f t="shared" si="4"/>
        <v/>
      </c>
      <c r="U75" s="142">
        <f t="shared" si="5"/>
        <v>0</v>
      </c>
      <c r="V75" s="142">
        <f t="shared" si="6"/>
        <v>0</v>
      </c>
      <c r="W75" s="142">
        <f t="array" ref="W75">SUM(IF(LEN(J73:J237)&lt;=3,0,1))</f>
        <v>0</v>
      </c>
      <c r="X75" s="141" t="str">
        <f t="shared" si="7"/>
        <v>_Inspection Log</v>
      </c>
      <c r="Y75" s="142">
        <f t="shared" si="8"/>
        <v>0</v>
      </c>
      <c r="Z75" s="142" t="str">
        <f t="shared" si="9"/>
        <v/>
      </c>
      <c r="AA75" s="142">
        <f t="shared" si="10"/>
        <v>0</v>
      </c>
      <c r="AB75" s="142"/>
      <c r="AC75" s="142"/>
      <c r="AD75" s="142"/>
      <c r="AE75" s="142"/>
      <c r="AF75" s="142"/>
      <c r="AG75" s="142"/>
      <c r="AH75" s="142"/>
      <c r="AI75" s="142"/>
      <c r="AJ75" s="150"/>
      <c r="AK75" s="118"/>
      <c r="AL75" s="118"/>
      <c r="AM75" s="118"/>
      <c r="AN75" s="118"/>
      <c r="AO75" s="118"/>
      <c r="AP75" s="118"/>
      <c r="AQ75" s="121"/>
      <c r="AR75" s="121"/>
      <c r="AS75" s="121"/>
      <c r="AT75" s="121"/>
      <c r="AU75" s="121"/>
      <c r="AV75" s="121"/>
      <c r="AW75" s="121"/>
      <c r="AX75" s="121"/>
      <c r="AY75" s="121"/>
      <c r="AZ75" s="121"/>
      <c r="BA75" s="121"/>
      <c r="BB75" s="121"/>
      <c r="BC75" s="121"/>
      <c r="BD75" s="121"/>
      <c r="BE75" s="121"/>
      <c r="BF75" s="121"/>
      <c r="BG75" s="121"/>
      <c r="BH75" s="121"/>
    </row>
    <row r="76" spans="1:63" ht="15" customHeight="1">
      <c r="A76" s="118"/>
      <c r="B76" s="165"/>
      <c r="C76" s="166"/>
      <c r="D76" s="167"/>
      <c r="E76" s="167"/>
      <c r="F76" s="167"/>
      <c r="G76" s="167"/>
      <c r="H76" s="168" t="str">
        <f t="shared" si="14"/>
        <v/>
      </c>
      <c r="I76" s="168"/>
      <c r="J76" s="131"/>
      <c r="K76" s="167"/>
      <c r="L76" s="167"/>
      <c r="M76" s="167"/>
      <c r="N76" s="167"/>
      <c r="O76" s="167"/>
      <c r="P76" s="136" t="str">
        <f t="shared" si="11"/>
        <v>_Inspection Log.xlsm</v>
      </c>
      <c r="Q76" s="140" t="str">
        <f t="shared" si="12"/>
        <v>C:\Users\sabi_\OneDrive\Desktop\New folder\Coding logs\_Inspection Log.xlsm</v>
      </c>
      <c r="R76" s="141">
        <f t="array" ref="R76">SUM(IF($J$30:$J$194=IF(J76="","Blank",J76),1,0))</f>
        <v>0</v>
      </c>
      <c r="S76" s="141">
        <f t="shared" si="3"/>
        <v>0</v>
      </c>
      <c r="T76" s="141" t="str">
        <f t="shared" si="4"/>
        <v/>
      </c>
      <c r="U76" s="142">
        <f t="shared" si="5"/>
        <v>0</v>
      </c>
      <c r="V76" s="142">
        <f t="shared" si="6"/>
        <v>0</v>
      </c>
      <c r="W76" s="142">
        <f t="array" ref="W76">SUM(IF(LEN(J74:J238)&lt;=3,0,1))</f>
        <v>0</v>
      </c>
      <c r="X76" s="141" t="str">
        <f t="shared" si="7"/>
        <v>_Inspection Log</v>
      </c>
      <c r="Y76" s="142">
        <f t="shared" si="8"/>
        <v>0</v>
      </c>
      <c r="Z76" s="142" t="str">
        <f t="shared" si="9"/>
        <v/>
      </c>
      <c r="AA76" s="142">
        <f t="shared" si="10"/>
        <v>0</v>
      </c>
      <c r="AB76" s="142"/>
      <c r="AC76" s="142"/>
      <c r="AD76" s="142"/>
      <c r="AE76" s="142"/>
      <c r="AF76" s="142"/>
      <c r="AG76" s="142"/>
      <c r="AH76" s="142"/>
      <c r="AI76" s="142"/>
      <c r="AJ76" s="150"/>
      <c r="AK76" s="118"/>
      <c r="AL76" s="118"/>
      <c r="AM76" s="118"/>
      <c r="AN76" s="118"/>
      <c r="AO76" s="118"/>
      <c r="AP76" s="118"/>
      <c r="AQ76" s="121"/>
      <c r="AR76" s="121"/>
      <c r="AS76" s="121"/>
      <c r="AT76" s="121"/>
      <c r="AU76" s="121"/>
      <c r="AV76" s="121"/>
      <c r="AW76" s="121"/>
      <c r="AX76" s="121"/>
      <c r="AY76" s="121"/>
      <c r="AZ76" s="121"/>
      <c r="BA76" s="121"/>
      <c r="BB76" s="121"/>
      <c r="BC76" s="121"/>
      <c r="BD76" s="121"/>
      <c r="BE76" s="121"/>
      <c r="BF76" s="121"/>
      <c r="BG76" s="121"/>
      <c r="BH76" s="121"/>
    </row>
    <row r="77" spans="1:63" ht="15" customHeight="1">
      <c r="A77" s="118"/>
      <c r="B77" s="165"/>
      <c r="C77" s="166"/>
      <c r="D77" s="167"/>
      <c r="E77" s="167"/>
      <c r="F77" s="167"/>
      <c r="G77" s="167"/>
      <c r="H77" s="168" t="str">
        <f t="shared" si="14"/>
        <v/>
      </c>
      <c r="I77" s="168"/>
      <c r="J77" s="131"/>
      <c r="K77" s="167"/>
      <c r="L77" s="167"/>
      <c r="M77" s="167"/>
      <c r="N77" s="167"/>
      <c r="O77" s="167"/>
      <c r="P77" s="136" t="str">
        <f t="shared" si="11"/>
        <v>_Inspection Log.xlsm</v>
      </c>
      <c r="Q77" s="140" t="str">
        <f t="shared" si="12"/>
        <v>C:\Users\sabi_\OneDrive\Desktop\New folder\Coding logs\_Inspection Log.xlsm</v>
      </c>
      <c r="R77" s="141">
        <f t="array" ref="R77">SUM(IF($J$30:$J$194=IF(J77="","Blank",J77),1,0))</f>
        <v>0</v>
      </c>
      <c r="S77" s="141">
        <f t="shared" si="3"/>
        <v>0</v>
      </c>
      <c r="T77" s="141" t="str">
        <f t="shared" si="4"/>
        <v/>
      </c>
      <c r="U77" s="142">
        <f t="shared" si="5"/>
        <v>0</v>
      </c>
      <c r="V77" s="142">
        <f t="shared" si="6"/>
        <v>0</v>
      </c>
      <c r="W77" s="142">
        <f t="array" ref="W77">SUM(IF(LEN(J75:J239)&lt;=3,0,1))</f>
        <v>0</v>
      </c>
      <c r="X77" s="141" t="str">
        <f t="shared" si="7"/>
        <v>_Inspection Log</v>
      </c>
      <c r="Y77" s="142">
        <f t="shared" si="8"/>
        <v>0</v>
      </c>
      <c r="Z77" s="142" t="str">
        <f t="shared" si="9"/>
        <v/>
      </c>
      <c r="AA77" s="142">
        <f t="shared" si="10"/>
        <v>0</v>
      </c>
      <c r="AB77" s="142"/>
      <c r="AC77" s="142"/>
      <c r="AD77" s="142"/>
      <c r="AE77" s="142"/>
      <c r="AF77" s="142"/>
      <c r="AG77" s="142"/>
      <c r="AH77" s="142"/>
      <c r="AI77" s="142"/>
      <c r="AJ77" s="150"/>
      <c r="AK77" s="118"/>
      <c r="AL77" s="118"/>
      <c r="AM77" s="118"/>
      <c r="AN77" s="118"/>
      <c r="AO77" s="118"/>
      <c r="AP77" s="118"/>
      <c r="AQ77" s="121"/>
      <c r="AR77" s="121"/>
      <c r="AS77" s="121"/>
      <c r="AT77" s="121"/>
      <c r="AU77" s="121"/>
      <c r="AV77" s="121"/>
      <c r="AW77" s="121"/>
      <c r="AX77" s="121"/>
      <c r="AY77" s="121"/>
      <c r="AZ77" s="121"/>
      <c r="BA77" s="121"/>
      <c r="BB77" s="121"/>
      <c r="BC77" s="121"/>
      <c r="BD77" s="121"/>
      <c r="BE77" s="121"/>
      <c r="BF77" s="121"/>
      <c r="BG77" s="121"/>
      <c r="BH77" s="121"/>
    </row>
    <row r="78" spans="1:63" ht="15" customHeight="1">
      <c r="A78" s="118"/>
      <c r="B78" s="165"/>
      <c r="C78" s="166"/>
      <c r="D78" s="167"/>
      <c r="E78" s="167"/>
      <c r="F78" s="167"/>
      <c r="G78" s="167"/>
      <c r="H78" s="168" t="str">
        <f t="shared" si="14"/>
        <v/>
      </c>
      <c r="I78" s="168"/>
      <c r="J78" s="131"/>
      <c r="K78" s="167"/>
      <c r="L78" s="167"/>
      <c r="M78" s="167"/>
      <c r="N78" s="167"/>
      <c r="O78" s="167"/>
      <c r="P78" s="136" t="str">
        <f t="shared" si="11"/>
        <v>_Inspection Log.xlsm</v>
      </c>
      <c r="Q78" s="140" t="str">
        <f t="shared" si="12"/>
        <v>C:\Users\sabi_\OneDrive\Desktop\New folder\Coding logs\_Inspection Log.xlsm</v>
      </c>
      <c r="R78" s="141">
        <f t="array" ref="R78">SUM(IF($J$30:$J$194=IF(J78="","Blank",J78),1,0))</f>
        <v>0</v>
      </c>
      <c r="S78" s="141">
        <f t="shared" si="3"/>
        <v>0</v>
      </c>
      <c r="T78" s="141" t="str">
        <f t="shared" si="4"/>
        <v/>
      </c>
      <c r="U78" s="142">
        <f t="shared" si="5"/>
        <v>0</v>
      </c>
      <c r="V78" s="142">
        <f t="shared" si="6"/>
        <v>0</v>
      </c>
      <c r="W78" s="142">
        <f t="array" ref="W78">SUM(IF(LEN(J76:J240)&lt;=3,0,1))</f>
        <v>0</v>
      </c>
      <c r="X78" s="141" t="str">
        <f t="shared" si="7"/>
        <v>_Inspection Log</v>
      </c>
      <c r="Y78" s="142">
        <f t="shared" si="8"/>
        <v>0</v>
      </c>
      <c r="Z78" s="142" t="str">
        <f t="shared" si="9"/>
        <v/>
      </c>
      <c r="AA78" s="142">
        <f t="shared" si="10"/>
        <v>0</v>
      </c>
      <c r="AB78" s="142"/>
      <c r="AC78" s="142"/>
      <c r="AD78" s="142"/>
      <c r="AE78" s="142"/>
      <c r="AF78" s="142"/>
      <c r="AG78" s="142"/>
      <c r="AH78" s="142"/>
      <c r="AI78" s="142"/>
      <c r="AJ78" s="150"/>
      <c r="AK78" s="118"/>
      <c r="AL78" s="118"/>
      <c r="AM78" s="118"/>
      <c r="AN78" s="118"/>
      <c r="AO78" s="118"/>
      <c r="AP78" s="118"/>
      <c r="AQ78" s="121"/>
      <c r="AR78" s="121"/>
      <c r="AS78" s="121"/>
      <c r="AT78" s="121"/>
      <c r="AU78" s="121"/>
      <c r="AV78" s="121"/>
      <c r="AW78" s="121"/>
      <c r="AX78" s="121"/>
      <c r="AY78" s="121"/>
      <c r="AZ78" s="121"/>
      <c r="BA78" s="121"/>
      <c r="BB78" s="121"/>
      <c r="BC78" s="121"/>
      <c r="BD78" s="121"/>
      <c r="BE78" s="121"/>
      <c r="BF78" s="121"/>
      <c r="BG78" s="121"/>
      <c r="BH78" s="121"/>
    </row>
    <row r="79" spans="1:63" ht="15" customHeight="1">
      <c r="A79" s="118"/>
      <c r="B79" s="165"/>
      <c r="C79" s="166"/>
      <c r="D79" s="167"/>
      <c r="E79" s="167"/>
      <c r="F79" s="167"/>
      <c r="G79" s="167"/>
      <c r="H79" s="168" t="str">
        <f t="shared" si="14"/>
        <v/>
      </c>
      <c r="I79" s="168"/>
      <c r="J79" s="131"/>
      <c r="K79" s="167"/>
      <c r="L79" s="167"/>
      <c r="M79" s="167"/>
      <c r="N79" s="167"/>
      <c r="O79" s="167"/>
      <c r="P79" s="136" t="str">
        <f t="shared" si="11"/>
        <v>_Inspection Log.xlsm</v>
      </c>
      <c r="Q79" s="140" t="str">
        <f t="shared" si="12"/>
        <v>C:\Users\sabi_\OneDrive\Desktop\New folder\Coding logs\_Inspection Log.xlsm</v>
      </c>
      <c r="R79" s="141">
        <f t="array" ref="R79">SUM(IF($J$30:$J$194=IF(J79="","Blank",J79),1,0))</f>
        <v>0</v>
      </c>
      <c r="S79" s="141">
        <f t="shared" si="3"/>
        <v>0</v>
      </c>
      <c r="T79" s="141" t="str">
        <f t="shared" si="4"/>
        <v/>
      </c>
      <c r="U79" s="142">
        <f t="shared" si="5"/>
        <v>0</v>
      </c>
      <c r="V79" s="142">
        <f t="shared" si="6"/>
        <v>0</v>
      </c>
      <c r="W79" s="142">
        <f t="array" ref="W79">SUM(IF(LEN(J77:J241)&lt;=3,0,1))</f>
        <v>0</v>
      </c>
      <c r="X79" s="141" t="str">
        <f t="shared" si="7"/>
        <v>_Inspection Log</v>
      </c>
      <c r="Y79" s="142">
        <f t="shared" si="8"/>
        <v>0</v>
      </c>
      <c r="Z79" s="142" t="str">
        <f t="shared" si="9"/>
        <v/>
      </c>
      <c r="AA79" s="142">
        <f t="shared" si="10"/>
        <v>0</v>
      </c>
      <c r="AB79" s="142"/>
      <c r="AC79" s="142"/>
      <c r="AD79" s="142"/>
      <c r="AE79" s="142"/>
      <c r="AF79" s="142"/>
      <c r="AG79" s="142"/>
      <c r="AH79" s="142"/>
      <c r="AI79" s="142"/>
      <c r="AJ79" s="150"/>
      <c r="AK79" s="118"/>
      <c r="AL79" s="118"/>
      <c r="AM79" s="118"/>
      <c r="AN79" s="118"/>
      <c r="AO79" s="118"/>
      <c r="AP79" s="118"/>
      <c r="AQ79" s="121"/>
      <c r="AR79" s="121"/>
      <c r="AS79" s="121"/>
      <c r="AT79" s="121"/>
      <c r="AU79" s="121"/>
      <c r="AV79" s="121"/>
      <c r="AW79" s="121"/>
      <c r="AX79" s="121"/>
      <c r="AY79" s="121"/>
      <c r="AZ79" s="121"/>
      <c r="BA79" s="121"/>
      <c r="BB79" s="121"/>
      <c r="BC79" s="121"/>
      <c r="BD79" s="121"/>
      <c r="BE79" s="121"/>
      <c r="BF79" s="121"/>
      <c r="BG79" s="121"/>
      <c r="BH79" s="121"/>
    </row>
    <row r="80" spans="1:63" ht="15" customHeight="1">
      <c r="A80" s="118"/>
      <c r="B80" s="165"/>
      <c r="C80" s="166"/>
      <c r="D80" s="167"/>
      <c r="E80" s="167"/>
      <c r="F80" s="167"/>
      <c r="G80" s="167"/>
      <c r="H80" s="168" t="str">
        <f t="shared" si="14"/>
        <v/>
      </c>
      <c r="I80" s="168"/>
      <c r="J80" s="131"/>
      <c r="K80" s="167"/>
      <c r="L80" s="167"/>
      <c r="M80" s="167"/>
      <c r="N80" s="167"/>
      <c r="O80" s="167"/>
      <c r="P80" s="136" t="str">
        <f t="shared" si="11"/>
        <v>_Inspection Log.xlsm</v>
      </c>
      <c r="Q80" s="140" t="str">
        <f t="shared" si="12"/>
        <v>C:\Users\sabi_\OneDrive\Desktop\New folder\Coding logs\_Inspection Log.xlsm</v>
      </c>
      <c r="R80" s="141">
        <f t="array" ref="R80">SUM(IF($J$30:$J$194=IF(J80="","Blank",J80),1,0))</f>
        <v>0</v>
      </c>
      <c r="S80" s="141">
        <f t="shared" si="3"/>
        <v>0</v>
      </c>
      <c r="T80" s="141" t="str">
        <f t="shared" si="4"/>
        <v/>
      </c>
      <c r="U80" s="142">
        <f t="shared" si="5"/>
        <v>0</v>
      </c>
      <c r="V80" s="142">
        <f t="shared" si="6"/>
        <v>0</v>
      </c>
      <c r="W80" s="142">
        <f t="array" ref="W80">SUM(IF(LEN(J78:J242)&lt;=3,0,1))</f>
        <v>0</v>
      </c>
      <c r="X80" s="141" t="str">
        <f t="shared" si="7"/>
        <v>_Inspection Log</v>
      </c>
      <c r="Y80" s="142">
        <f t="shared" si="8"/>
        <v>0</v>
      </c>
      <c r="Z80" s="142" t="str">
        <f t="shared" si="9"/>
        <v/>
      </c>
      <c r="AA80" s="142">
        <f t="shared" si="10"/>
        <v>0</v>
      </c>
      <c r="AB80" s="142"/>
      <c r="AC80" s="142"/>
      <c r="AD80" s="142"/>
      <c r="AE80" s="142"/>
      <c r="AF80" s="142"/>
      <c r="AG80" s="142"/>
      <c r="AH80" s="142"/>
      <c r="AI80" s="142"/>
      <c r="AJ80" s="150"/>
      <c r="AK80" s="118"/>
      <c r="AL80" s="118"/>
      <c r="AM80" s="118"/>
      <c r="AN80" s="118"/>
      <c r="AO80" s="118"/>
      <c r="AP80" s="118"/>
      <c r="AQ80" s="121"/>
      <c r="AR80" s="121"/>
      <c r="AS80" s="121"/>
      <c r="AT80" s="121"/>
      <c r="AU80" s="121"/>
      <c r="AV80" s="121"/>
      <c r="AW80" s="121"/>
      <c r="AX80" s="121"/>
      <c r="AY80" s="121"/>
      <c r="AZ80" s="121"/>
      <c r="BA80" s="121"/>
      <c r="BB80" s="121"/>
      <c r="BC80" s="121"/>
      <c r="BD80" s="121"/>
      <c r="BE80" s="121"/>
      <c r="BF80" s="121"/>
      <c r="BG80" s="121"/>
      <c r="BH80" s="121"/>
    </row>
    <row r="81" spans="1:60" ht="15" customHeight="1">
      <c r="A81" s="118"/>
      <c r="B81" s="165"/>
      <c r="C81" s="166"/>
      <c r="D81" s="167"/>
      <c r="E81" s="167"/>
      <c r="F81" s="167"/>
      <c r="G81" s="167"/>
      <c r="H81" s="168" t="str">
        <f t="shared" si="14"/>
        <v/>
      </c>
      <c r="I81" s="168"/>
      <c r="J81" s="131"/>
      <c r="K81" s="167"/>
      <c r="L81" s="167"/>
      <c r="M81" s="167"/>
      <c r="N81" s="167"/>
      <c r="O81" s="167"/>
      <c r="P81" s="136" t="str">
        <f t="shared" si="11"/>
        <v>_Inspection Log.xlsm</v>
      </c>
      <c r="Q81" s="140" t="str">
        <f t="shared" si="12"/>
        <v>C:\Users\sabi_\OneDrive\Desktop\New folder\Coding logs\_Inspection Log.xlsm</v>
      </c>
      <c r="R81" s="141">
        <f t="array" ref="R81">SUM(IF($J$30:$J$194=IF(J81="","Blank",J81),1,0))</f>
        <v>0</v>
      </c>
      <c r="S81" s="141">
        <f t="shared" si="3"/>
        <v>0</v>
      </c>
      <c r="T81" s="141" t="str">
        <f t="shared" si="4"/>
        <v/>
      </c>
      <c r="U81" s="142">
        <f t="shared" si="5"/>
        <v>0</v>
      </c>
      <c r="V81" s="142">
        <f t="shared" si="6"/>
        <v>0</v>
      </c>
      <c r="W81" s="142">
        <f t="array" ref="W81">SUM(IF(LEN(J79:J243)&lt;=3,0,1))</f>
        <v>0</v>
      </c>
      <c r="X81" s="141" t="str">
        <f t="shared" si="7"/>
        <v>_Inspection Log</v>
      </c>
      <c r="Y81" s="142">
        <f t="shared" si="8"/>
        <v>0</v>
      </c>
      <c r="Z81" s="142" t="str">
        <f t="shared" si="9"/>
        <v/>
      </c>
      <c r="AA81" s="142">
        <f t="shared" si="10"/>
        <v>0</v>
      </c>
      <c r="AB81" s="142"/>
      <c r="AC81" s="142"/>
      <c r="AD81" s="142"/>
      <c r="AE81" s="142"/>
      <c r="AF81" s="142"/>
      <c r="AG81" s="142"/>
      <c r="AH81" s="142"/>
      <c r="AI81" s="142"/>
      <c r="AJ81" s="150"/>
      <c r="AK81" s="118"/>
      <c r="AL81" s="118"/>
      <c r="AM81" s="118"/>
      <c r="AN81" s="118"/>
      <c r="AO81" s="118"/>
      <c r="AP81" s="118"/>
      <c r="AQ81" s="121"/>
      <c r="AR81" s="121"/>
      <c r="AS81" s="121"/>
      <c r="AT81" s="121"/>
      <c r="AU81" s="121"/>
      <c r="AV81" s="121"/>
      <c r="AW81" s="121"/>
      <c r="AX81" s="121"/>
      <c r="AY81" s="121"/>
      <c r="AZ81" s="121"/>
      <c r="BA81" s="121"/>
      <c r="BB81" s="121"/>
      <c r="BC81" s="121"/>
      <c r="BD81" s="121"/>
      <c r="BE81" s="121"/>
      <c r="BF81" s="121"/>
      <c r="BG81" s="121"/>
      <c r="BH81" s="121"/>
    </row>
    <row r="82" spans="1:60" ht="15" customHeight="1">
      <c r="A82" s="118"/>
      <c r="B82" s="165"/>
      <c r="C82" s="166"/>
      <c r="D82" s="167"/>
      <c r="E82" s="167"/>
      <c r="F82" s="167"/>
      <c r="G82" s="167"/>
      <c r="H82" s="168" t="str">
        <f t="shared" si="14"/>
        <v/>
      </c>
      <c r="I82" s="168"/>
      <c r="J82" s="131"/>
      <c r="K82" s="167"/>
      <c r="L82" s="167"/>
      <c r="M82" s="167"/>
      <c r="N82" s="167"/>
      <c r="O82" s="167"/>
      <c r="P82" s="136" t="str">
        <f t="shared" si="11"/>
        <v>_Inspection Log.xlsm</v>
      </c>
      <c r="Q82" s="140" t="str">
        <f t="shared" si="12"/>
        <v>C:\Users\sabi_\OneDrive\Desktop\New folder\Coding logs\_Inspection Log.xlsm</v>
      </c>
      <c r="R82" s="141">
        <f t="array" ref="R82">SUM(IF($J$30:$J$194=IF(J82="","Blank",J82),1,0))</f>
        <v>0</v>
      </c>
      <c r="S82" s="141">
        <f t="shared" si="3"/>
        <v>0</v>
      </c>
      <c r="T82" s="141" t="str">
        <f t="shared" si="4"/>
        <v/>
      </c>
      <c r="U82" s="142">
        <f t="shared" si="5"/>
        <v>0</v>
      </c>
      <c r="V82" s="142">
        <f t="shared" si="6"/>
        <v>0</v>
      </c>
      <c r="W82" s="142">
        <f t="array" ref="W82">SUM(IF(LEN(J80:J244)&lt;=3,0,1))</f>
        <v>0</v>
      </c>
      <c r="X82" s="141" t="str">
        <f t="shared" si="7"/>
        <v>_Inspection Log</v>
      </c>
      <c r="Y82" s="142">
        <f t="shared" si="8"/>
        <v>0</v>
      </c>
      <c r="Z82" s="142" t="str">
        <f t="shared" si="9"/>
        <v/>
      </c>
      <c r="AA82" s="142">
        <f t="shared" si="10"/>
        <v>0</v>
      </c>
      <c r="AB82" s="142"/>
      <c r="AC82" s="142"/>
      <c r="AD82" s="142"/>
      <c r="AE82" s="142"/>
      <c r="AF82" s="142"/>
      <c r="AG82" s="142"/>
      <c r="AH82" s="142"/>
      <c r="AI82" s="142"/>
      <c r="AJ82" s="150"/>
      <c r="AK82" s="118"/>
      <c r="AL82" s="118"/>
      <c r="AM82" s="118"/>
      <c r="AN82" s="118"/>
      <c r="AO82" s="118"/>
      <c r="AP82" s="118"/>
      <c r="AQ82" s="121"/>
      <c r="AR82" s="121"/>
      <c r="AS82" s="121"/>
      <c r="AT82" s="121"/>
      <c r="AU82" s="121"/>
      <c r="AV82" s="121"/>
      <c r="AW82" s="121"/>
      <c r="AX82" s="121"/>
      <c r="AY82" s="121"/>
      <c r="AZ82" s="121"/>
      <c r="BA82" s="121"/>
      <c r="BB82" s="121"/>
      <c r="BC82" s="121"/>
      <c r="BD82" s="121"/>
      <c r="BE82" s="121"/>
      <c r="BF82" s="121"/>
      <c r="BG82" s="121"/>
      <c r="BH82" s="121"/>
    </row>
    <row r="83" spans="1:60" ht="15" customHeight="1">
      <c r="A83" s="118"/>
      <c r="B83" s="165"/>
      <c r="C83" s="166"/>
      <c r="D83" s="167"/>
      <c r="E83" s="167"/>
      <c r="F83" s="167"/>
      <c r="G83" s="167"/>
      <c r="H83" s="168" t="str">
        <f t="shared" si="14"/>
        <v/>
      </c>
      <c r="I83" s="168"/>
      <c r="J83" s="131"/>
      <c r="K83" s="167"/>
      <c r="L83" s="167"/>
      <c r="M83" s="167"/>
      <c r="N83" s="167"/>
      <c r="O83" s="167"/>
      <c r="P83" s="136" t="str">
        <f t="shared" si="11"/>
        <v>_Inspection Log.xlsm</v>
      </c>
      <c r="Q83" s="140" t="str">
        <f t="shared" si="12"/>
        <v>C:\Users\sabi_\OneDrive\Desktop\New folder\Coding logs\_Inspection Log.xlsm</v>
      </c>
      <c r="R83" s="141">
        <f t="array" ref="R83">SUM(IF($J$30:$J$194=IF(J83="","Blank",J83),1,0))</f>
        <v>0</v>
      </c>
      <c r="S83" s="141">
        <f t="shared" si="3"/>
        <v>0</v>
      </c>
      <c r="T83" s="141" t="str">
        <f t="shared" si="4"/>
        <v/>
      </c>
      <c r="U83" s="142">
        <f t="shared" si="5"/>
        <v>0</v>
      </c>
      <c r="V83" s="142">
        <f t="shared" si="6"/>
        <v>0</v>
      </c>
      <c r="W83" s="142">
        <f t="array" ref="W83">SUM(IF(LEN(J81:J245)&lt;=3,0,1))</f>
        <v>0</v>
      </c>
      <c r="X83" s="141" t="str">
        <f t="shared" si="7"/>
        <v>_Inspection Log</v>
      </c>
      <c r="Y83" s="142">
        <f t="shared" si="8"/>
        <v>0</v>
      </c>
      <c r="Z83" s="142" t="str">
        <f t="shared" si="9"/>
        <v/>
      </c>
      <c r="AA83" s="142">
        <f t="shared" si="10"/>
        <v>0</v>
      </c>
      <c r="AB83" s="142"/>
      <c r="AC83" s="142"/>
      <c r="AD83" s="142"/>
      <c r="AE83" s="142"/>
      <c r="AF83" s="142"/>
      <c r="AG83" s="142"/>
      <c r="AH83" s="142"/>
      <c r="AI83" s="142"/>
      <c r="AJ83" s="150"/>
      <c r="AK83" s="118"/>
      <c r="AL83" s="118"/>
      <c r="AM83" s="118"/>
      <c r="AN83" s="118"/>
      <c r="AO83" s="118"/>
      <c r="AP83" s="118"/>
      <c r="AQ83" s="121"/>
      <c r="AR83" s="121"/>
      <c r="AS83" s="121"/>
      <c r="AT83" s="121"/>
      <c r="AU83" s="121"/>
      <c r="AV83" s="121"/>
      <c r="AW83" s="121"/>
      <c r="AX83" s="121"/>
      <c r="AY83" s="121"/>
      <c r="AZ83" s="121"/>
      <c r="BA83" s="121"/>
      <c r="BB83" s="121"/>
      <c r="BC83" s="121"/>
      <c r="BD83" s="121"/>
      <c r="BE83" s="121"/>
      <c r="BF83" s="121"/>
      <c r="BG83" s="121"/>
      <c r="BH83" s="121"/>
    </row>
    <row r="84" spans="1:60" ht="15" customHeight="1">
      <c r="A84" s="118"/>
      <c r="B84" s="165"/>
      <c r="C84" s="166"/>
      <c r="D84" s="167"/>
      <c r="E84" s="167"/>
      <c r="F84" s="167"/>
      <c r="G84" s="167"/>
      <c r="H84" s="168" t="str">
        <f t="shared" si="14"/>
        <v/>
      </c>
      <c r="I84" s="168"/>
      <c r="J84" s="131"/>
      <c r="K84" s="167"/>
      <c r="L84" s="167"/>
      <c r="M84" s="167"/>
      <c r="N84" s="167"/>
      <c r="O84" s="167"/>
      <c r="P84" s="136" t="str">
        <f t="shared" si="11"/>
        <v>_Inspection Log.xlsm</v>
      </c>
      <c r="Q84" s="140" t="str">
        <f t="shared" si="12"/>
        <v>C:\Users\sabi_\OneDrive\Desktop\New folder\Coding logs\_Inspection Log.xlsm</v>
      </c>
      <c r="R84" s="141">
        <f t="array" ref="R84">SUM(IF($J$30:$J$194=IF(J84="","Blank",J84),1,0))</f>
        <v>0</v>
      </c>
      <c r="S84" s="141">
        <f t="shared" si="3"/>
        <v>0</v>
      </c>
      <c r="T84" s="141" t="str">
        <f t="shared" si="4"/>
        <v/>
      </c>
      <c r="U84" s="142">
        <f t="shared" si="5"/>
        <v>0</v>
      </c>
      <c r="V84" s="142">
        <f t="shared" si="6"/>
        <v>0</v>
      </c>
      <c r="W84" s="142">
        <f t="array" ref="W84">SUM(IF(LEN(J82:J246)&lt;=3,0,1))</f>
        <v>0</v>
      </c>
      <c r="X84" s="141" t="str">
        <f t="shared" si="7"/>
        <v>_Inspection Log</v>
      </c>
      <c r="Y84" s="142">
        <f t="shared" si="8"/>
        <v>0</v>
      </c>
      <c r="Z84" s="142" t="str">
        <f t="shared" si="9"/>
        <v/>
      </c>
      <c r="AA84" s="142">
        <f t="shared" si="10"/>
        <v>0</v>
      </c>
      <c r="AB84" s="142"/>
      <c r="AC84" s="142"/>
      <c r="AD84" s="142"/>
      <c r="AE84" s="142"/>
      <c r="AF84" s="142"/>
      <c r="AG84" s="142"/>
      <c r="AH84" s="142"/>
      <c r="AI84" s="142"/>
      <c r="AJ84" s="150"/>
      <c r="AK84" s="118"/>
      <c r="AL84" s="118"/>
      <c r="AM84" s="118"/>
      <c r="AN84" s="118"/>
      <c r="AO84" s="118"/>
      <c r="AP84" s="118"/>
      <c r="AQ84" s="121"/>
      <c r="AR84" s="121"/>
      <c r="AS84" s="121"/>
      <c r="AT84" s="121"/>
      <c r="AU84" s="121"/>
      <c r="AV84" s="121"/>
      <c r="AW84" s="121"/>
      <c r="AX84" s="121"/>
      <c r="AY84" s="121"/>
      <c r="AZ84" s="121"/>
      <c r="BA84" s="121"/>
      <c r="BB84" s="121"/>
      <c r="BC84" s="121"/>
      <c r="BD84" s="121"/>
      <c r="BE84" s="121"/>
      <c r="BF84" s="121"/>
      <c r="BG84" s="121"/>
      <c r="BH84" s="121"/>
    </row>
    <row r="85" spans="1:60" ht="15" customHeight="1">
      <c r="A85" s="118"/>
      <c r="B85" s="165"/>
      <c r="C85" s="166"/>
      <c r="D85" s="167"/>
      <c r="E85" s="167"/>
      <c r="F85" s="167"/>
      <c r="G85" s="167"/>
      <c r="H85" s="168" t="str">
        <f t="shared" si="14"/>
        <v/>
      </c>
      <c r="I85" s="168"/>
      <c r="J85" s="131"/>
      <c r="K85" s="167"/>
      <c r="L85" s="167"/>
      <c r="M85" s="167"/>
      <c r="N85" s="167"/>
      <c r="O85" s="167"/>
      <c r="P85" s="136" t="str">
        <f t="shared" si="11"/>
        <v>_Inspection Log.xlsm</v>
      </c>
      <c r="Q85" s="140" t="str">
        <f t="shared" si="12"/>
        <v>C:\Users\sabi_\OneDrive\Desktop\New folder\Coding logs\_Inspection Log.xlsm</v>
      </c>
      <c r="R85" s="141">
        <f t="array" ref="R85">SUM(IF($J$30:$J$194=IF(J85="","Blank",J85),1,0))</f>
        <v>0</v>
      </c>
      <c r="S85" s="141">
        <f t="shared" si="3"/>
        <v>0</v>
      </c>
      <c r="T85" s="141" t="str">
        <f t="shared" si="4"/>
        <v/>
      </c>
      <c r="U85" s="142">
        <f t="shared" si="5"/>
        <v>0</v>
      </c>
      <c r="V85" s="142">
        <f t="shared" si="6"/>
        <v>0</v>
      </c>
      <c r="W85" s="142">
        <f t="array" ref="W85">SUM(IF(LEN(J83:J247)&lt;=3,0,1))</f>
        <v>0</v>
      </c>
      <c r="X85" s="141" t="str">
        <f t="shared" si="7"/>
        <v>_Inspection Log</v>
      </c>
      <c r="Y85" s="142">
        <f t="shared" si="8"/>
        <v>0</v>
      </c>
      <c r="Z85" s="142" t="str">
        <f t="shared" si="9"/>
        <v/>
      </c>
      <c r="AA85" s="142">
        <f t="shared" si="10"/>
        <v>0</v>
      </c>
      <c r="AB85" s="142"/>
      <c r="AC85" s="142"/>
      <c r="AD85" s="142"/>
      <c r="AE85" s="142"/>
      <c r="AF85" s="142"/>
      <c r="AG85" s="142"/>
      <c r="AH85" s="142"/>
      <c r="AI85" s="142"/>
      <c r="AJ85" s="150"/>
      <c r="AK85" s="118"/>
      <c r="AL85" s="118"/>
      <c r="AM85" s="118"/>
      <c r="AN85" s="118"/>
      <c r="AO85" s="118"/>
      <c r="AP85" s="118"/>
      <c r="AQ85" s="121"/>
      <c r="AR85" s="121"/>
      <c r="AS85" s="121"/>
      <c r="AT85" s="121"/>
      <c r="AU85" s="121"/>
      <c r="AV85" s="121"/>
      <c r="AW85" s="121"/>
      <c r="AX85" s="121"/>
      <c r="AY85" s="121"/>
      <c r="AZ85" s="121"/>
      <c r="BA85" s="121"/>
      <c r="BB85" s="121"/>
      <c r="BC85" s="121"/>
      <c r="BD85" s="121"/>
      <c r="BE85" s="121"/>
      <c r="BF85" s="121"/>
      <c r="BG85" s="121"/>
      <c r="BH85" s="121"/>
    </row>
    <row r="86" spans="1:60" ht="15" customHeight="1">
      <c r="A86" s="118"/>
      <c r="B86" s="165"/>
      <c r="C86" s="166"/>
      <c r="D86" s="167"/>
      <c r="E86" s="167"/>
      <c r="F86" s="167"/>
      <c r="G86" s="167"/>
      <c r="H86" s="168" t="str">
        <f t="shared" si="14"/>
        <v/>
      </c>
      <c r="I86" s="168"/>
      <c r="J86" s="131"/>
      <c r="K86" s="167"/>
      <c r="L86" s="167"/>
      <c r="M86" s="167"/>
      <c r="N86" s="167"/>
      <c r="O86" s="167"/>
      <c r="P86" s="136" t="str">
        <f t="shared" si="11"/>
        <v>_Inspection Log.xlsm</v>
      </c>
      <c r="Q86" s="140" t="str">
        <f t="shared" si="12"/>
        <v>C:\Users\sabi_\OneDrive\Desktop\New folder\Coding logs\_Inspection Log.xlsm</v>
      </c>
      <c r="R86" s="141">
        <f t="array" ref="R86">SUM(IF($J$30:$J$194=IF(J86="","Blank",J86),1,0))</f>
        <v>0</v>
      </c>
      <c r="S86" s="141">
        <f t="shared" si="3"/>
        <v>0</v>
      </c>
      <c r="T86" s="141" t="str">
        <f t="shared" si="4"/>
        <v/>
      </c>
      <c r="U86" s="142">
        <f t="shared" si="5"/>
        <v>0</v>
      </c>
      <c r="V86" s="142">
        <f t="shared" si="6"/>
        <v>0</v>
      </c>
      <c r="W86" s="142">
        <f t="array" ref="W86">SUM(IF(LEN(J84:J248)&lt;=3,0,1))</f>
        <v>0</v>
      </c>
      <c r="X86" s="141" t="str">
        <f t="shared" si="7"/>
        <v>_Inspection Log</v>
      </c>
      <c r="Y86" s="142">
        <f t="shared" si="8"/>
        <v>0</v>
      </c>
      <c r="Z86" s="142" t="str">
        <f t="shared" si="9"/>
        <v/>
      </c>
      <c r="AA86" s="142">
        <f t="shared" si="10"/>
        <v>0</v>
      </c>
      <c r="AB86" s="142"/>
      <c r="AC86" s="142"/>
      <c r="AD86" s="142"/>
      <c r="AE86" s="142"/>
      <c r="AF86" s="142"/>
      <c r="AG86" s="142"/>
      <c r="AH86" s="142"/>
      <c r="AI86" s="142"/>
      <c r="AJ86" s="150"/>
      <c r="AK86" s="118"/>
      <c r="AL86" s="118"/>
      <c r="AM86" s="118"/>
      <c r="AN86" s="118"/>
      <c r="AO86" s="118"/>
      <c r="AP86" s="118"/>
      <c r="AQ86" s="121"/>
      <c r="AR86" s="121"/>
      <c r="AS86" s="121"/>
      <c r="AT86" s="121"/>
      <c r="AU86" s="121"/>
      <c r="AV86" s="121"/>
      <c r="AW86" s="121"/>
      <c r="AX86" s="121"/>
      <c r="AY86" s="121"/>
      <c r="AZ86" s="121"/>
      <c r="BA86" s="121"/>
      <c r="BB86" s="121"/>
      <c r="BC86" s="121"/>
      <c r="BD86" s="121"/>
      <c r="BE86" s="121"/>
      <c r="BF86" s="121"/>
      <c r="BG86" s="121"/>
      <c r="BH86" s="121"/>
    </row>
    <row r="87" spans="1:60" ht="15" customHeight="1">
      <c r="A87" s="118"/>
      <c r="B87" s="165"/>
      <c r="C87" s="166"/>
      <c r="D87" s="167"/>
      <c r="E87" s="167"/>
      <c r="F87" s="167"/>
      <c r="G87" s="167"/>
      <c r="H87" s="168" t="str">
        <f t="shared" si="14"/>
        <v/>
      </c>
      <c r="I87" s="168"/>
      <c r="J87" s="131"/>
      <c r="K87" s="167"/>
      <c r="L87" s="167"/>
      <c r="M87" s="167"/>
      <c r="N87" s="167"/>
      <c r="O87" s="167"/>
      <c r="P87" s="136" t="str">
        <f t="shared" si="11"/>
        <v>_Inspection Log.xlsm</v>
      </c>
      <c r="Q87" s="140" t="str">
        <f t="shared" si="12"/>
        <v>C:\Users\sabi_\OneDrive\Desktop\New folder\Coding logs\_Inspection Log.xlsm</v>
      </c>
      <c r="R87" s="141">
        <f t="array" ref="R87">SUM(IF($J$30:$J$194=IF(J87="","Blank",J87),1,0))</f>
        <v>0</v>
      </c>
      <c r="S87" s="141">
        <f t="shared" si="3"/>
        <v>0</v>
      </c>
      <c r="T87" s="141" t="str">
        <f t="shared" si="4"/>
        <v/>
      </c>
      <c r="U87" s="142">
        <f t="shared" si="5"/>
        <v>0</v>
      </c>
      <c r="V87" s="142">
        <f t="shared" si="6"/>
        <v>0</v>
      </c>
      <c r="W87" s="142">
        <f t="array" ref="W87">SUM(IF(LEN(J85:J249)&lt;=3,0,1))</f>
        <v>0</v>
      </c>
      <c r="X87" s="141" t="str">
        <f t="shared" si="7"/>
        <v>_Inspection Log</v>
      </c>
      <c r="Y87" s="142">
        <f t="shared" si="8"/>
        <v>0</v>
      </c>
      <c r="Z87" s="142" t="str">
        <f t="shared" si="9"/>
        <v/>
      </c>
      <c r="AA87" s="142">
        <f t="shared" si="10"/>
        <v>0</v>
      </c>
      <c r="AB87" s="142"/>
      <c r="AC87" s="142"/>
      <c r="AD87" s="142"/>
      <c r="AE87" s="142"/>
      <c r="AF87" s="142"/>
      <c r="AG87" s="142"/>
      <c r="AH87" s="142"/>
      <c r="AI87" s="142"/>
      <c r="AJ87" s="150"/>
      <c r="AK87" s="118"/>
      <c r="AL87" s="118"/>
      <c r="AM87" s="118"/>
      <c r="AN87" s="118"/>
      <c r="AO87" s="118"/>
      <c r="AP87" s="118"/>
      <c r="AQ87" s="121"/>
      <c r="AR87" s="121"/>
      <c r="AS87" s="121"/>
      <c r="AT87" s="121"/>
      <c r="AU87" s="121"/>
      <c r="AV87" s="121"/>
      <c r="AW87" s="121"/>
      <c r="AX87" s="121"/>
      <c r="AY87" s="121"/>
      <c r="AZ87" s="121"/>
      <c r="BA87" s="121"/>
      <c r="BB87" s="121"/>
      <c r="BC87" s="121"/>
      <c r="BD87" s="121"/>
      <c r="BE87" s="121"/>
      <c r="BF87" s="121"/>
      <c r="BG87" s="121"/>
      <c r="BH87" s="121"/>
    </row>
    <row r="88" spans="1:60" ht="15" customHeight="1">
      <c r="A88" s="118"/>
      <c r="B88" s="165"/>
      <c r="C88" s="166"/>
      <c r="D88" s="167"/>
      <c r="E88" s="167"/>
      <c r="F88" s="167"/>
      <c r="G88" s="167"/>
      <c r="H88" s="168" t="str">
        <f t="shared" si="14"/>
        <v/>
      </c>
      <c r="I88" s="168"/>
      <c r="J88" s="131"/>
      <c r="K88" s="167"/>
      <c r="L88" s="167"/>
      <c r="M88" s="167"/>
      <c r="N88" s="167"/>
      <c r="O88" s="167"/>
      <c r="P88" s="136" t="str">
        <f t="shared" si="11"/>
        <v>_Inspection Log.xlsm</v>
      </c>
      <c r="Q88" s="140" t="str">
        <f t="shared" si="12"/>
        <v>C:\Users\sabi_\OneDrive\Desktop\New folder\Coding logs\_Inspection Log.xlsm</v>
      </c>
      <c r="R88" s="141">
        <f t="array" ref="R88">SUM(IF($J$30:$J$194=IF(J88="","Blank",J88),1,0))</f>
        <v>0</v>
      </c>
      <c r="S88" s="141">
        <f t="shared" si="3"/>
        <v>0</v>
      </c>
      <c r="T88" s="141" t="str">
        <f t="shared" si="4"/>
        <v/>
      </c>
      <c r="U88" s="142">
        <f t="shared" si="5"/>
        <v>0</v>
      </c>
      <c r="V88" s="142">
        <f t="shared" si="6"/>
        <v>0</v>
      </c>
      <c r="W88" s="142">
        <f t="array" ref="W88">SUM(IF(LEN(J86:J250)&lt;=3,0,1))</f>
        <v>0</v>
      </c>
      <c r="X88" s="141" t="str">
        <f t="shared" si="7"/>
        <v>_Inspection Log</v>
      </c>
      <c r="Y88" s="142">
        <f t="shared" si="8"/>
        <v>0</v>
      </c>
      <c r="Z88" s="142" t="str">
        <f t="shared" si="9"/>
        <v/>
      </c>
      <c r="AA88" s="142">
        <f t="shared" si="10"/>
        <v>0</v>
      </c>
      <c r="AB88" s="142"/>
      <c r="AC88" s="142"/>
      <c r="AD88" s="142"/>
      <c r="AE88" s="142"/>
      <c r="AF88" s="142"/>
      <c r="AG88" s="142"/>
      <c r="AH88" s="142"/>
      <c r="AI88" s="142"/>
      <c r="AJ88" s="150"/>
      <c r="AK88" s="118"/>
      <c r="AL88" s="118"/>
      <c r="AM88" s="118"/>
      <c r="AN88" s="118"/>
      <c r="AO88" s="118"/>
      <c r="AP88" s="118"/>
      <c r="AQ88" s="121"/>
      <c r="AR88" s="121"/>
      <c r="AS88" s="121"/>
      <c r="AT88" s="121"/>
      <c r="AU88" s="121"/>
      <c r="AV88" s="121"/>
      <c r="AW88" s="121"/>
      <c r="AX88" s="121"/>
      <c r="AY88" s="121"/>
      <c r="AZ88" s="121"/>
      <c r="BA88" s="121"/>
      <c r="BB88" s="121"/>
      <c r="BC88" s="121"/>
      <c r="BD88" s="121"/>
      <c r="BE88" s="121"/>
      <c r="BF88" s="121"/>
      <c r="BG88" s="121"/>
      <c r="BH88" s="121"/>
    </row>
    <row r="89" spans="1:60" ht="15" customHeight="1">
      <c r="A89" s="118"/>
      <c r="B89" s="165"/>
      <c r="C89" s="166"/>
      <c r="D89" s="167"/>
      <c r="E89" s="167"/>
      <c r="F89" s="167"/>
      <c r="G89" s="167"/>
      <c r="H89" s="168" t="str">
        <f t="shared" si="14"/>
        <v/>
      </c>
      <c r="I89" s="168"/>
      <c r="J89" s="131"/>
      <c r="K89" s="167"/>
      <c r="L89" s="167"/>
      <c r="M89" s="167"/>
      <c r="N89" s="167"/>
      <c r="O89" s="167"/>
      <c r="P89" s="136" t="str">
        <f t="shared" si="11"/>
        <v>_Inspection Log.xlsm</v>
      </c>
      <c r="Q89" s="140" t="str">
        <f t="shared" si="12"/>
        <v>C:\Users\sabi_\OneDrive\Desktop\New folder\Coding logs\_Inspection Log.xlsm</v>
      </c>
      <c r="R89" s="141">
        <f t="array" ref="R89">SUM(IF($J$30:$J$194=IF(J89="","Blank",J89),1,0))</f>
        <v>0</v>
      </c>
      <c r="S89" s="141">
        <f t="shared" si="3"/>
        <v>0</v>
      </c>
      <c r="T89" s="141" t="str">
        <f t="shared" si="4"/>
        <v/>
      </c>
      <c r="U89" s="142">
        <f t="shared" si="5"/>
        <v>0</v>
      </c>
      <c r="V89" s="142">
        <f t="shared" si="6"/>
        <v>0</v>
      </c>
      <c r="W89" s="142">
        <f t="array" ref="W89">SUM(IF(LEN(J87:J251)&lt;=3,0,1))</f>
        <v>0</v>
      </c>
      <c r="X89" s="141" t="str">
        <f t="shared" si="7"/>
        <v>_Inspection Log</v>
      </c>
      <c r="Y89" s="142">
        <f t="shared" si="8"/>
        <v>0</v>
      </c>
      <c r="Z89" s="142" t="str">
        <f t="shared" si="9"/>
        <v/>
      </c>
      <c r="AA89" s="142">
        <f t="shared" si="10"/>
        <v>0</v>
      </c>
      <c r="AB89" s="142"/>
      <c r="AC89" s="142"/>
      <c r="AD89" s="142"/>
      <c r="AE89" s="142"/>
      <c r="AF89" s="142"/>
      <c r="AG89" s="142"/>
      <c r="AH89" s="142"/>
      <c r="AI89" s="142"/>
      <c r="AJ89" s="150"/>
      <c r="AK89" s="118"/>
      <c r="AL89" s="118"/>
      <c r="AM89" s="118"/>
      <c r="AN89" s="118"/>
      <c r="AO89" s="118"/>
      <c r="AP89" s="118"/>
      <c r="AQ89" s="121"/>
      <c r="AR89" s="121"/>
      <c r="AS89" s="121"/>
      <c r="AT89" s="121"/>
      <c r="AU89" s="121"/>
      <c r="AV89" s="121"/>
      <c r="AW89" s="121"/>
      <c r="AX89" s="121"/>
      <c r="AY89" s="121"/>
      <c r="AZ89" s="121"/>
      <c r="BA89" s="121"/>
      <c r="BB89" s="121"/>
      <c r="BC89" s="121"/>
      <c r="BD89" s="121"/>
      <c r="BE89" s="121"/>
      <c r="BF89" s="121"/>
      <c r="BG89" s="121"/>
      <c r="BH89" s="121"/>
    </row>
    <row r="90" spans="1:60" ht="15" customHeight="1">
      <c r="A90" s="118"/>
      <c r="B90" s="165"/>
      <c r="C90" s="166"/>
      <c r="D90" s="167"/>
      <c r="E90" s="167"/>
      <c r="F90" s="167"/>
      <c r="G90" s="167"/>
      <c r="H90" s="168" t="str">
        <f t="shared" si="14"/>
        <v/>
      </c>
      <c r="I90" s="168"/>
      <c r="J90" s="131"/>
      <c r="K90" s="167"/>
      <c r="L90" s="167"/>
      <c r="M90" s="167"/>
      <c r="N90" s="167"/>
      <c r="O90" s="167"/>
      <c r="P90" s="136" t="str">
        <f t="shared" si="11"/>
        <v>_Inspection Log.xlsm</v>
      </c>
      <c r="Q90" s="140" t="str">
        <f t="shared" si="12"/>
        <v>C:\Users\sabi_\OneDrive\Desktop\New folder\Coding logs\_Inspection Log.xlsm</v>
      </c>
      <c r="R90" s="141">
        <f t="array" ref="R90">SUM(IF($J$30:$J$194=IF(J90="","Blank",J90),1,0))</f>
        <v>0</v>
      </c>
      <c r="S90" s="141">
        <f t="shared" si="3"/>
        <v>0</v>
      </c>
      <c r="T90" s="141" t="str">
        <f t="shared" si="4"/>
        <v/>
      </c>
      <c r="U90" s="142">
        <f t="shared" si="5"/>
        <v>0</v>
      </c>
      <c r="V90" s="142">
        <f t="shared" si="6"/>
        <v>0</v>
      </c>
      <c r="W90" s="142">
        <f t="array" ref="W90">SUM(IF(LEN(J88:J252)&lt;=3,0,1))</f>
        <v>0</v>
      </c>
      <c r="X90" s="141" t="str">
        <f t="shared" si="7"/>
        <v>_Inspection Log</v>
      </c>
      <c r="Y90" s="142">
        <f t="shared" si="8"/>
        <v>0</v>
      </c>
      <c r="Z90" s="142" t="str">
        <f t="shared" si="9"/>
        <v/>
      </c>
      <c r="AA90" s="142">
        <f t="shared" si="10"/>
        <v>0</v>
      </c>
      <c r="AB90" s="142"/>
      <c r="AC90" s="142"/>
      <c r="AD90" s="142"/>
      <c r="AE90" s="142"/>
      <c r="AF90" s="142"/>
      <c r="AG90" s="142"/>
      <c r="AH90" s="142"/>
      <c r="AI90" s="142"/>
      <c r="AJ90" s="150"/>
      <c r="AK90" s="118"/>
      <c r="AL90" s="118"/>
      <c r="AM90" s="118"/>
      <c r="AN90" s="118"/>
      <c r="AO90" s="118"/>
      <c r="AP90" s="118"/>
      <c r="AQ90" s="121"/>
      <c r="AR90" s="121"/>
      <c r="AS90" s="121"/>
      <c r="AT90" s="121"/>
      <c r="AU90" s="121"/>
      <c r="AV90" s="121"/>
      <c r="AW90" s="121"/>
      <c r="AX90" s="121"/>
      <c r="AY90" s="121"/>
      <c r="AZ90" s="121"/>
      <c r="BA90" s="121"/>
      <c r="BB90" s="121"/>
      <c r="BC90" s="121"/>
      <c r="BD90" s="121"/>
      <c r="BE90" s="121"/>
      <c r="BF90" s="121"/>
      <c r="BG90" s="121"/>
      <c r="BH90" s="121"/>
    </row>
    <row r="91" spans="1:60" ht="15" customHeight="1">
      <c r="A91" s="118"/>
      <c r="B91" s="165"/>
      <c r="C91" s="166"/>
      <c r="D91" s="167"/>
      <c r="E91" s="167"/>
      <c r="F91" s="167"/>
      <c r="G91" s="167"/>
      <c r="H91" s="168" t="str">
        <f t="shared" si="14"/>
        <v/>
      </c>
      <c r="I91" s="168"/>
      <c r="J91" s="131"/>
      <c r="K91" s="167"/>
      <c r="L91" s="167"/>
      <c r="M91" s="167"/>
      <c r="N91" s="167"/>
      <c r="O91" s="167"/>
      <c r="P91" s="136" t="str">
        <f t="shared" si="11"/>
        <v>_Inspection Log.xlsm</v>
      </c>
      <c r="Q91" s="140" t="str">
        <f t="shared" si="12"/>
        <v>C:\Users\sabi_\OneDrive\Desktop\New folder\Coding logs\_Inspection Log.xlsm</v>
      </c>
      <c r="R91" s="141">
        <f t="array" ref="R91">SUM(IF($J$30:$J$194=IF(J91="","Blank",J91),1,0))</f>
        <v>0</v>
      </c>
      <c r="S91" s="141">
        <f t="shared" si="3"/>
        <v>0</v>
      </c>
      <c r="T91" s="141" t="str">
        <f t="shared" si="4"/>
        <v/>
      </c>
      <c r="U91" s="142">
        <f t="shared" si="5"/>
        <v>0</v>
      </c>
      <c r="V91" s="142">
        <f t="shared" si="6"/>
        <v>0</v>
      </c>
      <c r="W91" s="142">
        <f t="array" ref="W91">SUM(IF(LEN(J89:J253)&lt;=3,0,1))</f>
        <v>0</v>
      </c>
      <c r="X91" s="141" t="str">
        <f t="shared" si="7"/>
        <v>_Inspection Log</v>
      </c>
      <c r="Y91" s="142">
        <f t="shared" si="8"/>
        <v>0</v>
      </c>
      <c r="Z91" s="142" t="str">
        <f t="shared" si="9"/>
        <v/>
      </c>
      <c r="AA91" s="142">
        <f t="shared" si="10"/>
        <v>0</v>
      </c>
      <c r="AB91" s="142"/>
      <c r="AC91" s="142"/>
      <c r="AD91" s="142"/>
      <c r="AE91" s="142"/>
      <c r="AF91" s="142"/>
      <c r="AG91" s="142"/>
      <c r="AH91" s="142"/>
      <c r="AI91" s="142"/>
      <c r="AJ91" s="150"/>
      <c r="AK91" s="118"/>
      <c r="AL91" s="118"/>
      <c r="AM91" s="118"/>
      <c r="AN91" s="118"/>
      <c r="AO91" s="118"/>
      <c r="AP91" s="118"/>
      <c r="AQ91" s="121"/>
      <c r="AR91" s="121"/>
      <c r="AS91" s="121"/>
      <c r="AT91" s="121"/>
      <c r="AU91" s="121"/>
      <c r="AV91" s="121"/>
      <c r="AW91" s="121"/>
      <c r="AX91" s="121"/>
      <c r="AY91" s="121"/>
      <c r="AZ91" s="121"/>
      <c r="BA91" s="121"/>
      <c r="BB91" s="121"/>
      <c r="BC91" s="121"/>
      <c r="BD91" s="121"/>
      <c r="BE91" s="121"/>
      <c r="BF91" s="121"/>
      <c r="BG91" s="121"/>
      <c r="BH91" s="121"/>
    </row>
    <row r="92" spans="1:60" ht="15" customHeight="1">
      <c r="A92" s="118"/>
      <c r="B92" s="165"/>
      <c r="C92" s="166"/>
      <c r="D92" s="167"/>
      <c r="E92" s="167"/>
      <c r="F92" s="167"/>
      <c r="G92" s="167"/>
      <c r="H92" s="168" t="str">
        <f t="shared" si="14"/>
        <v/>
      </c>
      <c r="I92" s="168"/>
      <c r="J92" s="131"/>
      <c r="K92" s="167"/>
      <c r="L92" s="167"/>
      <c r="M92" s="167"/>
      <c r="N92" s="167"/>
      <c r="O92" s="167"/>
      <c r="P92" s="136" t="str">
        <f t="shared" si="11"/>
        <v>_Inspection Log.xlsm</v>
      </c>
      <c r="Q92" s="140" t="str">
        <f t="shared" si="12"/>
        <v>C:\Users\sabi_\OneDrive\Desktop\New folder\Coding logs\_Inspection Log.xlsm</v>
      </c>
      <c r="R92" s="141">
        <f t="array" ref="R92">SUM(IF($J$30:$J$194=IF(J92="","Blank",J92),1,0))</f>
        <v>0</v>
      </c>
      <c r="S92" s="141">
        <f t="shared" si="3"/>
        <v>0</v>
      </c>
      <c r="T92" s="141" t="str">
        <f t="shared" si="4"/>
        <v/>
      </c>
      <c r="U92" s="142">
        <f t="shared" si="5"/>
        <v>0</v>
      </c>
      <c r="V92" s="142">
        <f t="shared" si="6"/>
        <v>0</v>
      </c>
      <c r="W92" s="142">
        <f t="array" ref="W92">SUM(IF(LEN(J90:J254)&lt;=3,0,1))</f>
        <v>0</v>
      </c>
      <c r="X92" s="141" t="str">
        <f t="shared" si="7"/>
        <v>_Inspection Log</v>
      </c>
      <c r="Y92" s="142">
        <f t="shared" si="8"/>
        <v>0</v>
      </c>
      <c r="Z92" s="142" t="str">
        <f t="shared" si="9"/>
        <v/>
      </c>
      <c r="AA92" s="142">
        <f t="shared" si="10"/>
        <v>0</v>
      </c>
      <c r="AB92" s="142"/>
      <c r="AC92" s="142"/>
      <c r="AD92" s="142"/>
      <c r="AE92" s="142"/>
      <c r="AF92" s="142"/>
      <c r="AG92" s="142"/>
      <c r="AH92" s="142"/>
      <c r="AI92" s="142"/>
      <c r="AJ92" s="150"/>
      <c r="AK92" s="118"/>
      <c r="AL92" s="118"/>
      <c r="AM92" s="118"/>
      <c r="AN92" s="118"/>
      <c r="AO92" s="118"/>
      <c r="AP92" s="118"/>
      <c r="AQ92" s="121"/>
      <c r="AR92" s="121"/>
      <c r="AS92" s="121"/>
      <c r="AT92" s="121"/>
      <c r="AU92" s="121"/>
      <c r="AV92" s="121"/>
      <c r="AW92" s="121"/>
      <c r="AX92" s="121"/>
      <c r="AY92" s="121"/>
      <c r="AZ92" s="121"/>
      <c r="BA92" s="121"/>
      <c r="BB92" s="121"/>
      <c r="BC92" s="121"/>
      <c r="BD92" s="121"/>
      <c r="BE92" s="121"/>
      <c r="BF92" s="121"/>
      <c r="BG92" s="121"/>
      <c r="BH92" s="121"/>
    </row>
    <row r="93" spans="1:60" ht="15" customHeight="1">
      <c r="A93" s="118"/>
      <c r="B93" s="165"/>
      <c r="C93" s="166"/>
      <c r="D93" s="167"/>
      <c r="E93" s="167"/>
      <c r="F93" s="167"/>
      <c r="G93" s="167"/>
      <c r="H93" s="168" t="str">
        <f t="shared" si="14"/>
        <v/>
      </c>
      <c r="I93" s="168"/>
      <c r="J93" s="131"/>
      <c r="K93" s="167"/>
      <c r="L93" s="167"/>
      <c r="M93" s="167"/>
      <c r="N93" s="167"/>
      <c r="O93" s="167"/>
      <c r="P93" s="136" t="str">
        <f t="shared" si="11"/>
        <v>_Inspection Log.xlsm</v>
      </c>
      <c r="Q93" s="140" t="str">
        <f t="shared" si="12"/>
        <v>C:\Users\sabi_\OneDrive\Desktop\New folder\Coding logs\_Inspection Log.xlsm</v>
      </c>
      <c r="R93" s="141">
        <f t="array" ref="R93">SUM(IF($J$30:$J$194=IF(J93="","Blank",J93),1,0))</f>
        <v>0</v>
      </c>
      <c r="S93" s="141">
        <f t="shared" si="3"/>
        <v>0</v>
      </c>
      <c r="T93" s="141" t="str">
        <f t="shared" si="4"/>
        <v/>
      </c>
      <c r="U93" s="142">
        <f t="shared" si="5"/>
        <v>0</v>
      </c>
      <c r="V93" s="142">
        <f t="shared" si="6"/>
        <v>0</v>
      </c>
      <c r="W93" s="142">
        <f t="array" ref="W93">SUM(IF(LEN(J91:J255)&lt;=3,0,1))</f>
        <v>0</v>
      </c>
      <c r="X93" s="141" t="str">
        <f t="shared" si="7"/>
        <v>_Inspection Log</v>
      </c>
      <c r="Y93" s="142">
        <f t="shared" si="8"/>
        <v>0</v>
      </c>
      <c r="Z93" s="142" t="str">
        <f t="shared" si="9"/>
        <v/>
      </c>
      <c r="AA93" s="142">
        <f t="shared" si="10"/>
        <v>0</v>
      </c>
      <c r="AB93" s="142"/>
      <c r="AC93" s="142"/>
      <c r="AD93" s="142"/>
      <c r="AE93" s="142"/>
      <c r="AF93" s="142"/>
      <c r="AG93" s="142"/>
      <c r="AH93" s="142"/>
      <c r="AI93" s="142"/>
      <c r="AJ93" s="150"/>
      <c r="AK93" s="118"/>
      <c r="AL93" s="118"/>
      <c r="AM93" s="118"/>
      <c r="AN93" s="118"/>
      <c r="AO93" s="118"/>
      <c r="AP93" s="118"/>
      <c r="AQ93" s="121"/>
      <c r="AR93" s="121"/>
      <c r="AS93" s="121"/>
      <c r="AT93" s="121"/>
      <c r="AU93" s="121"/>
      <c r="AV93" s="121"/>
      <c r="AW93" s="121"/>
      <c r="AX93" s="121"/>
      <c r="AY93" s="121"/>
      <c r="AZ93" s="121"/>
      <c r="BA93" s="121"/>
      <c r="BB93" s="121"/>
      <c r="BC93" s="121"/>
      <c r="BD93" s="121"/>
      <c r="BE93" s="121"/>
      <c r="BF93" s="121"/>
      <c r="BG93" s="121"/>
      <c r="BH93" s="121"/>
    </row>
    <row r="94" spans="1:60" ht="15" customHeight="1">
      <c r="A94" s="118"/>
      <c r="B94" s="165"/>
      <c r="C94" s="166"/>
      <c r="D94" s="167"/>
      <c r="E94" s="167"/>
      <c r="F94" s="167"/>
      <c r="G94" s="167"/>
      <c r="H94" s="168" t="str">
        <f t="shared" si="14"/>
        <v/>
      </c>
      <c r="I94" s="168"/>
      <c r="J94" s="131"/>
      <c r="K94" s="167"/>
      <c r="L94" s="167"/>
      <c r="M94" s="167"/>
      <c r="N94" s="167"/>
      <c r="O94" s="167"/>
      <c r="P94" s="136" t="str">
        <f t="shared" si="11"/>
        <v>_Inspection Log.xlsm</v>
      </c>
      <c r="Q94" s="140" t="str">
        <f t="shared" si="12"/>
        <v>C:\Users\sabi_\OneDrive\Desktop\New folder\Coding logs\_Inspection Log.xlsm</v>
      </c>
      <c r="R94" s="141">
        <f t="array" ref="R94">SUM(IF($J$30:$J$194=IF(J94="","Blank",J94),1,0))</f>
        <v>0</v>
      </c>
      <c r="S94" s="141">
        <f t="shared" ref="S94:S157" si="15">(R94&gt;0)*1</f>
        <v>0</v>
      </c>
      <c r="T94" s="141" t="str">
        <f t="shared" ref="T94:T157" si="16">TRIM(D94&amp;" "&amp;F94)</f>
        <v/>
      </c>
      <c r="U94" s="142">
        <f t="shared" ref="U94:U157" si="17">SUM(IF($X$30:$X$194=IF(X94="_Inspection Log","",X94),1,0))</f>
        <v>0</v>
      </c>
      <c r="V94" s="142">
        <f t="shared" ref="V94:V157" si="18">(U94&gt;0)*1</f>
        <v>0</v>
      </c>
      <c r="W94" s="142">
        <f t="array" ref="W94">SUM(IF(LEN(J92:J256)&lt;=3,0,1))</f>
        <v>0</v>
      </c>
      <c r="X94" s="141" t="str">
        <f t="shared" ref="X94:X157" si="19">H94&amp;"_Inspection Log"</f>
        <v>_Inspection Log</v>
      </c>
      <c r="Y94" s="142">
        <f t="shared" ref="Y94:Y157" si="20">IF(B94=$Q$6,"MOD",0)</f>
        <v>0</v>
      </c>
      <c r="Z94" s="142" t="str">
        <f t="shared" ref="Z94:Z157" si="21">T94</f>
        <v/>
      </c>
      <c r="AA94" s="142">
        <f t="shared" ref="AA94:AA157" si="22">IF(B94=$Q$7,"Ins",0)</f>
        <v>0</v>
      </c>
      <c r="AB94" s="142"/>
      <c r="AC94" s="142"/>
      <c r="AD94" s="142"/>
      <c r="AE94" s="142"/>
      <c r="AF94" s="142"/>
      <c r="AG94" s="142"/>
      <c r="AH94" s="142"/>
      <c r="AI94" s="142"/>
      <c r="AJ94" s="150"/>
      <c r="AK94" s="118"/>
      <c r="AL94" s="118"/>
      <c r="AM94" s="118"/>
      <c r="AN94" s="118"/>
      <c r="AO94" s="118"/>
      <c r="AP94" s="118"/>
      <c r="AQ94" s="121"/>
      <c r="AR94" s="121"/>
      <c r="AS94" s="121"/>
      <c r="AT94" s="121"/>
      <c r="AU94" s="121"/>
      <c r="AV94" s="121"/>
      <c r="AW94" s="121"/>
      <c r="AX94" s="121"/>
      <c r="AY94" s="121"/>
      <c r="AZ94" s="121"/>
      <c r="BA94" s="121"/>
      <c r="BB94" s="121"/>
      <c r="BC94" s="121"/>
      <c r="BD94" s="121"/>
      <c r="BE94" s="121"/>
      <c r="BF94" s="121"/>
      <c r="BG94" s="121"/>
      <c r="BH94" s="121"/>
    </row>
    <row r="95" spans="1:60" ht="15" customHeight="1">
      <c r="A95" s="118"/>
      <c r="B95" s="165"/>
      <c r="C95" s="166"/>
      <c r="D95" s="167"/>
      <c r="E95" s="167"/>
      <c r="F95" s="167"/>
      <c r="G95" s="167"/>
      <c r="H95" s="168" t="str">
        <f t="shared" si="14"/>
        <v/>
      </c>
      <c r="I95" s="168"/>
      <c r="J95" s="131"/>
      <c r="K95" s="167"/>
      <c r="L95" s="167"/>
      <c r="M95" s="167"/>
      <c r="N95" s="167"/>
      <c r="O95" s="167"/>
      <c r="P95" s="136" t="str">
        <f t="shared" ref="P95:P158" si="23">H95&amp;"_Inspection Log.xlsm"</f>
        <v>_Inspection Log.xlsm</v>
      </c>
      <c r="Q95" s="140" t="str">
        <f t="shared" ref="Q95:Q158" si="24">$F$22&amp;H95&amp;"_Inspection Log.xlsm"</f>
        <v>C:\Users\sabi_\OneDrive\Desktop\New folder\Coding logs\_Inspection Log.xlsm</v>
      </c>
      <c r="R95" s="141">
        <f t="array" ref="R95">SUM(IF($J$30:$J$194=IF(J95="","Blank",J95),1,0))</f>
        <v>0</v>
      </c>
      <c r="S95" s="141">
        <f t="shared" si="15"/>
        <v>0</v>
      </c>
      <c r="T95" s="141" t="str">
        <f t="shared" si="16"/>
        <v/>
      </c>
      <c r="U95" s="142">
        <f t="shared" si="17"/>
        <v>0</v>
      </c>
      <c r="V95" s="142">
        <f t="shared" si="18"/>
        <v>0</v>
      </c>
      <c r="W95" s="142">
        <f t="array" ref="W95">SUM(IF(LEN(J93:J257)&lt;=3,0,1))</f>
        <v>0</v>
      </c>
      <c r="X95" s="141" t="str">
        <f t="shared" si="19"/>
        <v>_Inspection Log</v>
      </c>
      <c r="Y95" s="142">
        <f t="shared" si="20"/>
        <v>0</v>
      </c>
      <c r="Z95" s="142" t="str">
        <f t="shared" si="21"/>
        <v/>
      </c>
      <c r="AA95" s="142">
        <f t="shared" si="22"/>
        <v>0</v>
      </c>
      <c r="AB95" s="142"/>
      <c r="AC95" s="142"/>
      <c r="AD95" s="142"/>
      <c r="AE95" s="142"/>
      <c r="AF95" s="142"/>
      <c r="AG95" s="142"/>
      <c r="AH95" s="142"/>
      <c r="AI95" s="142"/>
      <c r="AJ95" s="150"/>
      <c r="AK95" s="118"/>
      <c r="AL95" s="118"/>
      <c r="AM95" s="118"/>
      <c r="AN95" s="118"/>
      <c r="AO95" s="118"/>
      <c r="AP95" s="118"/>
      <c r="AQ95" s="121"/>
      <c r="AR95" s="121"/>
      <c r="AS95" s="121"/>
      <c r="AT95" s="121"/>
      <c r="AU95" s="121"/>
      <c r="AV95" s="121"/>
      <c r="AW95" s="121"/>
      <c r="AX95" s="121"/>
      <c r="AY95" s="121"/>
      <c r="AZ95" s="121"/>
      <c r="BA95" s="121"/>
      <c r="BB95" s="121"/>
      <c r="BC95" s="121"/>
      <c r="BD95" s="121"/>
      <c r="BE95" s="121"/>
      <c r="BF95" s="121"/>
      <c r="BG95" s="121"/>
      <c r="BH95" s="121"/>
    </row>
    <row r="96" spans="1:60" ht="15" customHeight="1">
      <c r="A96" s="118"/>
      <c r="B96" s="165"/>
      <c r="C96" s="166"/>
      <c r="D96" s="167"/>
      <c r="E96" s="167"/>
      <c r="F96" s="167"/>
      <c r="G96" s="167"/>
      <c r="H96" s="168" t="str">
        <f t="shared" si="14"/>
        <v/>
      </c>
      <c r="I96" s="168"/>
      <c r="J96" s="131"/>
      <c r="K96" s="167"/>
      <c r="L96" s="167"/>
      <c r="M96" s="167"/>
      <c r="N96" s="167"/>
      <c r="O96" s="167"/>
      <c r="P96" s="136" t="str">
        <f t="shared" si="23"/>
        <v>_Inspection Log.xlsm</v>
      </c>
      <c r="Q96" s="140" t="str">
        <f t="shared" si="24"/>
        <v>C:\Users\sabi_\OneDrive\Desktop\New folder\Coding logs\_Inspection Log.xlsm</v>
      </c>
      <c r="R96" s="141">
        <f t="array" ref="R96">SUM(IF($J$30:$J$194=IF(J96="","Blank",J96),1,0))</f>
        <v>0</v>
      </c>
      <c r="S96" s="141">
        <f t="shared" si="15"/>
        <v>0</v>
      </c>
      <c r="T96" s="141" t="str">
        <f t="shared" si="16"/>
        <v/>
      </c>
      <c r="U96" s="142">
        <f t="shared" si="17"/>
        <v>0</v>
      </c>
      <c r="V96" s="142">
        <f t="shared" si="18"/>
        <v>0</v>
      </c>
      <c r="W96" s="142">
        <f t="array" ref="W96">SUM(IF(LEN(J94:J258)&lt;=3,0,1))</f>
        <v>0</v>
      </c>
      <c r="X96" s="141" t="str">
        <f t="shared" si="19"/>
        <v>_Inspection Log</v>
      </c>
      <c r="Y96" s="142">
        <f t="shared" si="20"/>
        <v>0</v>
      </c>
      <c r="Z96" s="142" t="str">
        <f t="shared" si="21"/>
        <v/>
      </c>
      <c r="AA96" s="142">
        <f t="shared" si="22"/>
        <v>0</v>
      </c>
      <c r="AB96" s="142"/>
      <c r="AC96" s="142"/>
      <c r="AD96" s="142"/>
      <c r="AE96" s="142"/>
      <c r="AF96" s="142"/>
      <c r="AG96" s="142"/>
      <c r="AH96" s="142"/>
      <c r="AI96" s="142"/>
      <c r="AJ96" s="150"/>
      <c r="AK96" s="118"/>
      <c r="AL96" s="118"/>
      <c r="AM96" s="118"/>
      <c r="AN96" s="118"/>
      <c r="AO96" s="118"/>
      <c r="AP96" s="118"/>
      <c r="AQ96" s="121"/>
      <c r="AR96" s="121"/>
      <c r="AS96" s="121"/>
      <c r="AT96" s="121"/>
      <c r="AU96" s="121"/>
      <c r="AV96" s="121"/>
      <c r="AW96" s="121"/>
      <c r="AX96" s="121"/>
      <c r="AY96" s="121"/>
      <c r="AZ96" s="121"/>
      <c r="BA96" s="121"/>
      <c r="BB96" s="121"/>
      <c r="BC96" s="121"/>
      <c r="BD96" s="121"/>
      <c r="BE96" s="121"/>
      <c r="BF96" s="121"/>
      <c r="BG96" s="121"/>
      <c r="BH96" s="121"/>
    </row>
    <row r="97" spans="1:60" ht="15" customHeight="1">
      <c r="A97" s="118"/>
      <c r="B97" s="165"/>
      <c r="C97" s="166"/>
      <c r="D97" s="167"/>
      <c r="E97" s="167"/>
      <c r="F97" s="167"/>
      <c r="G97" s="167"/>
      <c r="H97" s="168" t="str">
        <f t="shared" si="14"/>
        <v/>
      </c>
      <c r="I97" s="168"/>
      <c r="J97" s="131"/>
      <c r="K97" s="167"/>
      <c r="L97" s="167"/>
      <c r="M97" s="167"/>
      <c r="N97" s="167"/>
      <c r="O97" s="167"/>
      <c r="P97" s="136" t="str">
        <f t="shared" si="23"/>
        <v>_Inspection Log.xlsm</v>
      </c>
      <c r="Q97" s="140" t="str">
        <f t="shared" si="24"/>
        <v>C:\Users\sabi_\OneDrive\Desktop\New folder\Coding logs\_Inspection Log.xlsm</v>
      </c>
      <c r="R97" s="141">
        <f t="array" ref="R97">SUM(IF($J$30:$J$194=IF(J97="","Blank",J97),1,0))</f>
        <v>0</v>
      </c>
      <c r="S97" s="141">
        <f t="shared" si="15"/>
        <v>0</v>
      </c>
      <c r="T97" s="141" t="str">
        <f t="shared" si="16"/>
        <v/>
      </c>
      <c r="U97" s="142">
        <f t="shared" si="17"/>
        <v>0</v>
      </c>
      <c r="V97" s="142">
        <f t="shared" si="18"/>
        <v>0</v>
      </c>
      <c r="W97" s="142">
        <f t="array" ref="W97">SUM(IF(LEN(J95:J259)&lt;=3,0,1))</f>
        <v>0</v>
      </c>
      <c r="X97" s="141" t="str">
        <f t="shared" si="19"/>
        <v>_Inspection Log</v>
      </c>
      <c r="Y97" s="142">
        <f t="shared" si="20"/>
        <v>0</v>
      </c>
      <c r="Z97" s="142" t="str">
        <f t="shared" si="21"/>
        <v/>
      </c>
      <c r="AA97" s="142">
        <f t="shared" si="22"/>
        <v>0</v>
      </c>
      <c r="AB97" s="142"/>
      <c r="AC97" s="142"/>
      <c r="AD97" s="142"/>
      <c r="AE97" s="142"/>
      <c r="AF97" s="142"/>
      <c r="AG97" s="142"/>
      <c r="AH97" s="142"/>
      <c r="AI97" s="142"/>
      <c r="AJ97" s="150"/>
      <c r="AK97" s="118"/>
      <c r="AL97" s="118"/>
      <c r="AM97" s="118"/>
      <c r="AN97" s="118"/>
      <c r="AO97" s="118"/>
      <c r="AP97" s="118"/>
      <c r="AQ97" s="121"/>
      <c r="AR97" s="121"/>
      <c r="AS97" s="121"/>
      <c r="AT97" s="121"/>
      <c r="AU97" s="121"/>
      <c r="AV97" s="121"/>
      <c r="AW97" s="121"/>
      <c r="AX97" s="121"/>
      <c r="AY97" s="121"/>
      <c r="AZ97" s="121"/>
      <c r="BA97" s="121"/>
      <c r="BB97" s="121"/>
      <c r="BC97" s="121"/>
      <c r="BD97" s="121"/>
      <c r="BE97" s="121"/>
      <c r="BF97" s="121"/>
      <c r="BG97" s="121"/>
      <c r="BH97" s="121"/>
    </row>
    <row r="98" spans="1:60" ht="15" customHeight="1">
      <c r="A98" s="118"/>
      <c r="B98" s="165"/>
      <c r="C98" s="166"/>
      <c r="D98" s="167"/>
      <c r="E98" s="167"/>
      <c r="F98" s="167"/>
      <c r="G98" s="167"/>
      <c r="H98" s="168" t="str">
        <f t="shared" si="14"/>
        <v/>
      </c>
      <c r="I98" s="168"/>
      <c r="J98" s="131"/>
      <c r="K98" s="167"/>
      <c r="L98" s="167"/>
      <c r="M98" s="167"/>
      <c r="N98" s="167"/>
      <c r="O98" s="167"/>
      <c r="P98" s="136" t="str">
        <f t="shared" si="23"/>
        <v>_Inspection Log.xlsm</v>
      </c>
      <c r="Q98" s="140" t="str">
        <f t="shared" si="24"/>
        <v>C:\Users\sabi_\OneDrive\Desktop\New folder\Coding logs\_Inspection Log.xlsm</v>
      </c>
      <c r="R98" s="141">
        <f t="array" ref="R98">SUM(IF($J$30:$J$194=IF(J98="","Blank",J98),1,0))</f>
        <v>0</v>
      </c>
      <c r="S98" s="141">
        <f t="shared" si="15"/>
        <v>0</v>
      </c>
      <c r="T98" s="141" t="str">
        <f t="shared" si="16"/>
        <v/>
      </c>
      <c r="U98" s="142">
        <f t="shared" si="17"/>
        <v>0</v>
      </c>
      <c r="V98" s="142">
        <f t="shared" si="18"/>
        <v>0</v>
      </c>
      <c r="W98" s="142">
        <f t="array" ref="W98">SUM(IF(LEN(J96:J260)&lt;=3,0,1))</f>
        <v>0</v>
      </c>
      <c r="X98" s="141" t="str">
        <f t="shared" si="19"/>
        <v>_Inspection Log</v>
      </c>
      <c r="Y98" s="142">
        <f t="shared" si="20"/>
        <v>0</v>
      </c>
      <c r="Z98" s="142" t="str">
        <f t="shared" si="21"/>
        <v/>
      </c>
      <c r="AA98" s="142">
        <f t="shared" si="22"/>
        <v>0</v>
      </c>
      <c r="AB98" s="142"/>
      <c r="AC98" s="142"/>
      <c r="AD98" s="142"/>
      <c r="AE98" s="142"/>
      <c r="AF98" s="142"/>
      <c r="AG98" s="142"/>
      <c r="AH98" s="142"/>
      <c r="AI98" s="142"/>
      <c r="AJ98" s="150"/>
      <c r="AK98" s="118"/>
      <c r="AL98" s="118"/>
      <c r="AM98" s="118"/>
      <c r="AN98" s="118"/>
      <c r="AO98" s="118"/>
      <c r="AP98" s="118"/>
      <c r="AQ98" s="121"/>
      <c r="AR98" s="121"/>
      <c r="AS98" s="121"/>
      <c r="AT98" s="121"/>
      <c r="AU98" s="121"/>
      <c r="AV98" s="121"/>
      <c r="AW98" s="121"/>
      <c r="AX98" s="121"/>
      <c r="AY98" s="121"/>
      <c r="AZ98" s="121"/>
      <c r="BA98" s="121"/>
      <c r="BB98" s="121"/>
      <c r="BC98" s="121"/>
      <c r="BD98" s="121"/>
      <c r="BE98" s="121"/>
      <c r="BF98" s="121"/>
      <c r="BG98" s="121"/>
      <c r="BH98" s="121"/>
    </row>
    <row r="99" spans="1:60" ht="15" customHeight="1">
      <c r="A99" s="118"/>
      <c r="B99" s="165"/>
      <c r="C99" s="166"/>
      <c r="D99" s="167"/>
      <c r="E99" s="167"/>
      <c r="F99" s="167"/>
      <c r="G99" s="167"/>
      <c r="H99" s="168" t="str">
        <f t="shared" si="14"/>
        <v/>
      </c>
      <c r="I99" s="168"/>
      <c r="J99" s="131"/>
      <c r="K99" s="167"/>
      <c r="L99" s="167"/>
      <c r="M99" s="167"/>
      <c r="N99" s="167"/>
      <c r="O99" s="167"/>
      <c r="P99" s="136" t="str">
        <f t="shared" si="23"/>
        <v>_Inspection Log.xlsm</v>
      </c>
      <c r="Q99" s="140" t="str">
        <f t="shared" si="24"/>
        <v>C:\Users\sabi_\OneDrive\Desktop\New folder\Coding logs\_Inspection Log.xlsm</v>
      </c>
      <c r="R99" s="141">
        <f t="array" ref="R99">SUM(IF($J$30:$J$194=IF(J99="","Blank",J99),1,0))</f>
        <v>0</v>
      </c>
      <c r="S99" s="141">
        <f t="shared" si="15"/>
        <v>0</v>
      </c>
      <c r="T99" s="141" t="str">
        <f t="shared" si="16"/>
        <v/>
      </c>
      <c r="U99" s="142">
        <f t="shared" si="17"/>
        <v>0</v>
      </c>
      <c r="V99" s="142">
        <f t="shared" si="18"/>
        <v>0</v>
      </c>
      <c r="W99" s="142">
        <f t="array" ref="W99">SUM(IF(LEN(J97:J261)&lt;=3,0,1))</f>
        <v>0</v>
      </c>
      <c r="X99" s="141" t="str">
        <f t="shared" si="19"/>
        <v>_Inspection Log</v>
      </c>
      <c r="Y99" s="142">
        <f t="shared" si="20"/>
        <v>0</v>
      </c>
      <c r="Z99" s="142" t="str">
        <f t="shared" si="21"/>
        <v/>
      </c>
      <c r="AA99" s="142">
        <f t="shared" si="22"/>
        <v>0</v>
      </c>
      <c r="AB99" s="142"/>
      <c r="AC99" s="142"/>
      <c r="AD99" s="142"/>
      <c r="AE99" s="142"/>
      <c r="AF99" s="142"/>
      <c r="AG99" s="142"/>
      <c r="AH99" s="142"/>
      <c r="AI99" s="142"/>
      <c r="AJ99" s="150"/>
      <c r="AK99" s="118"/>
      <c r="AL99" s="118"/>
      <c r="AM99" s="118"/>
      <c r="AN99" s="118"/>
      <c r="AO99" s="118"/>
      <c r="AP99" s="118"/>
      <c r="AQ99" s="121"/>
      <c r="AR99" s="121"/>
      <c r="AS99" s="121"/>
      <c r="AT99" s="121"/>
      <c r="AU99" s="121"/>
      <c r="AV99" s="121"/>
      <c r="AW99" s="121"/>
      <c r="AX99" s="121"/>
      <c r="AY99" s="121"/>
      <c r="AZ99" s="121"/>
      <c r="BA99" s="121"/>
      <c r="BB99" s="121"/>
      <c r="BC99" s="121"/>
      <c r="BD99" s="121"/>
      <c r="BE99" s="121"/>
      <c r="BF99" s="121"/>
      <c r="BG99" s="121"/>
      <c r="BH99" s="121"/>
    </row>
    <row r="100" spans="1:60" ht="15" customHeight="1">
      <c r="A100" s="118"/>
      <c r="B100" s="165"/>
      <c r="C100" s="166"/>
      <c r="D100" s="167"/>
      <c r="E100" s="167"/>
      <c r="F100" s="167"/>
      <c r="G100" s="167"/>
      <c r="H100" s="168" t="str">
        <f t="shared" si="14"/>
        <v/>
      </c>
      <c r="I100" s="168"/>
      <c r="J100" s="131"/>
      <c r="K100" s="167"/>
      <c r="L100" s="167"/>
      <c r="M100" s="167"/>
      <c r="N100" s="167"/>
      <c r="O100" s="167"/>
      <c r="P100" s="136" t="str">
        <f t="shared" si="23"/>
        <v>_Inspection Log.xlsm</v>
      </c>
      <c r="Q100" s="140" t="str">
        <f t="shared" si="24"/>
        <v>C:\Users\sabi_\OneDrive\Desktop\New folder\Coding logs\_Inspection Log.xlsm</v>
      </c>
      <c r="R100" s="141">
        <f t="array" ref="R100">SUM(IF($J$30:$J$194=IF(J100="","Blank",J100),1,0))</f>
        <v>0</v>
      </c>
      <c r="S100" s="141">
        <f t="shared" si="15"/>
        <v>0</v>
      </c>
      <c r="T100" s="141" t="str">
        <f t="shared" si="16"/>
        <v/>
      </c>
      <c r="U100" s="142">
        <f t="shared" si="17"/>
        <v>0</v>
      </c>
      <c r="V100" s="142">
        <f t="shared" si="18"/>
        <v>0</v>
      </c>
      <c r="W100" s="142">
        <f t="array" ref="W100">SUM(IF(LEN(J98:J262)&lt;=3,0,1))</f>
        <v>0</v>
      </c>
      <c r="X100" s="141" t="str">
        <f t="shared" si="19"/>
        <v>_Inspection Log</v>
      </c>
      <c r="Y100" s="142">
        <f t="shared" si="20"/>
        <v>0</v>
      </c>
      <c r="Z100" s="142" t="str">
        <f t="shared" si="21"/>
        <v/>
      </c>
      <c r="AA100" s="142">
        <f t="shared" si="22"/>
        <v>0</v>
      </c>
      <c r="AB100" s="142"/>
      <c r="AC100" s="142"/>
      <c r="AD100" s="142"/>
      <c r="AE100" s="142"/>
      <c r="AF100" s="142"/>
      <c r="AG100" s="142"/>
      <c r="AH100" s="142"/>
      <c r="AI100" s="142"/>
      <c r="AJ100" s="150"/>
      <c r="AK100" s="118"/>
      <c r="AL100" s="118"/>
      <c r="AM100" s="118"/>
      <c r="AN100" s="118"/>
      <c r="AO100" s="118"/>
      <c r="AP100" s="118"/>
      <c r="AQ100" s="121"/>
      <c r="AR100" s="121"/>
      <c r="AS100" s="121"/>
      <c r="AT100" s="121"/>
      <c r="AU100" s="121"/>
      <c r="AV100" s="121"/>
      <c r="AW100" s="121"/>
      <c r="AX100" s="121"/>
      <c r="AY100" s="121"/>
      <c r="AZ100" s="121"/>
      <c r="BA100" s="121"/>
      <c r="BB100" s="121"/>
      <c r="BC100" s="121"/>
      <c r="BD100" s="121"/>
      <c r="BE100" s="121"/>
      <c r="BF100" s="121"/>
      <c r="BG100" s="121"/>
      <c r="BH100" s="121"/>
    </row>
    <row r="101" spans="1:60" ht="15" customHeight="1">
      <c r="A101" s="118"/>
      <c r="B101" s="165"/>
      <c r="C101" s="166"/>
      <c r="D101" s="167"/>
      <c r="E101" s="167"/>
      <c r="F101" s="167"/>
      <c r="G101" s="167"/>
      <c r="H101" s="168" t="str">
        <f t="shared" si="14"/>
        <v/>
      </c>
      <c r="I101" s="168"/>
      <c r="J101" s="131"/>
      <c r="K101" s="167"/>
      <c r="L101" s="167"/>
      <c r="M101" s="167"/>
      <c r="N101" s="167"/>
      <c r="O101" s="167"/>
      <c r="P101" s="136" t="str">
        <f t="shared" si="23"/>
        <v>_Inspection Log.xlsm</v>
      </c>
      <c r="Q101" s="140" t="str">
        <f t="shared" si="24"/>
        <v>C:\Users\sabi_\OneDrive\Desktop\New folder\Coding logs\_Inspection Log.xlsm</v>
      </c>
      <c r="R101" s="141">
        <f t="array" ref="R101">SUM(IF($J$30:$J$194=IF(J101="","Blank",J101),1,0))</f>
        <v>0</v>
      </c>
      <c r="S101" s="141">
        <f t="shared" si="15"/>
        <v>0</v>
      </c>
      <c r="T101" s="141" t="str">
        <f t="shared" si="16"/>
        <v/>
      </c>
      <c r="U101" s="142">
        <f t="shared" si="17"/>
        <v>0</v>
      </c>
      <c r="V101" s="142">
        <f t="shared" si="18"/>
        <v>0</v>
      </c>
      <c r="W101" s="142">
        <f t="array" ref="W101">SUM(IF(LEN(J99:J263)&lt;=3,0,1))</f>
        <v>0</v>
      </c>
      <c r="X101" s="141" t="str">
        <f t="shared" si="19"/>
        <v>_Inspection Log</v>
      </c>
      <c r="Y101" s="142">
        <f t="shared" si="20"/>
        <v>0</v>
      </c>
      <c r="Z101" s="142" t="str">
        <f t="shared" si="21"/>
        <v/>
      </c>
      <c r="AA101" s="142">
        <f t="shared" si="22"/>
        <v>0</v>
      </c>
      <c r="AB101" s="142"/>
      <c r="AC101" s="142"/>
      <c r="AD101" s="142"/>
      <c r="AE101" s="142"/>
      <c r="AF101" s="142"/>
      <c r="AG101" s="142"/>
      <c r="AH101" s="142"/>
      <c r="AI101" s="142"/>
      <c r="AJ101" s="150"/>
      <c r="AK101" s="118"/>
      <c r="AL101" s="118"/>
      <c r="AM101" s="118"/>
      <c r="AN101" s="118"/>
      <c r="AO101" s="118"/>
      <c r="AP101" s="118"/>
      <c r="AQ101" s="121"/>
      <c r="AR101" s="121"/>
      <c r="AS101" s="121"/>
      <c r="AT101" s="121"/>
      <c r="AU101" s="121"/>
      <c r="AV101" s="121"/>
      <c r="AW101" s="121"/>
      <c r="AX101" s="121"/>
      <c r="AY101" s="121"/>
      <c r="AZ101" s="121"/>
      <c r="BA101" s="121"/>
      <c r="BB101" s="121"/>
      <c r="BC101" s="121"/>
      <c r="BD101" s="121"/>
      <c r="BE101" s="121"/>
      <c r="BF101" s="121"/>
      <c r="BG101" s="121"/>
      <c r="BH101" s="121"/>
    </row>
    <row r="102" spans="1:60" ht="15" customHeight="1">
      <c r="A102" s="118"/>
      <c r="B102" s="165"/>
      <c r="C102" s="166"/>
      <c r="D102" s="167"/>
      <c r="E102" s="167"/>
      <c r="F102" s="167"/>
      <c r="G102" s="167"/>
      <c r="H102" s="168" t="str">
        <f t="shared" si="14"/>
        <v/>
      </c>
      <c r="I102" s="168"/>
      <c r="J102" s="131"/>
      <c r="K102" s="167"/>
      <c r="L102" s="167"/>
      <c r="M102" s="167"/>
      <c r="N102" s="167"/>
      <c r="O102" s="167"/>
      <c r="P102" s="136" t="str">
        <f t="shared" si="23"/>
        <v>_Inspection Log.xlsm</v>
      </c>
      <c r="Q102" s="140" t="str">
        <f t="shared" si="24"/>
        <v>C:\Users\sabi_\OneDrive\Desktop\New folder\Coding logs\_Inspection Log.xlsm</v>
      </c>
      <c r="R102" s="141">
        <f t="array" ref="R102">SUM(IF($J$30:$J$194=IF(J102="","Blank",J102),1,0))</f>
        <v>0</v>
      </c>
      <c r="S102" s="141">
        <f t="shared" si="15"/>
        <v>0</v>
      </c>
      <c r="T102" s="141" t="str">
        <f t="shared" si="16"/>
        <v/>
      </c>
      <c r="U102" s="142">
        <f t="shared" si="17"/>
        <v>0</v>
      </c>
      <c r="V102" s="142">
        <f t="shared" si="18"/>
        <v>0</v>
      </c>
      <c r="W102" s="142">
        <f t="array" ref="W102">SUM(IF(LEN(J100:J264)&lt;=3,0,1))</f>
        <v>0</v>
      </c>
      <c r="X102" s="141" t="str">
        <f t="shared" si="19"/>
        <v>_Inspection Log</v>
      </c>
      <c r="Y102" s="142">
        <f t="shared" si="20"/>
        <v>0</v>
      </c>
      <c r="Z102" s="142" t="str">
        <f t="shared" si="21"/>
        <v/>
      </c>
      <c r="AA102" s="142">
        <f t="shared" si="22"/>
        <v>0</v>
      </c>
      <c r="AB102" s="142"/>
      <c r="AC102" s="142"/>
      <c r="AD102" s="142"/>
      <c r="AE102" s="142"/>
      <c r="AF102" s="142"/>
      <c r="AG102" s="142"/>
      <c r="AH102" s="142"/>
      <c r="AI102" s="142"/>
      <c r="AJ102" s="150"/>
      <c r="AK102" s="118"/>
      <c r="AL102" s="118"/>
      <c r="AM102" s="118"/>
      <c r="AN102" s="118"/>
      <c r="AO102" s="118"/>
      <c r="AP102" s="118"/>
      <c r="AQ102" s="121"/>
      <c r="AR102" s="121"/>
      <c r="AS102" s="121"/>
      <c r="AT102" s="121"/>
      <c r="AU102" s="121"/>
      <c r="AV102" s="121"/>
      <c r="AW102" s="121"/>
      <c r="AX102" s="121"/>
      <c r="AY102" s="121"/>
      <c r="AZ102" s="121"/>
      <c r="BA102" s="121"/>
      <c r="BB102" s="121"/>
      <c r="BC102" s="121"/>
      <c r="BD102" s="121"/>
      <c r="BE102" s="121"/>
      <c r="BF102" s="121"/>
      <c r="BG102" s="121"/>
      <c r="BH102" s="121"/>
    </row>
    <row r="103" spans="1:60" ht="15" customHeight="1">
      <c r="A103" s="118"/>
      <c r="B103" s="165"/>
      <c r="C103" s="166"/>
      <c r="D103" s="167"/>
      <c r="E103" s="167"/>
      <c r="F103" s="167"/>
      <c r="G103" s="167"/>
      <c r="H103" s="168" t="str">
        <f t="shared" si="14"/>
        <v/>
      </c>
      <c r="I103" s="168"/>
      <c r="J103" s="131"/>
      <c r="K103" s="167"/>
      <c r="L103" s="167"/>
      <c r="M103" s="167"/>
      <c r="N103" s="167"/>
      <c r="O103" s="167"/>
      <c r="P103" s="136" t="str">
        <f t="shared" si="23"/>
        <v>_Inspection Log.xlsm</v>
      </c>
      <c r="Q103" s="140" t="str">
        <f t="shared" si="24"/>
        <v>C:\Users\sabi_\OneDrive\Desktop\New folder\Coding logs\_Inspection Log.xlsm</v>
      </c>
      <c r="R103" s="141">
        <f t="array" ref="R103">SUM(IF($J$30:$J$194=IF(J103="","Blank",J103),1,0))</f>
        <v>0</v>
      </c>
      <c r="S103" s="141">
        <f t="shared" si="15"/>
        <v>0</v>
      </c>
      <c r="T103" s="141" t="str">
        <f t="shared" si="16"/>
        <v/>
      </c>
      <c r="U103" s="142">
        <f t="shared" si="17"/>
        <v>0</v>
      </c>
      <c r="V103" s="142">
        <f t="shared" si="18"/>
        <v>0</v>
      </c>
      <c r="W103" s="142">
        <f t="array" ref="W103">SUM(IF(LEN(J101:J265)&lt;=3,0,1))</f>
        <v>0</v>
      </c>
      <c r="X103" s="141" t="str">
        <f t="shared" si="19"/>
        <v>_Inspection Log</v>
      </c>
      <c r="Y103" s="142">
        <f t="shared" si="20"/>
        <v>0</v>
      </c>
      <c r="Z103" s="142" t="str">
        <f t="shared" si="21"/>
        <v/>
      </c>
      <c r="AA103" s="142">
        <f t="shared" si="22"/>
        <v>0</v>
      </c>
      <c r="AB103" s="142"/>
      <c r="AC103" s="142"/>
      <c r="AD103" s="142"/>
      <c r="AE103" s="142"/>
      <c r="AF103" s="142"/>
      <c r="AG103" s="142"/>
      <c r="AH103" s="142"/>
      <c r="AI103" s="142"/>
      <c r="AJ103" s="150"/>
      <c r="AK103" s="118"/>
      <c r="AL103" s="118"/>
      <c r="AM103" s="118"/>
      <c r="AN103" s="118"/>
      <c r="AO103" s="118"/>
      <c r="AP103" s="118"/>
      <c r="AQ103" s="121"/>
      <c r="AR103" s="121"/>
      <c r="AS103" s="121"/>
      <c r="AT103" s="121"/>
      <c r="AU103" s="121"/>
      <c r="AV103" s="121"/>
      <c r="AW103" s="121"/>
      <c r="AX103" s="121"/>
      <c r="AY103" s="121"/>
      <c r="AZ103" s="121"/>
      <c r="BA103" s="121"/>
      <c r="BB103" s="121"/>
      <c r="BC103" s="121"/>
      <c r="BD103" s="121"/>
      <c r="BE103" s="121"/>
      <c r="BF103" s="121"/>
      <c r="BG103" s="121"/>
      <c r="BH103" s="121"/>
    </row>
    <row r="104" spans="1:60" ht="15" customHeight="1">
      <c r="A104" s="118"/>
      <c r="B104" s="165"/>
      <c r="C104" s="166"/>
      <c r="D104" s="167"/>
      <c r="E104" s="167"/>
      <c r="F104" s="167"/>
      <c r="G104" s="167"/>
      <c r="H104" s="168" t="str">
        <f t="shared" si="14"/>
        <v/>
      </c>
      <c r="I104" s="168"/>
      <c r="J104" s="131"/>
      <c r="K104" s="167"/>
      <c r="L104" s="167"/>
      <c r="M104" s="167"/>
      <c r="N104" s="167"/>
      <c r="O104" s="167"/>
      <c r="P104" s="136" t="str">
        <f t="shared" si="23"/>
        <v>_Inspection Log.xlsm</v>
      </c>
      <c r="Q104" s="140" t="str">
        <f t="shared" si="24"/>
        <v>C:\Users\sabi_\OneDrive\Desktop\New folder\Coding logs\_Inspection Log.xlsm</v>
      </c>
      <c r="R104" s="141">
        <f t="array" ref="R104">SUM(IF($J$30:$J$194=IF(J104="","Blank",J104),1,0))</f>
        <v>0</v>
      </c>
      <c r="S104" s="141">
        <f t="shared" si="15"/>
        <v>0</v>
      </c>
      <c r="T104" s="141" t="str">
        <f t="shared" si="16"/>
        <v/>
      </c>
      <c r="U104" s="142">
        <f t="shared" si="17"/>
        <v>0</v>
      </c>
      <c r="V104" s="142">
        <f t="shared" si="18"/>
        <v>0</v>
      </c>
      <c r="W104" s="142">
        <f t="array" ref="W104">SUM(IF(LEN(J102:J266)&lt;=3,0,1))</f>
        <v>0</v>
      </c>
      <c r="X104" s="141" t="str">
        <f t="shared" si="19"/>
        <v>_Inspection Log</v>
      </c>
      <c r="Y104" s="142">
        <f t="shared" si="20"/>
        <v>0</v>
      </c>
      <c r="Z104" s="142" t="str">
        <f t="shared" si="21"/>
        <v/>
      </c>
      <c r="AA104" s="142">
        <f t="shared" si="22"/>
        <v>0</v>
      </c>
      <c r="AB104" s="142"/>
      <c r="AC104" s="142"/>
      <c r="AD104" s="142"/>
      <c r="AE104" s="142"/>
      <c r="AF104" s="142"/>
      <c r="AG104" s="142"/>
      <c r="AH104" s="142"/>
      <c r="AI104" s="142"/>
      <c r="AJ104" s="154"/>
      <c r="AK104" s="118"/>
      <c r="AL104" s="118"/>
      <c r="AM104" s="118"/>
      <c r="AN104" s="118"/>
      <c r="AO104" s="118"/>
      <c r="AP104" s="118"/>
      <c r="AQ104" s="121"/>
      <c r="AR104" s="121"/>
      <c r="AS104" s="121"/>
      <c r="AT104" s="121"/>
      <c r="AU104" s="121"/>
      <c r="AV104" s="121"/>
      <c r="AW104" s="121"/>
      <c r="AX104" s="121"/>
      <c r="AY104" s="121"/>
      <c r="AZ104" s="121"/>
      <c r="BA104" s="121"/>
      <c r="BB104" s="121"/>
      <c r="BC104" s="121"/>
      <c r="BD104" s="121"/>
      <c r="BE104" s="121"/>
      <c r="BF104" s="121"/>
      <c r="BG104" s="121"/>
      <c r="BH104" s="121"/>
    </row>
    <row r="105" spans="1:60" ht="15" customHeight="1">
      <c r="A105" s="118"/>
      <c r="B105" s="165"/>
      <c r="C105" s="166"/>
      <c r="D105" s="167"/>
      <c r="E105" s="167"/>
      <c r="F105" s="167"/>
      <c r="G105" s="167"/>
      <c r="H105" s="168" t="str">
        <f t="shared" si="14"/>
        <v/>
      </c>
      <c r="I105" s="168"/>
      <c r="J105" s="131"/>
      <c r="K105" s="167"/>
      <c r="L105" s="167"/>
      <c r="M105" s="167"/>
      <c r="N105" s="167"/>
      <c r="O105" s="167"/>
      <c r="P105" s="136" t="str">
        <f t="shared" si="23"/>
        <v>_Inspection Log.xlsm</v>
      </c>
      <c r="Q105" s="140" t="str">
        <f t="shared" si="24"/>
        <v>C:\Users\sabi_\OneDrive\Desktop\New folder\Coding logs\_Inspection Log.xlsm</v>
      </c>
      <c r="R105" s="141">
        <f t="array" ref="R105">SUM(IF($J$30:$J$194=IF(J105="","Blank",J105),1,0))</f>
        <v>0</v>
      </c>
      <c r="S105" s="141">
        <f t="shared" si="15"/>
        <v>0</v>
      </c>
      <c r="T105" s="141" t="str">
        <f t="shared" si="16"/>
        <v/>
      </c>
      <c r="U105" s="142">
        <f t="shared" si="17"/>
        <v>0</v>
      </c>
      <c r="V105" s="142">
        <f t="shared" si="18"/>
        <v>0</v>
      </c>
      <c r="W105" s="142">
        <f t="array" ref="W105">SUM(IF(LEN(J103:J267)&lt;=3,0,1))</f>
        <v>0</v>
      </c>
      <c r="X105" s="141" t="str">
        <f t="shared" si="19"/>
        <v>_Inspection Log</v>
      </c>
      <c r="Y105" s="142">
        <f t="shared" si="20"/>
        <v>0</v>
      </c>
      <c r="Z105" s="142" t="str">
        <f t="shared" si="21"/>
        <v/>
      </c>
      <c r="AA105" s="142">
        <f t="shared" si="22"/>
        <v>0</v>
      </c>
      <c r="AB105" s="142"/>
      <c r="AC105" s="142"/>
      <c r="AD105" s="142"/>
      <c r="AE105" s="142"/>
      <c r="AF105" s="142"/>
      <c r="AG105" s="142"/>
      <c r="AH105" s="142"/>
      <c r="AI105" s="142"/>
      <c r="AJ105" s="154"/>
      <c r="AK105" s="118"/>
      <c r="AL105" s="118"/>
      <c r="AM105" s="118"/>
      <c r="AN105" s="118"/>
      <c r="AO105" s="118"/>
      <c r="AP105" s="118"/>
      <c r="AQ105" s="121"/>
      <c r="AR105" s="121"/>
      <c r="AS105" s="121"/>
      <c r="AT105" s="121"/>
      <c r="AU105" s="121"/>
      <c r="AV105" s="121"/>
      <c r="AW105" s="121"/>
      <c r="AX105" s="121"/>
      <c r="AY105" s="121"/>
      <c r="AZ105" s="121"/>
      <c r="BA105" s="121"/>
      <c r="BB105" s="121"/>
      <c r="BC105" s="121"/>
      <c r="BD105" s="121"/>
      <c r="BE105" s="121"/>
      <c r="BF105" s="121"/>
      <c r="BG105" s="121"/>
      <c r="BH105" s="121"/>
    </row>
    <row r="106" spans="1:60" ht="15" customHeight="1">
      <c r="A106" s="118"/>
      <c r="B106" s="165"/>
      <c r="C106" s="166"/>
      <c r="D106" s="167"/>
      <c r="E106" s="167"/>
      <c r="F106" s="167"/>
      <c r="G106" s="167"/>
      <c r="H106" s="168" t="str">
        <f t="shared" si="14"/>
        <v/>
      </c>
      <c r="I106" s="168"/>
      <c r="J106" s="131"/>
      <c r="K106" s="167"/>
      <c r="L106" s="167"/>
      <c r="M106" s="167"/>
      <c r="N106" s="167"/>
      <c r="O106" s="167"/>
      <c r="P106" s="136" t="str">
        <f t="shared" si="23"/>
        <v>_Inspection Log.xlsm</v>
      </c>
      <c r="Q106" s="140" t="str">
        <f t="shared" si="24"/>
        <v>C:\Users\sabi_\OneDrive\Desktop\New folder\Coding logs\_Inspection Log.xlsm</v>
      </c>
      <c r="R106" s="141">
        <f t="array" ref="R106">SUM(IF($J$30:$J$194=IF(J106="","Blank",J106),1,0))</f>
        <v>0</v>
      </c>
      <c r="S106" s="141">
        <f t="shared" si="15"/>
        <v>0</v>
      </c>
      <c r="T106" s="141" t="str">
        <f t="shared" si="16"/>
        <v/>
      </c>
      <c r="U106" s="142">
        <f t="shared" si="17"/>
        <v>0</v>
      </c>
      <c r="V106" s="142">
        <f t="shared" si="18"/>
        <v>0</v>
      </c>
      <c r="W106" s="142">
        <f t="array" ref="W106">SUM(IF(LEN(J104:J268)&lt;=3,0,1))</f>
        <v>0</v>
      </c>
      <c r="X106" s="141" t="str">
        <f t="shared" si="19"/>
        <v>_Inspection Log</v>
      </c>
      <c r="Y106" s="142">
        <f t="shared" si="20"/>
        <v>0</v>
      </c>
      <c r="Z106" s="142" t="str">
        <f t="shared" si="21"/>
        <v/>
      </c>
      <c r="AA106" s="142">
        <f t="shared" si="22"/>
        <v>0</v>
      </c>
      <c r="AB106" s="142"/>
      <c r="AC106" s="142"/>
      <c r="AD106" s="142"/>
      <c r="AE106" s="142"/>
      <c r="AF106" s="142"/>
      <c r="AG106" s="142"/>
      <c r="AH106" s="142"/>
      <c r="AI106" s="142"/>
      <c r="AJ106" s="154"/>
      <c r="AK106" s="118"/>
      <c r="AL106" s="118"/>
      <c r="AM106" s="118"/>
      <c r="AN106" s="118"/>
      <c r="AO106" s="118"/>
      <c r="AP106" s="118"/>
      <c r="AQ106" s="121"/>
      <c r="AR106" s="121"/>
      <c r="AS106" s="121"/>
      <c r="AT106" s="121"/>
      <c r="AU106" s="121"/>
      <c r="AV106" s="121"/>
      <c r="AW106" s="121"/>
      <c r="AX106" s="121"/>
      <c r="AY106" s="121"/>
      <c r="AZ106" s="121"/>
      <c r="BA106" s="121"/>
      <c r="BB106" s="121"/>
      <c r="BC106" s="121"/>
      <c r="BD106" s="121"/>
      <c r="BE106" s="121"/>
      <c r="BF106" s="121"/>
      <c r="BG106" s="121"/>
      <c r="BH106" s="121"/>
    </row>
    <row r="107" spans="1:60" ht="15" customHeight="1">
      <c r="A107" s="118"/>
      <c r="B107" s="165"/>
      <c r="C107" s="166"/>
      <c r="D107" s="167"/>
      <c r="E107" s="167"/>
      <c r="F107" s="167"/>
      <c r="G107" s="167"/>
      <c r="H107" s="168" t="str">
        <f t="shared" si="14"/>
        <v/>
      </c>
      <c r="I107" s="168"/>
      <c r="J107" s="131"/>
      <c r="K107" s="167"/>
      <c r="L107" s="167"/>
      <c r="M107" s="167"/>
      <c r="N107" s="167"/>
      <c r="O107" s="167"/>
      <c r="P107" s="136" t="str">
        <f t="shared" si="23"/>
        <v>_Inspection Log.xlsm</v>
      </c>
      <c r="Q107" s="140" t="str">
        <f t="shared" si="24"/>
        <v>C:\Users\sabi_\OneDrive\Desktop\New folder\Coding logs\_Inspection Log.xlsm</v>
      </c>
      <c r="R107" s="141">
        <f t="array" ref="R107">SUM(IF($J$30:$J$194=IF(J107="","Blank",J107),1,0))</f>
        <v>0</v>
      </c>
      <c r="S107" s="141">
        <f t="shared" si="15"/>
        <v>0</v>
      </c>
      <c r="T107" s="141" t="str">
        <f t="shared" si="16"/>
        <v/>
      </c>
      <c r="U107" s="142">
        <f t="shared" si="17"/>
        <v>0</v>
      </c>
      <c r="V107" s="142">
        <f t="shared" si="18"/>
        <v>0</v>
      </c>
      <c r="W107" s="142">
        <f t="array" ref="W107">SUM(IF(LEN(J105:J269)&lt;=3,0,1))</f>
        <v>0</v>
      </c>
      <c r="X107" s="141" t="str">
        <f t="shared" si="19"/>
        <v>_Inspection Log</v>
      </c>
      <c r="Y107" s="142">
        <f t="shared" si="20"/>
        <v>0</v>
      </c>
      <c r="Z107" s="142" t="str">
        <f t="shared" si="21"/>
        <v/>
      </c>
      <c r="AA107" s="142">
        <f t="shared" si="22"/>
        <v>0</v>
      </c>
      <c r="AB107" s="142"/>
      <c r="AC107" s="142"/>
      <c r="AD107" s="142"/>
      <c r="AE107" s="142"/>
      <c r="AF107" s="142"/>
      <c r="AG107" s="142"/>
      <c r="AH107" s="142"/>
      <c r="AI107" s="142"/>
      <c r="AJ107" s="154"/>
      <c r="AK107" s="118"/>
      <c r="AL107" s="118"/>
      <c r="AM107" s="118"/>
      <c r="AN107" s="118"/>
      <c r="AO107" s="118"/>
      <c r="AP107" s="118"/>
      <c r="AQ107" s="121"/>
      <c r="AR107" s="121"/>
      <c r="AS107" s="121"/>
      <c r="AT107" s="121"/>
      <c r="AU107" s="121"/>
      <c r="AV107" s="121"/>
      <c r="AW107" s="121"/>
      <c r="AX107" s="121"/>
      <c r="AY107" s="121"/>
      <c r="AZ107" s="121"/>
      <c r="BA107" s="121"/>
      <c r="BB107" s="121"/>
      <c r="BC107" s="121"/>
      <c r="BD107" s="121"/>
      <c r="BE107" s="121"/>
      <c r="BF107" s="121"/>
      <c r="BG107" s="121"/>
      <c r="BH107" s="121"/>
    </row>
    <row r="108" spans="1:60" ht="15" customHeight="1">
      <c r="A108" s="118"/>
      <c r="B108" s="165"/>
      <c r="C108" s="166"/>
      <c r="D108" s="167"/>
      <c r="E108" s="167"/>
      <c r="F108" s="167"/>
      <c r="G108" s="167"/>
      <c r="H108" s="168" t="str">
        <f t="shared" si="14"/>
        <v/>
      </c>
      <c r="I108" s="168"/>
      <c r="J108" s="131"/>
      <c r="K108" s="167"/>
      <c r="L108" s="167"/>
      <c r="M108" s="167"/>
      <c r="N108" s="167"/>
      <c r="O108" s="167"/>
      <c r="P108" s="136" t="str">
        <f t="shared" si="23"/>
        <v>_Inspection Log.xlsm</v>
      </c>
      <c r="Q108" s="140" t="str">
        <f t="shared" si="24"/>
        <v>C:\Users\sabi_\OneDrive\Desktop\New folder\Coding logs\_Inspection Log.xlsm</v>
      </c>
      <c r="R108" s="141">
        <f t="array" ref="R108">SUM(IF($J$30:$J$194=IF(J108="","Blank",J108),1,0))</f>
        <v>0</v>
      </c>
      <c r="S108" s="141">
        <f t="shared" si="15"/>
        <v>0</v>
      </c>
      <c r="T108" s="141" t="str">
        <f t="shared" si="16"/>
        <v/>
      </c>
      <c r="U108" s="142">
        <f t="shared" si="17"/>
        <v>0</v>
      </c>
      <c r="V108" s="142">
        <f t="shared" si="18"/>
        <v>0</v>
      </c>
      <c r="W108" s="142">
        <f t="array" ref="W108">SUM(IF(LEN(J106:J270)&lt;=3,0,1))</f>
        <v>0</v>
      </c>
      <c r="X108" s="141" t="str">
        <f t="shared" si="19"/>
        <v>_Inspection Log</v>
      </c>
      <c r="Y108" s="142">
        <f t="shared" si="20"/>
        <v>0</v>
      </c>
      <c r="Z108" s="142" t="str">
        <f t="shared" si="21"/>
        <v/>
      </c>
      <c r="AA108" s="142">
        <f t="shared" si="22"/>
        <v>0</v>
      </c>
      <c r="AB108" s="142"/>
      <c r="AC108" s="142"/>
      <c r="AD108" s="142"/>
      <c r="AE108" s="142"/>
      <c r="AF108" s="142"/>
      <c r="AG108" s="142"/>
      <c r="AH108" s="142"/>
      <c r="AI108" s="142"/>
      <c r="AJ108" s="154"/>
      <c r="AK108" s="118"/>
      <c r="AL108" s="118"/>
      <c r="AM108" s="118"/>
      <c r="AN108" s="118"/>
      <c r="AO108" s="118"/>
      <c r="AP108" s="118"/>
      <c r="AQ108" s="121"/>
      <c r="AR108" s="121"/>
      <c r="AS108" s="121"/>
      <c r="AT108" s="121"/>
      <c r="AU108" s="121"/>
      <c r="AV108" s="121"/>
      <c r="AW108" s="121"/>
      <c r="AX108" s="121"/>
      <c r="AY108" s="121"/>
      <c r="AZ108" s="121"/>
      <c r="BA108" s="121"/>
      <c r="BB108" s="121"/>
      <c r="BC108" s="121"/>
      <c r="BD108" s="121"/>
      <c r="BE108" s="121"/>
      <c r="BF108" s="121"/>
      <c r="BG108" s="121"/>
      <c r="BH108" s="121"/>
    </row>
    <row r="109" spans="1:60" ht="15" customHeight="1">
      <c r="A109" s="118"/>
      <c r="B109" s="165"/>
      <c r="C109" s="166"/>
      <c r="D109" s="167"/>
      <c r="E109" s="167"/>
      <c r="F109" s="167"/>
      <c r="G109" s="167"/>
      <c r="H109" s="168" t="str">
        <f t="shared" si="14"/>
        <v/>
      </c>
      <c r="I109" s="168"/>
      <c r="J109" s="131"/>
      <c r="K109" s="167"/>
      <c r="L109" s="167"/>
      <c r="M109" s="167"/>
      <c r="N109" s="167"/>
      <c r="O109" s="167"/>
      <c r="P109" s="136" t="str">
        <f t="shared" si="23"/>
        <v>_Inspection Log.xlsm</v>
      </c>
      <c r="Q109" s="140" t="str">
        <f t="shared" si="24"/>
        <v>C:\Users\sabi_\OneDrive\Desktop\New folder\Coding logs\_Inspection Log.xlsm</v>
      </c>
      <c r="R109" s="141">
        <f t="array" ref="R109">SUM(IF($J$30:$J$194=IF(J109="","Blank",J109),1,0))</f>
        <v>0</v>
      </c>
      <c r="S109" s="141">
        <f t="shared" si="15"/>
        <v>0</v>
      </c>
      <c r="T109" s="141" t="str">
        <f t="shared" si="16"/>
        <v/>
      </c>
      <c r="U109" s="142">
        <f t="shared" si="17"/>
        <v>0</v>
      </c>
      <c r="V109" s="142">
        <f t="shared" si="18"/>
        <v>0</v>
      </c>
      <c r="W109" s="142">
        <f t="array" ref="W109">SUM(IF(LEN(J107:J271)&lt;=3,0,1))</f>
        <v>0</v>
      </c>
      <c r="X109" s="141" t="str">
        <f t="shared" si="19"/>
        <v>_Inspection Log</v>
      </c>
      <c r="Y109" s="142">
        <f t="shared" si="20"/>
        <v>0</v>
      </c>
      <c r="Z109" s="142" t="str">
        <f t="shared" si="21"/>
        <v/>
      </c>
      <c r="AA109" s="142">
        <f t="shared" si="22"/>
        <v>0</v>
      </c>
      <c r="AB109" s="142"/>
      <c r="AC109" s="142"/>
      <c r="AD109" s="142"/>
      <c r="AE109" s="142"/>
      <c r="AF109" s="142"/>
      <c r="AG109" s="142"/>
      <c r="AH109" s="142"/>
      <c r="AI109" s="142"/>
      <c r="AJ109" s="154"/>
      <c r="AK109" s="118"/>
      <c r="AL109" s="118"/>
      <c r="AM109" s="118"/>
      <c r="AN109" s="118"/>
      <c r="AO109" s="118"/>
      <c r="AP109" s="118"/>
      <c r="AQ109" s="121"/>
      <c r="AR109" s="121"/>
      <c r="AS109" s="121"/>
      <c r="AT109" s="121"/>
      <c r="AU109" s="121"/>
      <c r="AV109" s="121"/>
      <c r="AW109" s="121"/>
      <c r="AX109" s="121"/>
      <c r="AY109" s="121"/>
      <c r="AZ109" s="121"/>
      <c r="BA109" s="121"/>
      <c r="BB109" s="121"/>
      <c r="BC109" s="121"/>
      <c r="BD109" s="121"/>
      <c r="BE109" s="121"/>
      <c r="BF109" s="121"/>
      <c r="BG109" s="121"/>
      <c r="BH109" s="121"/>
    </row>
    <row r="110" spans="1:60" ht="15" customHeight="1">
      <c r="A110" s="118"/>
      <c r="B110" s="165"/>
      <c r="C110" s="166"/>
      <c r="D110" s="167"/>
      <c r="E110" s="167"/>
      <c r="F110" s="167"/>
      <c r="G110" s="167"/>
      <c r="H110" s="168" t="str">
        <f t="shared" si="14"/>
        <v/>
      </c>
      <c r="I110" s="168"/>
      <c r="J110" s="131"/>
      <c r="K110" s="167"/>
      <c r="L110" s="167"/>
      <c r="M110" s="167"/>
      <c r="N110" s="167"/>
      <c r="O110" s="167"/>
      <c r="P110" s="136" t="str">
        <f t="shared" si="23"/>
        <v>_Inspection Log.xlsm</v>
      </c>
      <c r="Q110" s="140" t="str">
        <f t="shared" si="24"/>
        <v>C:\Users\sabi_\OneDrive\Desktop\New folder\Coding logs\_Inspection Log.xlsm</v>
      </c>
      <c r="R110" s="141">
        <f t="array" ref="R110">SUM(IF($J$30:$J$194=IF(J110="","Blank",J110),1,0))</f>
        <v>0</v>
      </c>
      <c r="S110" s="141">
        <f t="shared" si="15"/>
        <v>0</v>
      </c>
      <c r="T110" s="141" t="str">
        <f t="shared" si="16"/>
        <v/>
      </c>
      <c r="U110" s="142">
        <f t="shared" si="17"/>
        <v>0</v>
      </c>
      <c r="V110" s="142">
        <f t="shared" si="18"/>
        <v>0</v>
      </c>
      <c r="W110" s="142">
        <f t="array" ref="W110">SUM(IF(LEN(J108:J272)&lt;=3,0,1))</f>
        <v>0</v>
      </c>
      <c r="X110" s="141" t="str">
        <f t="shared" si="19"/>
        <v>_Inspection Log</v>
      </c>
      <c r="Y110" s="142">
        <f t="shared" si="20"/>
        <v>0</v>
      </c>
      <c r="Z110" s="142" t="str">
        <f t="shared" si="21"/>
        <v/>
      </c>
      <c r="AA110" s="142">
        <f t="shared" si="22"/>
        <v>0</v>
      </c>
      <c r="AB110" s="142"/>
      <c r="AC110" s="142"/>
      <c r="AD110" s="142"/>
      <c r="AE110" s="142"/>
      <c r="AF110" s="142"/>
      <c r="AG110" s="142"/>
      <c r="AH110" s="142"/>
      <c r="AI110" s="142"/>
      <c r="AJ110" s="154"/>
      <c r="AK110" s="118"/>
      <c r="AL110" s="118"/>
      <c r="AM110" s="118"/>
      <c r="AN110" s="118"/>
      <c r="AO110" s="118"/>
      <c r="AP110" s="118"/>
      <c r="AQ110" s="121"/>
      <c r="AR110" s="121"/>
      <c r="AS110" s="121"/>
      <c r="AT110" s="121"/>
      <c r="AU110" s="121"/>
      <c r="AV110" s="121"/>
      <c r="AW110" s="121"/>
      <c r="AX110" s="121"/>
      <c r="AY110" s="121"/>
      <c r="AZ110" s="121"/>
      <c r="BA110" s="121"/>
      <c r="BB110" s="121"/>
      <c r="BC110" s="121"/>
      <c r="BD110" s="121"/>
      <c r="BE110" s="121"/>
      <c r="BF110" s="121"/>
      <c r="BG110" s="121"/>
      <c r="BH110" s="121"/>
    </row>
    <row r="111" spans="1:60" ht="15" customHeight="1">
      <c r="A111" s="118"/>
      <c r="B111" s="165"/>
      <c r="C111" s="166"/>
      <c r="D111" s="167"/>
      <c r="E111" s="167"/>
      <c r="F111" s="167"/>
      <c r="G111" s="167"/>
      <c r="H111" s="168" t="str">
        <f t="shared" si="14"/>
        <v/>
      </c>
      <c r="I111" s="168"/>
      <c r="J111" s="131"/>
      <c r="K111" s="167"/>
      <c r="L111" s="167"/>
      <c r="M111" s="167"/>
      <c r="N111" s="167"/>
      <c r="O111" s="167"/>
      <c r="P111" s="136" t="str">
        <f t="shared" si="23"/>
        <v>_Inspection Log.xlsm</v>
      </c>
      <c r="Q111" s="140" t="str">
        <f t="shared" si="24"/>
        <v>C:\Users\sabi_\OneDrive\Desktop\New folder\Coding logs\_Inspection Log.xlsm</v>
      </c>
      <c r="R111" s="141">
        <f t="array" ref="R111">SUM(IF($J$30:$J$194=IF(J111="","Blank",J111),1,0))</f>
        <v>0</v>
      </c>
      <c r="S111" s="141">
        <f t="shared" si="15"/>
        <v>0</v>
      </c>
      <c r="T111" s="141" t="str">
        <f t="shared" si="16"/>
        <v/>
      </c>
      <c r="U111" s="142">
        <f t="shared" si="17"/>
        <v>0</v>
      </c>
      <c r="V111" s="142">
        <f t="shared" si="18"/>
        <v>0</v>
      </c>
      <c r="W111" s="142">
        <f t="array" ref="W111">SUM(IF(LEN(J109:J273)&lt;=3,0,1))</f>
        <v>0</v>
      </c>
      <c r="X111" s="141" t="str">
        <f t="shared" si="19"/>
        <v>_Inspection Log</v>
      </c>
      <c r="Y111" s="142">
        <f t="shared" si="20"/>
        <v>0</v>
      </c>
      <c r="Z111" s="142" t="str">
        <f t="shared" si="21"/>
        <v/>
      </c>
      <c r="AA111" s="142">
        <f t="shared" si="22"/>
        <v>0</v>
      </c>
      <c r="AB111" s="142"/>
      <c r="AC111" s="142"/>
      <c r="AD111" s="142"/>
      <c r="AE111" s="142"/>
      <c r="AF111" s="142"/>
      <c r="AG111" s="142"/>
      <c r="AH111" s="142"/>
      <c r="AI111" s="142"/>
      <c r="AJ111" s="154"/>
      <c r="AK111" s="118"/>
      <c r="AL111" s="118"/>
      <c r="AM111" s="118"/>
      <c r="AN111" s="118"/>
      <c r="AO111" s="118"/>
      <c r="AP111" s="118"/>
      <c r="AQ111" s="121"/>
      <c r="AR111" s="121"/>
      <c r="AS111" s="121"/>
      <c r="AT111" s="121"/>
      <c r="AU111" s="121"/>
      <c r="AV111" s="121"/>
      <c r="AW111" s="121"/>
      <c r="AX111" s="121"/>
      <c r="AY111" s="121"/>
      <c r="AZ111" s="121"/>
      <c r="BA111" s="121"/>
      <c r="BB111" s="121"/>
      <c r="BC111" s="121"/>
      <c r="BD111" s="121"/>
      <c r="BE111" s="121"/>
      <c r="BF111" s="121"/>
      <c r="BG111" s="121"/>
      <c r="BH111" s="121"/>
    </row>
    <row r="112" spans="1:60" ht="15" customHeight="1">
      <c r="A112" s="118"/>
      <c r="B112" s="165"/>
      <c r="C112" s="166"/>
      <c r="D112" s="167"/>
      <c r="E112" s="167"/>
      <c r="F112" s="167"/>
      <c r="G112" s="167"/>
      <c r="H112" s="168" t="str">
        <f t="shared" si="14"/>
        <v/>
      </c>
      <c r="I112" s="168"/>
      <c r="J112" s="131"/>
      <c r="K112" s="167"/>
      <c r="L112" s="167"/>
      <c r="M112" s="167"/>
      <c r="N112" s="167"/>
      <c r="O112" s="167"/>
      <c r="P112" s="136" t="str">
        <f t="shared" si="23"/>
        <v>_Inspection Log.xlsm</v>
      </c>
      <c r="Q112" s="140" t="str">
        <f t="shared" si="24"/>
        <v>C:\Users\sabi_\OneDrive\Desktop\New folder\Coding logs\_Inspection Log.xlsm</v>
      </c>
      <c r="R112" s="141">
        <f t="array" ref="R112">SUM(IF($J$30:$J$194=IF(J112="","Blank",J112),1,0))</f>
        <v>0</v>
      </c>
      <c r="S112" s="141">
        <f t="shared" si="15"/>
        <v>0</v>
      </c>
      <c r="T112" s="141" t="str">
        <f t="shared" si="16"/>
        <v/>
      </c>
      <c r="U112" s="142">
        <f t="shared" si="17"/>
        <v>0</v>
      </c>
      <c r="V112" s="142">
        <f t="shared" si="18"/>
        <v>0</v>
      </c>
      <c r="W112" s="142">
        <f t="array" ref="W112">SUM(IF(LEN(J110:J274)&lt;=3,0,1))</f>
        <v>0</v>
      </c>
      <c r="X112" s="141" t="str">
        <f t="shared" si="19"/>
        <v>_Inspection Log</v>
      </c>
      <c r="Y112" s="142">
        <f t="shared" si="20"/>
        <v>0</v>
      </c>
      <c r="Z112" s="142" t="str">
        <f t="shared" si="21"/>
        <v/>
      </c>
      <c r="AA112" s="142">
        <f t="shared" si="22"/>
        <v>0</v>
      </c>
      <c r="AB112" s="142"/>
      <c r="AC112" s="142"/>
      <c r="AD112" s="142"/>
      <c r="AE112" s="142"/>
      <c r="AF112" s="142"/>
      <c r="AG112" s="142"/>
      <c r="AH112" s="142"/>
      <c r="AI112" s="142"/>
      <c r="AJ112" s="154"/>
      <c r="AK112" s="118"/>
      <c r="AL112" s="118"/>
      <c r="AM112" s="118"/>
      <c r="AN112" s="118"/>
      <c r="AO112" s="118"/>
      <c r="AP112" s="118"/>
      <c r="AQ112" s="121"/>
      <c r="AR112" s="121"/>
      <c r="AS112" s="121"/>
      <c r="AT112" s="121"/>
      <c r="AU112" s="121"/>
      <c r="AV112" s="121"/>
      <c r="AW112" s="121"/>
      <c r="AX112" s="121"/>
      <c r="AY112" s="121"/>
      <c r="AZ112" s="121"/>
      <c r="BA112" s="121"/>
      <c r="BB112" s="121"/>
      <c r="BC112" s="121"/>
      <c r="BD112" s="121"/>
      <c r="BE112" s="121"/>
      <c r="BF112" s="121"/>
      <c r="BG112" s="121"/>
      <c r="BH112" s="121"/>
    </row>
    <row r="113" spans="1:60" ht="15" customHeight="1">
      <c r="A113" s="118"/>
      <c r="B113" s="165"/>
      <c r="C113" s="166"/>
      <c r="D113" s="167"/>
      <c r="E113" s="167"/>
      <c r="F113" s="167"/>
      <c r="G113" s="167"/>
      <c r="H113" s="168" t="str">
        <f t="shared" si="14"/>
        <v/>
      </c>
      <c r="I113" s="168"/>
      <c r="J113" s="131"/>
      <c r="K113" s="167"/>
      <c r="L113" s="167"/>
      <c r="M113" s="167"/>
      <c r="N113" s="167"/>
      <c r="O113" s="167"/>
      <c r="P113" s="136" t="str">
        <f t="shared" si="23"/>
        <v>_Inspection Log.xlsm</v>
      </c>
      <c r="Q113" s="140" t="str">
        <f t="shared" si="24"/>
        <v>C:\Users\sabi_\OneDrive\Desktop\New folder\Coding logs\_Inspection Log.xlsm</v>
      </c>
      <c r="R113" s="141">
        <f t="array" ref="R113">SUM(IF($J$30:$J$194=IF(J113="","Blank",J113),1,0))</f>
        <v>0</v>
      </c>
      <c r="S113" s="141">
        <f t="shared" si="15"/>
        <v>0</v>
      </c>
      <c r="T113" s="141" t="str">
        <f t="shared" si="16"/>
        <v/>
      </c>
      <c r="U113" s="142">
        <f t="shared" si="17"/>
        <v>0</v>
      </c>
      <c r="V113" s="142">
        <f t="shared" si="18"/>
        <v>0</v>
      </c>
      <c r="W113" s="142">
        <f t="array" ref="W113">SUM(IF(LEN(J111:J275)&lt;=3,0,1))</f>
        <v>0</v>
      </c>
      <c r="X113" s="141" t="str">
        <f t="shared" si="19"/>
        <v>_Inspection Log</v>
      </c>
      <c r="Y113" s="142">
        <f t="shared" si="20"/>
        <v>0</v>
      </c>
      <c r="Z113" s="142" t="str">
        <f t="shared" si="21"/>
        <v/>
      </c>
      <c r="AA113" s="142">
        <f t="shared" si="22"/>
        <v>0</v>
      </c>
      <c r="AB113" s="142"/>
      <c r="AC113" s="142"/>
      <c r="AD113" s="142"/>
      <c r="AE113" s="142"/>
      <c r="AF113" s="142"/>
      <c r="AG113" s="142"/>
      <c r="AH113" s="142"/>
      <c r="AI113" s="142"/>
      <c r="AJ113" s="154"/>
      <c r="AK113" s="118"/>
      <c r="AL113" s="118"/>
      <c r="AM113" s="118"/>
      <c r="AN113" s="118"/>
      <c r="AO113" s="118"/>
      <c r="AP113" s="118"/>
      <c r="AQ113" s="121"/>
      <c r="AR113" s="121"/>
      <c r="AS113" s="121"/>
      <c r="AT113" s="121"/>
      <c r="AU113" s="121"/>
      <c r="AV113" s="121"/>
      <c r="AW113" s="121"/>
      <c r="AX113" s="121"/>
      <c r="AY113" s="121"/>
      <c r="AZ113" s="121"/>
      <c r="BA113" s="121"/>
      <c r="BB113" s="121"/>
      <c r="BC113" s="121"/>
      <c r="BD113" s="121"/>
      <c r="BE113" s="121"/>
      <c r="BF113" s="121"/>
      <c r="BG113" s="121"/>
      <c r="BH113" s="121"/>
    </row>
    <row r="114" spans="1:60" ht="15" customHeight="1">
      <c r="A114" s="118"/>
      <c r="B114" s="165"/>
      <c r="C114" s="166"/>
      <c r="D114" s="167"/>
      <c r="E114" s="167"/>
      <c r="F114" s="167"/>
      <c r="G114" s="167"/>
      <c r="H114" s="168" t="str">
        <f t="shared" si="14"/>
        <v/>
      </c>
      <c r="I114" s="168"/>
      <c r="J114" s="131"/>
      <c r="K114" s="167"/>
      <c r="L114" s="167"/>
      <c r="M114" s="167"/>
      <c r="N114" s="167"/>
      <c r="O114" s="167"/>
      <c r="P114" s="136" t="str">
        <f t="shared" si="23"/>
        <v>_Inspection Log.xlsm</v>
      </c>
      <c r="Q114" s="140" t="str">
        <f t="shared" si="24"/>
        <v>C:\Users\sabi_\OneDrive\Desktop\New folder\Coding logs\_Inspection Log.xlsm</v>
      </c>
      <c r="R114" s="141">
        <f t="array" ref="R114">SUM(IF($J$30:$J$194=IF(J114="","Blank",J114),1,0))</f>
        <v>0</v>
      </c>
      <c r="S114" s="141">
        <f t="shared" si="15"/>
        <v>0</v>
      </c>
      <c r="T114" s="141" t="str">
        <f t="shared" si="16"/>
        <v/>
      </c>
      <c r="U114" s="142">
        <f t="shared" si="17"/>
        <v>0</v>
      </c>
      <c r="V114" s="142">
        <f t="shared" si="18"/>
        <v>0</v>
      </c>
      <c r="W114" s="142">
        <f t="array" ref="W114">SUM(IF(LEN(J112:J276)&lt;=3,0,1))</f>
        <v>0</v>
      </c>
      <c r="X114" s="141" t="str">
        <f t="shared" si="19"/>
        <v>_Inspection Log</v>
      </c>
      <c r="Y114" s="142">
        <f t="shared" si="20"/>
        <v>0</v>
      </c>
      <c r="Z114" s="142" t="str">
        <f t="shared" si="21"/>
        <v/>
      </c>
      <c r="AA114" s="142">
        <f t="shared" si="22"/>
        <v>0</v>
      </c>
      <c r="AB114" s="142"/>
      <c r="AC114" s="142"/>
      <c r="AD114" s="142"/>
      <c r="AE114" s="142"/>
      <c r="AF114" s="142"/>
      <c r="AG114" s="142"/>
      <c r="AH114" s="142"/>
      <c r="AI114" s="142"/>
      <c r="AJ114" s="154"/>
      <c r="AK114" s="118"/>
      <c r="AL114" s="118"/>
      <c r="AM114" s="118"/>
      <c r="AN114" s="118"/>
      <c r="AO114" s="118"/>
      <c r="AP114" s="118"/>
      <c r="AQ114" s="121"/>
      <c r="AR114" s="121"/>
      <c r="AS114" s="121"/>
      <c r="AT114" s="121"/>
      <c r="AU114" s="121"/>
      <c r="AV114" s="121"/>
      <c r="AW114" s="121"/>
      <c r="AX114" s="121"/>
      <c r="AY114" s="121"/>
      <c r="AZ114" s="121"/>
      <c r="BA114" s="121"/>
      <c r="BB114" s="121"/>
      <c r="BC114" s="121"/>
      <c r="BD114" s="121"/>
      <c r="BE114" s="121"/>
      <c r="BF114" s="121"/>
      <c r="BG114" s="121"/>
      <c r="BH114" s="121"/>
    </row>
    <row r="115" spans="1:60" ht="15" customHeight="1">
      <c r="A115" s="118"/>
      <c r="B115" s="165"/>
      <c r="C115" s="166"/>
      <c r="D115" s="167"/>
      <c r="E115" s="167"/>
      <c r="F115" s="167"/>
      <c r="G115" s="167"/>
      <c r="H115" s="168" t="str">
        <f t="shared" si="14"/>
        <v/>
      </c>
      <c r="I115" s="168"/>
      <c r="J115" s="131"/>
      <c r="K115" s="167"/>
      <c r="L115" s="167"/>
      <c r="M115" s="167"/>
      <c r="N115" s="167"/>
      <c r="O115" s="167"/>
      <c r="P115" s="136" t="str">
        <f t="shared" si="23"/>
        <v>_Inspection Log.xlsm</v>
      </c>
      <c r="Q115" s="140" t="str">
        <f t="shared" si="24"/>
        <v>C:\Users\sabi_\OneDrive\Desktop\New folder\Coding logs\_Inspection Log.xlsm</v>
      </c>
      <c r="R115" s="141">
        <f t="array" ref="R115">SUM(IF($J$30:$J$194=IF(J115="","Blank",J115),1,0))</f>
        <v>0</v>
      </c>
      <c r="S115" s="141">
        <f t="shared" si="15"/>
        <v>0</v>
      </c>
      <c r="T115" s="141" t="str">
        <f t="shared" si="16"/>
        <v/>
      </c>
      <c r="U115" s="142">
        <f t="shared" si="17"/>
        <v>0</v>
      </c>
      <c r="V115" s="142">
        <f t="shared" si="18"/>
        <v>0</v>
      </c>
      <c r="W115" s="142">
        <f t="array" ref="W115">SUM(IF(LEN(J113:J277)&lt;=3,0,1))</f>
        <v>0</v>
      </c>
      <c r="X115" s="141" t="str">
        <f t="shared" si="19"/>
        <v>_Inspection Log</v>
      </c>
      <c r="Y115" s="142">
        <f t="shared" si="20"/>
        <v>0</v>
      </c>
      <c r="Z115" s="142" t="str">
        <f t="shared" si="21"/>
        <v/>
      </c>
      <c r="AA115" s="142">
        <f t="shared" si="22"/>
        <v>0</v>
      </c>
      <c r="AB115" s="142"/>
      <c r="AC115" s="142"/>
      <c r="AD115" s="142"/>
      <c r="AE115" s="142"/>
      <c r="AF115" s="142"/>
      <c r="AG115" s="142"/>
      <c r="AH115" s="142"/>
      <c r="AI115" s="142"/>
      <c r="AJ115" s="154"/>
      <c r="AK115" s="118"/>
      <c r="AL115" s="118"/>
      <c r="AM115" s="118"/>
      <c r="AN115" s="118"/>
      <c r="AO115" s="118"/>
      <c r="AP115" s="118"/>
      <c r="AQ115" s="121"/>
      <c r="AR115" s="121"/>
      <c r="AS115" s="121"/>
      <c r="AT115" s="121"/>
      <c r="AU115" s="121"/>
      <c r="AV115" s="121"/>
      <c r="AW115" s="121"/>
      <c r="AX115" s="121"/>
      <c r="AY115" s="121"/>
      <c r="AZ115" s="121"/>
      <c r="BA115" s="121"/>
      <c r="BB115" s="121"/>
      <c r="BC115" s="121"/>
      <c r="BD115" s="121"/>
      <c r="BE115" s="121"/>
      <c r="BF115" s="121"/>
      <c r="BG115" s="121"/>
      <c r="BH115" s="121"/>
    </row>
    <row r="116" spans="1:60" ht="15" customHeight="1">
      <c r="A116" s="118"/>
      <c r="B116" s="165"/>
      <c r="C116" s="166"/>
      <c r="D116" s="167"/>
      <c r="E116" s="167"/>
      <c r="F116" s="167"/>
      <c r="G116" s="167"/>
      <c r="H116" s="168" t="str">
        <f t="shared" si="14"/>
        <v/>
      </c>
      <c r="I116" s="168"/>
      <c r="J116" s="131"/>
      <c r="K116" s="167"/>
      <c r="L116" s="167"/>
      <c r="M116" s="167"/>
      <c r="N116" s="167"/>
      <c r="O116" s="167"/>
      <c r="P116" s="136" t="str">
        <f t="shared" si="23"/>
        <v>_Inspection Log.xlsm</v>
      </c>
      <c r="Q116" s="140" t="str">
        <f t="shared" si="24"/>
        <v>C:\Users\sabi_\OneDrive\Desktop\New folder\Coding logs\_Inspection Log.xlsm</v>
      </c>
      <c r="R116" s="141">
        <f t="array" ref="R116">SUM(IF($J$30:$J$194=IF(J116="","Blank",J116),1,0))</f>
        <v>0</v>
      </c>
      <c r="S116" s="141">
        <f t="shared" si="15"/>
        <v>0</v>
      </c>
      <c r="T116" s="141" t="str">
        <f t="shared" si="16"/>
        <v/>
      </c>
      <c r="U116" s="142">
        <f t="shared" si="17"/>
        <v>0</v>
      </c>
      <c r="V116" s="142">
        <f t="shared" si="18"/>
        <v>0</v>
      </c>
      <c r="W116" s="142">
        <f t="array" ref="W116">SUM(IF(LEN(J114:J278)&lt;=3,0,1))</f>
        <v>0</v>
      </c>
      <c r="X116" s="141" t="str">
        <f t="shared" si="19"/>
        <v>_Inspection Log</v>
      </c>
      <c r="Y116" s="142">
        <f t="shared" si="20"/>
        <v>0</v>
      </c>
      <c r="Z116" s="142" t="str">
        <f t="shared" si="21"/>
        <v/>
      </c>
      <c r="AA116" s="142">
        <f t="shared" si="22"/>
        <v>0</v>
      </c>
      <c r="AB116" s="142"/>
      <c r="AC116" s="142"/>
      <c r="AD116" s="142"/>
      <c r="AE116" s="142"/>
      <c r="AF116" s="142"/>
      <c r="AG116" s="142"/>
      <c r="AH116" s="142"/>
      <c r="AI116" s="142"/>
      <c r="AJ116" s="154"/>
      <c r="AK116" s="118"/>
      <c r="AL116" s="118"/>
      <c r="AM116" s="118"/>
      <c r="AN116" s="118"/>
      <c r="AO116" s="118"/>
      <c r="AP116" s="118"/>
      <c r="AQ116" s="121"/>
      <c r="AR116" s="121"/>
      <c r="AS116" s="121"/>
      <c r="AT116" s="121"/>
      <c r="AU116" s="121"/>
      <c r="AV116" s="121"/>
      <c r="AW116" s="121"/>
      <c r="AX116" s="121"/>
      <c r="AY116" s="121"/>
      <c r="AZ116" s="121"/>
      <c r="BA116" s="121"/>
      <c r="BB116" s="121"/>
      <c r="BC116" s="121"/>
      <c r="BD116" s="121"/>
      <c r="BE116" s="121"/>
      <c r="BF116" s="121"/>
      <c r="BG116" s="121"/>
      <c r="BH116" s="121"/>
    </row>
    <row r="117" spans="1:60" ht="15" customHeight="1">
      <c r="A117" s="118"/>
      <c r="B117" s="165"/>
      <c r="C117" s="166"/>
      <c r="D117" s="167"/>
      <c r="E117" s="167"/>
      <c r="F117" s="167"/>
      <c r="G117" s="167"/>
      <c r="H117" s="168" t="str">
        <f t="shared" si="14"/>
        <v/>
      </c>
      <c r="I117" s="168"/>
      <c r="J117" s="131"/>
      <c r="K117" s="167"/>
      <c r="L117" s="167"/>
      <c r="M117" s="167"/>
      <c r="N117" s="167"/>
      <c r="O117" s="167"/>
      <c r="P117" s="136" t="str">
        <f t="shared" si="23"/>
        <v>_Inspection Log.xlsm</v>
      </c>
      <c r="Q117" s="140" t="str">
        <f t="shared" si="24"/>
        <v>C:\Users\sabi_\OneDrive\Desktop\New folder\Coding logs\_Inspection Log.xlsm</v>
      </c>
      <c r="R117" s="141">
        <f t="array" ref="R117">SUM(IF($J$30:$J$194=IF(J117="","Blank",J117),1,0))</f>
        <v>0</v>
      </c>
      <c r="S117" s="141">
        <f t="shared" si="15"/>
        <v>0</v>
      </c>
      <c r="T117" s="141" t="str">
        <f t="shared" si="16"/>
        <v/>
      </c>
      <c r="U117" s="142">
        <f t="shared" si="17"/>
        <v>0</v>
      </c>
      <c r="V117" s="142">
        <f t="shared" si="18"/>
        <v>0</v>
      </c>
      <c r="W117" s="142">
        <f t="array" ref="W117">SUM(IF(LEN(J115:J279)&lt;=3,0,1))</f>
        <v>0</v>
      </c>
      <c r="X117" s="141" t="str">
        <f t="shared" si="19"/>
        <v>_Inspection Log</v>
      </c>
      <c r="Y117" s="142">
        <f t="shared" si="20"/>
        <v>0</v>
      </c>
      <c r="Z117" s="142" t="str">
        <f t="shared" si="21"/>
        <v/>
      </c>
      <c r="AA117" s="142">
        <f t="shared" si="22"/>
        <v>0</v>
      </c>
      <c r="AB117" s="142"/>
      <c r="AC117" s="142"/>
      <c r="AD117" s="142"/>
      <c r="AE117" s="142"/>
      <c r="AF117" s="142"/>
      <c r="AG117" s="142"/>
      <c r="AH117" s="142"/>
      <c r="AI117" s="142"/>
      <c r="AJ117" s="154"/>
      <c r="AK117" s="118"/>
      <c r="AL117" s="118"/>
      <c r="AM117" s="118"/>
      <c r="AN117" s="118"/>
      <c r="AO117" s="118"/>
      <c r="AP117" s="118"/>
      <c r="AQ117" s="121"/>
      <c r="AR117" s="121"/>
      <c r="AS117" s="121"/>
      <c r="AT117" s="121"/>
      <c r="AU117" s="121"/>
      <c r="AV117" s="121"/>
      <c r="AW117" s="121"/>
      <c r="AX117" s="121"/>
      <c r="AY117" s="121"/>
      <c r="AZ117" s="121"/>
      <c r="BA117" s="121"/>
      <c r="BB117" s="121"/>
      <c r="BC117" s="121"/>
      <c r="BD117" s="121"/>
      <c r="BE117" s="121"/>
      <c r="BF117" s="121"/>
      <c r="BG117" s="121"/>
      <c r="BH117" s="121"/>
    </row>
    <row r="118" spans="1:60" ht="15" customHeight="1">
      <c r="A118" s="118"/>
      <c r="B118" s="165"/>
      <c r="C118" s="166"/>
      <c r="D118" s="167"/>
      <c r="E118" s="167"/>
      <c r="F118" s="167"/>
      <c r="G118" s="167"/>
      <c r="H118" s="168" t="str">
        <f t="shared" si="14"/>
        <v/>
      </c>
      <c r="I118" s="168"/>
      <c r="J118" s="131"/>
      <c r="K118" s="167"/>
      <c r="L118" s="167"/>
      <c r="M118" s="167"/>
      <c r="N118" s="167"/>
      <c r="O118" s="167"/>
      <c r="P118" s="136" t="str">
        <f t="shared" si="23"/>
        <v>_Inspection Log.xlsm</v>
      </c>
      <c r="Q118" s="140" t="str">
        <f t="shared" si="24"/>
        <v>C:\Users\sabi_\OneDrive\Desktop\New folder\Coding logs\_Inspection Log.xlsm</v>
      </c>
      <c r="R118" s="141">
        <f t="array" ref="R118">SUM(IF($J$30:$J$194=IF(J118="","Blank",J118),1,0))</f>
        <v>0</v>
      </c>
      <c r="S118" s="141">
        <f t="shared" si="15"/>
        <v>0</v>
      </c>
      <c r="T118" s="141" t="str">
        <f t="shared" si="16"/>
        <v/>
      </c>
      <c r="U118" s="142">
        <f t="shared" si="17"/>
        <v>0</v>
      </c>
      <c r="V118" s="142">
        <f t="shared" si="18"/>
        <v>0</v>
      </c>
      <c r="W118" s="142">
        <f t="array" ref="W118">SUM(IF(LEN(J116:J280)&lt;=3,0,1))</f>
        <v>0</v>
      </c>
      <c r="X118" s="141" t="str">
        <f t="shared" si="19"/>
        <v>_Inspection Log</v>
      </c>
      <c r="Y118" s="142">
        <f t="shared" si="20"/>
        <v>0</v>
      </c>
      <c r="Z118" s="142" t="str">
        <f t="shared" si="21"/>
        <v/>
      </c>
      <c r="AA118" s="142">
        <f t="shared" si="22"/>
        <v>0</v>
      </c>
      <c r="AB118" s="142"/>
      <c r="AC118" s="142"/>
      <c r="AD118" s="142"/>
      <c r="AE118" s="142"/>
      <c r="AF118" s="142"/>
      <c r="AG118" s="142"/>
      <c r="AH118" s="142"/>
      <c r="AI118" s="142"/>
      <c r="AJ118" s="154"/>
      <c r="AK118" s="118"/>
      <c r="AL118" s="118"/>
      <c r="AM118" s="118"/>
      <c r="AN118" s="118"/>
      <c r="AO118" s="118"/>
      <c r="AP118" s="118"/>
      <c r="AQ118" s="121"/>
      <c r="AR118" s="121"/>
      <c r="AS118" s="121"/>
      <c r="AT118" s="121"/>
      <c r="AU118" s="121"/>
      <c r="AV118" s="121"/>
      <c r="AW118" s="121"/>
      <c r="AX118" s="121"/>
      <c r="AY118" s="121"/>
      <c r="AZ118" s="121"/>
      <c r="BA118" s="121"/>
      <c r="BB118" s="121"/>
      <c r="BC118" s="121"/>
      <c r="BD118" s="121"/>
      <c r="BE118" s="121"/>
      <c r="BF118" s="121"/>
      <c r="BG118" s="121"/>
      <c r="BH118" s="121"/>
    </row>
    <row r="119" spans="1:60" ht="15" customHeight="1">
      <c r="A119" s="118"/>
      <c r="B119" s="165"/>
      <c r="C119" s="166"/>
      <c r="D119" s="167"/>
      <c r="E119" s="167"/>
      <c r="F119" s="167"/>
      <c r="G119" s="167"/>
      <c r="H119" s="168" t="str">
        <f t="shared" si="14"/>
        <v/>
      </c>
      <c r="I119" s="168"/>
      <c r="J119" s="131"/>
      <c r="K119" s="167"/>
      <c r="L119" s="167"/>
      <c r="M119" s="167"/>
      <c r="N119" s="167"/>
      <c r="O119" s="167"/>
      <c r="P119" s="136" t="str">
        <f t="shared" si="23"/>
        <v>_Inspection Log.xlsm</v>
      </c>
      <c r="Q119" s="140" t="str">
        <f t="shared" si="24"/>
        <v>C:\Users\sabi_\OneDrive\Desktop\New folder\Coding logs\_Inspection Log.xlsm</v>
      </c>
      <c r="R119" s="141">
        <f t="array" ref="R119">SUM(IF($J$30:$J$194=IF(J119="","Blank",J119),1,0))</f>
        <v>0</v>
      </c>
      <c r="S119" s="141">
        <f t="shared" si="15"/>
        <v>0</v>
      </c>
      <c r="T119" s="141" t="str">
        <f t="shared" si="16"/>
        <v/>
      </c>
      <c r="U119" s="142">
        <f t="shared" si="17"/>
        <v>0</v>
      </c>
      <c r="V119" s="142">
        <f t="shared" si="18"/>
        <v>0</v>
      </c>
      <c r="W119" s="142">
        <f t="array" ref="W119">SUM(IF(LEN(J117:J281)&lt;=3,0,1))</f>
        <v>0</v>
      </c>
      <c r="X119" s="141" t="str">
        <f t="shared" si="19"/>
        <v>_Inspection Log</v>
      </c>
      <c r="Y119" s="142">
        <f t="shared" si="20"/>
        <v>0</v>
      </c>
      <c r="Z119" s="142" t="str">
        <f t="shared" si="21"/>
        <v/>
      </c>
      <c r="AA119" s="142">
        <f t="shared" si="22"/>
        <v>0</v>
      </c>
      <c r="AB119" s="142"/>
      <c r="AC119" s="142"/>
      <c r="AD119" s="142"/>
      <c r="AE119" s="142"/>
      <c r="AF119" s="142"/>
      <c r="AG119" s="142"/>
      <c r="AH119" s="142"/>
      <c r="AI119" s="142"/>
      <c r="AJ119" s="154"/>
      <c r="AK119" s="118"/>
      <c r="AL119" s="118"/>
      <c r="AM119" s="118"/>
      <c r="AN119" s="118"/>
      <c r="AO119" s="118"/>
      <c r="AP119" s="118"/>
      <c r="AQ119" s="121"/>
      <c r="AR119" s="121"/>
      <c r="AS119" s="121"/>
      <c r="AT119" s="121"/>
      <c r="AU119" s="121"/>
      <c r="AV119" s="121"/>
      <c r="AW119" s="121"/>
      <c r="AX119" s="121"/>
      <c r="AY119" s="121"/>
      <c r="AZ119" s="121"/>
      <c r="BA119" s="121"/>
      <c r="BB119" s="121"/>
      <c r="BC119" s="121"/>
      <c r="BD119" s="121"/>
      <c r="BE119" s="121"/>
      <c r="BF119" s="121"/>
      <c r="BG119" s="121"/>
      <c r="BH119" s="121"/>
    </row>
    <row r="120" spans="1:60" ht="15" customHeight="1">
      <c r="A120" s="118"/>
      <c r="B120" s="165"/>
      <c r="C120" s="166"/>
      <c r="D120" s="167"/>
      <c r="E120" s="167"/>
      <c r="F120" s="167"/>
      <c r="G120" s="167"/>
      <c r="H120" s="168" t="str">
        <f t="shared" si="14"/>
        <v/>
      </c>
      <c r="I120" s="168"/>
      <c r="J120" s="131"/>
      <c r="K120" s="167"/>
      <c r="L120" s="167"/>
      <c r="M120" s="167"/>
      <c r="N120" s="167"/>
      <c r="O120" s="167"/>
      <c r="P120" s="136" t="str">
        <f t="shared" si="23"/>
        <v>_Inspection Log.xlsm</v>
      </c>
      <c r="Q120" s="140" t="str">
        <f t="shared" si="24"/>
        <v>C:\Users\sabi_\OneDrive\Desktop\New folder\Coding logs\_Inspection Log.xlsm</v>
      </c>
      <c r="R120" s="141">
        <f t="array" ref="R120">SUM(IF($J$30:$J$194=IF(J120="","Blank",J120),1,0))</f>
        <v>0</v>
      </c>
      <c r="S120" s="141">
        <f t="shared" si="15"/>
        <v>0</v>
      </c>
      <c r="T120" s="141" t="str">
        <f t="shared" si="16"/>
        <v/>
      </c>
      <c r="U120" s="142">
        <f t="shared" si="17"/>
        <v>0</v>
      </c>
      <c r="V120" s="142">
        <f t="shared" si="18"/>
        <v>0</v>
      </c>
      <c r="W120" s="142">
        <f t="array" ref="W120">SUM(IF(LEN(J118:J282)&lt;=3,0,1))</f>
        <v>0</v>
      </c>
      <c r="X120" s="141" t="str">
        <f t="shared" si="19"/>
        <v>_Inspection Log</v>
      </c>
      <c r="Y120" s="142">
        <f t="shared" si="20"/>
        <v>0</v>
      </c>
      <c r="Z120" s="142" t="str">
        <f t="shared" si="21"/>
        <v/>
      </c>
      <c r="AA120" s="142">
        <f t="shared" si="22"/>
        <v>0</v>
      </c>
      <c r="AB120" s="142"/>
      <c r="AC120" s="142"/>
      <c r="AD120" s="142"/>
      <c r="AE120" s="142"/>
      <c r="AF120" s="142"/>
      <c r="AG120" s="142"/>
      <c r="AH120" s="142"/>
      <c r="AI120" s="142"/>
      <c r="AJ120" s="154"/>
      <c r="AK120" s="118"/>
      <c r="AL120" s="118"/>
      <c r="AM120" s="118"/>
      <c r="AN120" s="118"/>
      <c r="AO120" s="118"/>
      <c r="AP120" s="118"/>
      <c r="AQ120" s="121"/>
      <c r="AR120" s="121"/>
      <c r="AS120" s="121"/>
      <c r="AT120" s="121"/>
      <c r="AU120" s="121"/>
      <c r="AV120" s="121"/>
      <c r="AW120" s="121"/>
      <c r="AX120" s="121"/>
      <c r="AY120" s="121"/>
      <c r="AZ120" s="121"/>
      <c r="BA120" s="121"/>
      <c r="BB120" s="121"/>
      <c r="BC120" s="121"/>
      <c r="BD120" s="121"/>
      <c r="BE120" s="121"/>
      <c r="BF120" s="121"/>
      <c r="BG120" s="121"/>
      <c r="BH120" s="121"/>
    </row>
    <row r="121" spans="1:60" ht="15" customHeight="1">
      <c r="A121" s="118"/>
      <c r="B121" s="165"/>
      <c r="C121" s="166"/>
      <c r="D121" s="167"/>
      <c r="E121" s="167"/>
      <c r="F121" s="167"/>
      <c r="G121" s="167"/>
      <c r="H121" s="168" t="str">
        <f t="shared" si="14"/>
        <v/>
      </c>
      <c r="I121" s="168"/>
      <c r="J121" s="131"/>
      <c r="K121" s="167"/>
      <c r="L121" s="167"/>
      <c r="M121" s="167"/>
      <c r="N121" s="167"/>
      <c r="O121" s="167"/>
      <c r="P121" s="136" t="str">
        <f t="shared" si="23"/>
        <v>_Inspection Log.xlsm</v>
      </c>
      <c r="Q121" s="140" t="str">
        <f t="shared" si="24"/>
        <v>C:\Users\sabi_\OneDrive\Desktop\New folder\Coding logs\_Inspection Log.xlsm</v>
      </c>
      <c r="R121" s="141">
        <f t="array" ref="R121">SUM(IF($J$30:$J$194=IF(J121="","Blank",J121),1,0))</f>
        <v>0</v>
      </c>
      <c r="S121" s="141">
        <f t="shared" si="15"/>
        <v>0</v>
      </c>
      <c r="T121" s="141" t="str">
        <f t="shared" si="16"/>
        <v/>
      </c>
      <c r="U121" s="142">
        <f t="shared" si="17"/>
        <v>0</v>
      </c>
      <c r="V121" s="142">
        <f t="shared" si="18"/>
        <v>0</v>
      </c>
      <c r="W121" s="142">
        <f t="array" ref="W121">SUM(IF(LEN(J119:J283)&lt;=3,0,1))</f>
        <v>0</v>
      </c>
      <c r="X121" s="141" t="str">
        <f t="shared" si="19"/>
        <v>_Inspection Log</v>
      </c>
      <c r="Y121" s="142">
        <f t="shared" si="20"/>
        <v>0</v>
      </c>
      <c r="Z121" s="142" t="str">
        <f t="shared" si="21"/>
        <v/>
      </c>
      <c r="AA121" s="142">
        <f t="shared" si="22"/>
        <v>0</v>
      </c>
      <c r="AB121" s="142"/>
      <c r="AC121" s="142"/>
      <c r="AD121" s="142"/>
      <c r="AE121" s="142"/>
      <c r="AF121" s="142"/>
      <c r="AG121" s="142"/>
      <c r="AH121" s="142"/>
      <c r="AI121" s="142"/>
      <c r="AJ121" s="154"/>
      <c r="AK121" s="118"/>
      <c r="AL121" s="118"/>
      <c r="AM121" s="118"/>
      <c r="AN121" s="118"/>
      <c r="AO121" s="118"/>
      <c r="AP121" s="118"/>
      <c r="AQ121" s="121"/>
      <c r="AR121" s="121"/>
      <c r="AS121" s="121"/>
      <c r="AT121" s="121"/>
      <c r="AU121" s="121"/>
      <c r="AV121" s="121"/>
      <c r="AW121" s="121"/>
      <c r="AX121" s="121"/>
      <c r="AY121" s="121"/>
      <c r="AZ121" s="121"/>
      <c r="BA121" s="121"/>
      <c r="BB121" s="121"/>
      <c r="BC121" s="121"/>
      <c r="BD121" s="121"/>
      <c r="BE121" s="121"/>
      <c r="BF121" s="121"/>
      <c r="BG121" s="121"/>
      <c r="BH121" s="121"/>
    </row>
    <row r="122" spans="1:60" ht="15" customHeight="1">
      <c r="A122" s="118"/>
      <c r="B122" s="165"/>
      <c r="C122" s="166"/>
      <c r="D122" s="167"/>
      <c r="E122" s="167"/>
      <c r="F122" s="167"/>
      <c r="G122" s="167"/>
      <c r="H122" s="168" t="str">
        <f t="shared" si="14"/>
        <v/>
      </c>
      <c r="I122" s="168"/>
      <c r="J122" s="131"/>
      <c r="K122" s="167"/>
      <c r="L122" s="167"/>
      <c r="M122" s="167"/>
      <c r="N122" s="167"/>
      <c r="O122" s="167"/>
      <c r="P122" s="136" t="str">
        <f t="shared" si="23"/>
        <v>_Inspection Log.xlsm</v>
      </c>
      <c r="Q122" s="140" t="str">
        <f t="shared" si="24"/>
        <v>C:\Users\sabi_\OneDrive\Desktop\New folder\Coding logs\_Inspection Log.xlsm</v>
      </c>
      <c r="R122" s="141">
        <f t="array" ref="R122">SUM(IF($J$30:$J$194=IF(J122="","Blank",J122),1,0))</f>
        <v>0</v>
      </c>
      <c r="S122" s="141">
        <f t="shared" si="15"/>
        <v>0</v>
      </c>
      <c r="T122" s="141" t="str">
        <f t="shared" si="16"/>
        <v/>
      </c>
      <c r="U122" s="142">
        <f t="shared" si="17"/>
        <v>0</v>
      </c>
      <c r="V122" s="142">
        <f t="shared" si="18"/>
        <v>0</v>
      </c>
      <c r="W122" s="142">
        <f t="array" ref="W122">SUM(IF(LEN(J120:J284)&lt;=3,0,1))</f>
        <v>0</v>
      </c>
      <c r="X122" s="141" t="str">
        <f t="shared" si="19"/>
        <v>_Inspection Log</v>
      </c>
      <c r="Y122" s="142">
        <f t="shared" si="20"/>
        <v>0</v>
      </c>
      <c r="Z122" s="142" t="str">
        <f t="shared" si="21"/>
        <v/>
      </c>
      <c r="AA122" s="142">
        <f t="shared" si="22"/>
        <v>0</v>
      </c>
      <c r="AB122" s="142"/>
      <c r="AC122" s="142"/>
      <c r="AD122" s="142"/>
      <c r="AE122" s="142"/>
      <c r="AF122" s="142"/>
      <c r="AG122" s="142"/>
      <c r="AH122" s="142"/>
      <c r="AI122" s="142"/>
      <c r="AJ122" s="154"/>
      <c r="AK122" s="118"/>
      <c r="AL122" s="118"/>
      <c r="AM122" s="118"/>
      <c r="AN122" s="118"/>
      <c r="AO122" s="118"/>
      <c r="AP122" s="118"/>
      <c r="AQ122" s="121"/>
      <c r="AR122" s="121"/>
      <c r="AS122" s="121"/>
      <c r="AT122" s="121"/>
      <c r="AU122" s="121"/>
      <c r="AV122" s="121"/>
      <c r="AW122" s="121"/>
      <c r="AX122" s="121"/>
      <c r="AY122" s="121"/>
      <c r="AZ122" s="121"/>
      <c r="BA122" s="121"/>
      <c r="BB122" s="121"/>
      <c r="BC122" s="121"/>
      <c r="BD122" s="121"/>
      <c r="BE122" s="121"/>
      <c r="BF122" s="121"/>
      <c r="BG122" s="121"/>
      <c r="BH122" s="121"/>
    </row>
    <row r="123" spans="1:60" ht="15" customHeight="1">
      <c r="A123" s="118"/>
      <c r="B123" s="165"/>
      <c r="C123" s="166"/>
      <c r="D123" s="167"/>
      <c r="E123" s="167"/>
      <c r="F123" s="167"/>
      <c r="G123" s="167"/>
      <c r="H123" s="168" t="str">
        <f t="shared" si="14"/>
        <v/>
      </c>
      <c r="I123" s="168"/>
      <c r="J123" s="131"/>
      <c r="K123" s="167"/>
      <c r="L123" s="167"/>
      <c r="M123" s="167"/>
      <c r="N123" s="167"/>
      <c r="O123" s="167"/>
      <c r="P123" s="136" t="str">
        <f t="shared" si="23"/>
        <v>_Inspection Log.xlsm</v>
      </c>
      <c r="Q123" s="140" t="str">
        <f t="shared" si="24"/>
        <v>C:\Users\sabi_\OneDrive\Desktop\New folder\Coding logs\_Inspection Log.xlsm</v>
      </c>
      <c r="R123" s="141">
        <f t="array" ref="R123">SUM(IF($J$30:$J$194=IF(J123="","Blank",J123),1,0))</f>
        <v>0</v>
      </c>
      <c r="S123" s="141">
        <f t="shared" si="15"/>
        <v>0</v>
      </c>
      <c r="T123" s="141" t="str">
        <f t="shared" si="16"/>
        <v/>
      </c>
      <c r="U123" s="142">
        <f t="shared" si="17"/>
        <v>0</v>
      </c>
      <c r="V123" s="142">
        <f t="shared" si="18"/>
        <v>0</v>
      </c>
      <c r="W123" s="142">
        <f t="array" ref="W123">SUM(IF(LEN(J121:J285)&lt;=3,0,1))</f>
        <v>0</v>
      </c>
      <c r="X123" s="141" t="str">
        <f t="shared" si="19"/>
        <v>_Inspection Log</v>
      </c>
      <c r="Y123" s="142">
        <f t="shared" si="20"/>
        <v>0</v>
      </c>
      <c r="Z123" s="142" t="str">
        <f t="shared" si="21"/>
        <v/>
      </c>
      <c r="AA123" s="142">
        <f t="shared" si="22"/>
        <v>0</v>
      </c>
      <c r="AB123" s="142"/>
      <c r="AC123" s="142"/>
      <c r="AD123" s="142"/>
      <c r="AE123" s="142"/>
      <c r="AF123" s="142"/>
      <c r="AG123" s="142"/>
      <c r="AH123" s="142"/>
      <c r="AI123" s="142"/>
      <c r="AJ123" s="154"/>
      <c r="AK123" s="118"/>
      <c r="AL123" s="118"/>
      <c r="AM123" s="118"/>
      <c r="AN123" s="118"/>
      <c r="AO123" s="118"/>
      <c r="AP123" s="118"/>
      <c r="AQ123" s="121"/>
      <c r="AR123" s="121"/>
      <c r="AS123" s="121"/>
      <c r="AT123" s="121"/>
      <c r="AU123" s="121"/>
      <c r="AV123" s="121"/>
      <c r="AW123" s="121"/>
      <c r="AX123" s="121"/>
      <c r="AY123" s="121"/>
      <c r="AZ123" s="121"/>
      <c r="BA123" s="121"/>
      <c r="BB123" s="121"/>
      <c r="BC123" s="121"/>
      <c r="BD123" s="121"/>
      <c r="BE123" s="121"/>
      <c r="BF123" s="121"/>
      <c r="BG123" s="121"/>
      <c r="BH123" s="121"/>
    </row>
    <row r="124" spans="1:60" ht="15" customHeight="1">
      <c r="A124" s="118"/>
      <c r="B124" s="165"/>
      <c r="C124" s="166"/>
      <c r="D124" s="167"/>
      <c r="E124" s="167"/>
      <c r="F124" s="167"/>
      <c r="G124" s="167"/>
      <c r="H124" s="168" t="str">
        <f t="shared" ref="H124:H187" si="25">IF(J124="","",J124)</f>
        <v/>
      </c>
      <c r="I124" s="168"/>
      <c r="J124" s="131"/>
      <c r="K124" s="167"/>
      <c r="L124" s="167"/>
      <c r="M124" s="167"/>
      <c r="N124" s="167"/>
      <c r="O124" s="167"/>
      <c r="P124" s="136" t="str">
        <f t="shared" si="23"/>
        <v>_Inspection Log.xlsm</v>
      </c>
      <c r="Q124" s="140" t="str">
        <f t="shared" si="24"/>
        <v>C:\Users\sabi_\OneDrive\Desktop\New folder\Coding logs\_Inspection Log.xlsm</v>
      </c>
      <c r="R124" s="141">
        <f t="array" ref="R124">SUM(IF($J$30:$J$194=IF(J124="","Blank",J124),1,0))</f>
        <v>0</v>
      </c>
      <c r="S124" s="141">
        <f t="shared" si="15"/>
        <v>0</v>
      </c>
      <c r="T124" s="141" t="str">
        <f t="shared" si="16"/>
        <v/>
      </c>
      <c r="U124" s="142">
        <f t="shared" si="17"/>
        <v>0</v>
      </c>
      <c r="V124" s="142">
        <f t="shared" si="18"/>
        <v>0</v>
      </c>
      <c r="W124" s="142">
        <f t="array" ref="W124">SUM(IF(LEN(J122:J286)&lt;=3,0,1))</f>
        <v>0</v>
      </c>
      <c r="X124" s="141" t="str">
        <f t="shared" si="19"/>
        <v>_Inspection Log</v>
      </c>
      <c r="Y124" s="142">
        <f t="shared" si="20"/>
        <v>0</v>
      </c>
      <c r="Z124" s="142" t="str">
        <f t="shared" si="21"/>
        <v/>
      </c>
      <c r="AA124" s="142">
        <f t="shared" si="22"/>
        <v>0</v>
      </c>
      <c r="AB124" s="142"/>
      <c r="AC124" s="142"/>
      <c r="AD124" s="142"/>
      <c r="AE124" s="142"/>
      <c r="AF124" s="142"/>
      <c r="AG124" s="142"/>
      <c r="AH124" s="142"/>
      <c r="AI124" s="142"/>
      <c r="AJ124" s="154"/>
      <c r="AK124" s="118"/>
      <c r="AL124" s="118"/>
      <c r="AM124" s="118"/>
      <c r="AN124" s="118"/>
      <c r="AO124" s="118"/>
      <c r="AP124" s="118"/>
      <c r="AQ124" s="121"/>
      <c r="AR124" s="121"/>
      <c r="AS124" s="121"/>
      <c r="AT124" s="121"/>
      <c r="AU124" s="121"/>
      <c r="AV124" s="121"/>
      <c r="AW124" s="121"/>
      <c r="AX124" s="121"/>
      <c r="AY124" s="121"/>
      <c r="AZ124" s="121"/>
      <c r="BA124" s="121"/>
      <c r="BB124" s="121"/>
      <c r="BC124" s="121"/>
      <c r="BD124" s="121"/>
      <c r="BE124" s="121"/>
      <c r="BF124" s="121"/>
      <c r="BG124" s="121"/>
      <c r="BH124" s="121"/>
    </row>
    <row r="125" spans="1:60" ht="15" customHeight="1">
      <c r="A125" s="118"/>
      <c r="B125" s="165"/>
      <c r="C125" s="166"/>
      <c r="D125" s="167"/>
      <c r="E125" s="167"/>
      <c r="F125" s="167"/>
      <c r="G125" s="167"/>
      <c r="H125" s="168" t="str">
        <f t="shared" si="25"/>
        <v/>
      </c>
      <c r="I125" s="168"/>
      <c r="J125" s="131"/>
      <c r="K125" s="167"/>
      <c r="L125" s="167"/>
      <c r="M125" s="167"/>
      <c r="N125" s="167"/>
      <c r="O125" s="167"/>
      <c r="P125" s="136" t="str">
        <f t="shared" si="23"/>
        <v>_Inspection Log.xlsm</v>
      </c>
      <c r="Q125" s="140" t="str">
        <f t="shared" si="24"/>
        <v>C:\Users\sabi_\OneDrive\Desktop\New folder\Coding logs\_Inspection Log.xlsm</v>
      </c>
      <c r="R125" s="141">
        <f t="array" ref="R125">SUM(IF($J$30:$J$194=IF(J125="","Blank",J125),1,0))</f>
        <v>0</v>
      </c>
      <c r="S125" s="141">
        <f t="shared" si="15"/>
        <v>0</v>
      </c>
      <c r="T125" s="141" t="str">
        <f t="shared" si="16"/>
        <v/>
      </c>
      <c r="U125" s="142">
        <f t="shared" si="17"/>
        <v>0</v>
      </c>
      <c r="V125" s="142">
        <f t="shared" si="18"/>
        <v>0</v>
      </c>
      <c r="W125" s="142">
        <f t="array" ref="W125">SUM(IF(LEN(J123:J287)&lt;=3,0,1))</f>
        <v>0</v>
      </c>
      <c r="X125" s="141" t="str">
        <f t="shared" si="19"/>
        <v>_Inspection Log</v>
      </c>
      <c r="Y125" s="142">
        <f t="shared" si="20"/>
        <v>0</v>
      </c>
      <c r="Z125" s="142" t="str">
        <f t="shared" si="21"/>
        <v/>
      </c>
      <c r="AA125" s="142">
        <f t="shared" si="22"/>
        <v>0</v>
      </c>
      <c r="AB125" s="142"/>
      <c r="AC125" s="142"/>
      <c r="AD125" s="142"/>
      <c r="AE125" s="142"/>
      <c r="AF125" s="142"/>
      <c r="AG125" s="142"/>
      <c r="AH125" s="142"/>
      <c r="AI125" s="142"/>
      <c r="AJ125" s="154"/>
      <c r="AK125" s="118"/>
      <c r="AL125" s="118"/>
      <c r="AM125" s="118"/>
      <c r="AN125" s="118"/>
      <c r="AO125" s="118"/>
      <c r="AP125" s="118"/>
      <c r="AQ125" s="121"/>
      <c r="AR125" s="121"/>
      <c r="AS125" s="121"/>
      <c r="AT125" s="121"/>
      <c r="AU125" s="121"/>
      <c r="AV125" s="121"/>
      <c r="AW125" s="121"/>
      <c r="AX125" s="121"/>
      <c r="AY125" s="121"/>
      <c r="AZ125" s="121"/>
      <c r="BA125" s="121"/>
      <c r="BB125" s="121"/>
      <c r="BC125" s="121"/>
      <c r="BD125" s="121"/>
      <c r="BE125" s="121"/>
      <c r="BF125" s="121"/>
      <c r="BG125" s="121"/>
      <c r="BH125" s="121"/>
    </row>
    <row r="126" spans="1:60" ht="15" customHeight="1">
      <c r="A126" s="118"/>
      <c r="B126" s="165"/>
      <c r="C126" s="166"/>
      <c r="D126" s="167"/>
      <c r="E126" s="167"/>
      <c r="F126" s="167"/>
      <c r="G126" s="167"/>
      <c r="H126" s="168" t="str">
        <f t="shared" si="25"/>
        <v/>
      </c>
      <c r="I126" s="168"/>
      <c r="J126" s="131"/>
      <c r="K126" s="167"/>
      <c r="L126" s="167"/>
      <c r="M126" s="167"/>
      <c r="N126" s="167"/>
      <c r="O126" s="167"/>
      <c r="P126" s="136" t="str">
        <f t="shared" si="23"/>
        <v>_Inspection Log.xlsm</v>
      </c>
      <c r="Q126" s="140" t="str">
        <f t="shared" si="24"/>
        <v>C:\Users\sabi_\OneDrive\Desktop\New folder\Coding logs\_Inspection Log.xlsm</v>
      </c>
      <c r="R126" s="141">
        <f t="array" ref="R126">SUM(IF($J$30:$J$194=IF(J126="","Blank",J126),1,0))</f>
        <v>0</v>
      </c>
      <c r="S126" s="141">
        <f t="shared" si="15"/>
        <v>0</v>
      </c>
      <c r="T126" s="141" t="str">
        <f t="shared" si="16"/>
        <v/>
      </c>
      <c r="U126" s="142">
        <f t="shared" si="17"/>
        <v>0</v>
      </c>
      <c r="V126" s="142">
        <f t="shared" si="18"/>
        <v>0</v>
      </c>
      <c r="W126" s="142">
        <f t="array" ref="W126">SUM(IF(LEN(J124:J288)&lt;=3,0,1))</f>
        <v>0</v>
      </c>
      <c r="X126" s="141" t="str">
        <f t="shared" si="19"/>
        <v>_Inspection Log</v>
      </c>
      <c r="Y126" s="142">
        <f t="shared" si="20"/>
        <v>0</v>
      </c>
      <c r="Z126" s="142" t="str">
        <f t="shared" si="21"/>
        <v/>
      </c>
      <c r="AA126" s="142">
        <f t="shared" si="22"/>
        <v>0</v>
      </c>
      <c r="AB126" s="142"/>
      <c r="AC126" s="142"/>
      <c r="AD126" s="142"/>
      <c r="AE126" s="142"/>
      <c r="AF126" s="142"/>
      <c r="AG126" s="142"/>
      <c r="AH126" s="142"/>
      <c r="AI126" s="142"/>
      <c r="AJ126" s="154"/>
      <c r="AK126" s="118"/>
      <c r="AL126" s="118"/>
      <c r="AM126" s="118"/>
      <c r="AN126" s="118"/>
      <c r="AO126" s="118"/>
      <c r="AP126" s="118"/>
      <c r="AQ126" s="121"/>
      <c r="AR126" s="121"/>
      <c r="AS126" s="121"/>
      <c r="AT126" s="121"/>
      <c r="AU126" s="121"/>
      <c r="AV126" s="121"/>
      <c r="AW126" s="121"/>
      <c r="AX126" s="121"/>
      <c r="AY126" s="121"/>
      <c r="AZ126" s="121"/>
      <c r="BA126" s="121"/>
      <c r="BB126" s="121"/>
      <c r="BC126" s="121"/>
      <c r="BD126" s="121"/>
      <c r="BE126" s="121"/>
      <c r="BF126" s="121"/>
      <c r="BG126" s="121"/>
      <c r="BH126" s="121"/>
    </row>
    <row r="127" spans="1:60" ht="15" customHeight="1">
      <c r="A127" s="118"/>
      <c r="B127" s="165"/>
      <c r="C127" s="166"/>
      <c r="D127" s="167"/>
      <c r="E127" s="167"/>
      <c r="F127" s="167"/>
      <c r="G127" s="167"/>
      <c r="H127" s="168" t="str">
        <f t="shared" si="25"/>
        <v/>
      </c>
      <c r="I127" s="168"/>
      <c r="J127" s="131"/>
      <c r="K127" s="167"/>
      <c r="L127" s="167"/>
      <c r="M127" s="167"/>
      <c r="N127" s="167"/>
      <c r="O127" s="167"/>
      <c r="P127" s="136" t="str">
        <f t="shared" si="23"/>
        <v>_Inspection Log.xlsm</v>
      </c>
      <c r="Q127" s="140" t="str">
        <f t="shared" si="24"/>
        <v>C:\Users\sabi_\OneDrive\Desktop\New folder\Coding logs\_Inspection Log.xlsm</v>
      </c>
      <c r="R127" s="141">
        <f t="array" ref="R127">SUM(IF($J$30:$J$194=IF(J127="","Blank",J127),1,0))</f>
        <v>0</v>
      </c>
      <c r="S127" s="141">
        <f t="shared" si="15"/>
        <v>0</v>
      </c>
      <c r="T127" s="141" t="str">
        <f t="shared" si="16"/>
        <v/>
      </c>
      <c r="U127" s="142">
        <f t="shared" si="17"/>
        <v>0</v>
      </c>
      <c r="V127" s="142">
        <f t="shared" si="18"/>
        <v>0</v>
      </c>
      <c r="W127" s="142">
        <f t="array" ref="W127">SUM(IF(LEN(J125:J289)&lt;=3,0,1))</f>
        <v>0</v>
      </c>
      <c r="X127" s="141" t="str">
        <f t="shared" si="19"/>
        <v>_Inspection Log</v>
      </c>
      <c r="Y127" s="142">
        <f t="shared" si="20"/>
        <v>0</v>
      </c>
      <c r="Z127" s="142" t="str">
        <f t="shared" si="21"/>
        <v/>
      </c>
      <c r="AA127" s="142">
        <f t="shared" si="22"/>
        <v>0</v>
      </c>
      <c r="AB127" s="142"/>
      <c r="AC127" s="142"/>
      <c r="AD127" s="142"/>
      <c r="AE127" s="142"/>
      <c r="AF127" s="142"/>
      <c r="AG127" s="142"/>
      <c r="AH127" s="142"/>
      <c r="AI127" s="142"/>
      <c r="AJ127" s="154"/>
      <c r="AK127" s="118"/>
      <c r="AL127" s="118"/>
      <c r="AM127" s="118"/>
      <c r="AN127" s="118"/>
      <c r="AO127" s="118"/>
      <c r="AP127" s="118"/>
      <c r="AQ127" s="121"/>
      <c r="AR127" s="121"/>
      <c r="AS127" s="121"/>
      <c r="AT127" s="121"/>
      <c r="AU127" s="121"/>
      <c r="AV127" s="121"/>
      <c r="AW127" s="121"/>
      <c r="AX127" s="121"/>
      <c r="AY127" s="121"/>
      <c r="AZ127" s="121"/>
      <c r="BA127" s="121"/>
      <c r="BB127" s="121"/>
      <c r="BC127" s="121"/>
      <c r="BD127" s="121"/>
      <c r="BE127" s="121"/>
      <c r="BF127" s="121"/>
      <c r="BG127" s="121"/>
      <c r="BH127" s="121"/>
    </row>
    <row r="128" spans="1:60" ht="15" customHeight="1">
      <c r="A128" s="118"/>
      <c r="B128" s="165"/>
      <c r="C128" s="166"/>
      <c r="D128" s="167"/>
      <c r="E128" s="167"/>
      <c r="F128" s="167"/>
      <c r="G128" s="167"/>
      <c r="H128" s="168" t="str">
        <f t="shared" si="25"/>
        <v/>
      </c>
      <c r="I128" s="168"/>
      <c r="J128" s="131"/>
      <c r="K128" s="167"/>
      <c r="L128" s="167"/>
      <c r="M128" s="167"/>
      <c r="N128" s="167"/>
      <c r="O128" s="167"/>
      <c r="P128" s="136" t="str">
        <f t="shared" si="23"/>
        <v>_Inspection Log.xlsm</v>
      </c>
      <c r="Q128" s="140" t="str">
        <f t="shared" si="24"/>
        <v>C:\Users\sabi_\OneDrive\Desktop\New folder\Coding logs\_Inspection Log.xlsm</v>
      </c>
      <c r="R128" s="141">
        <f t="array" ref="R128">SUM(IF($J$30:$J$194=IF(J128="","Blank",J128),1,0))</f>
        <v>0</v>
      </c>
      <c r="S128" s="141">
        <f t="shared" si="15"/>
        <v>0</v>
      </c>
      <c r="T128" s="141" t="str">
        <f t="shared" si="16"/>
        <v/>
      </c>
      <c r="U128" s="142">
        <f t="shared" si="17"/>
        <v>0</v>
      </c>
      <c r="V128" s="142">
        <f t="shared" si="18"/>
        <v>0</v>
      </c>
      <c r="W128" s="142">
        <f t="array" ref="W128">SUM(IF(LEN(J126:J290)&lt;=3,0,1))</f>
        <v>0</v>
      </c>
      <c r="X128" s="141" t="str">
        <f t="shared" si="19"/>
        <v>_Inspection Log</v>
      </c>
      <c r="Y128" s="142">
        <f t="shared" si="20"/>
        <v>0</v>
      </c>
      <c r="Z128" s="142" t="str">
        <f t="shared" si="21"/>
        <v/>
      </c>
      <c r="AA128" s="142">
        <f t="shared" si="22"/>
        <v>0</v>
      </c>
      <c r="AB128" s="142"/>
      <c r="AC128" s="142"/>
      <c r="AD128" s="142"/>
      <c r="AE128" s="142"/>
      <c r="AF128" s="142"/>
      <c r="AG128" s="142"/>
      <c r="AH128" s="142"/>
      <c r="AI128" s="142"/>
      <c r="AJ128" s="154"/>
      <c r="AK128" s="118"/>
      <c r="AL128" s="118"/>
      <c r="AM128" s="118"/>
      <c r="AN128" s="118"/>
      <c r="AO128" s="118"/>
      <c r="AP128" s="118"/>
      <c r="AQ128" s="121"/>
      <c r="AR128" s="121"/>
      <c r="AS128" s="121"/>
      <c r="AT128" s="121"/>
      <c r="AU128" s="121"/>
      <c r="AV128" s="121"/>
      <c r="AW128" s="121"/>
      <c r="AX128" s="121"/>
      <c r="AY128" s="121"/>
      <c r="AZ128" s="121"/>
      <c r="BA128" s="121"/>
      <c r="BB128" s="121"/>
      <c r="BC128" s="121"/>
      <c r="BD128" s="121"/>
      <c r="BE128" s="121"/>
      <c r="BF128" s="121"/>
      <c r="BG128" s="121"/>
      <c r="BH128" s="121"/>
    </row>
    <row r="129" spans="1:60" ht="15" customHeight="1">
      <c r="A129" s="118"/>
      <c r="B129" s="165"/>
      <c r="C129" s="166"/>
      <c r="D129" s="167"/>
      <c r="E129" s="167"/>
      <c r="F129" s="167"/>
      <c r="G129" s="167"/>
      <c r="H129" s="168" t="str">
        <f t="shared" si="25"/>
        <v/>
      </c>
      <c r="I129" s="168"/>
      <c r="J129" s="131"/>
      <c r="K129" s="167"/>
      <c r="L129" s="167"/>
      <c r="M129" s="167"/>
      <c r="N129" s="167"/>
      <c r="O129" s="167"/>
      <c r="P129" s="136" t="str">
        <f t="shared" si="23"/>
        <v>_Inspection Log.xlsm</v>
      </c>
      <c r="Q129" s="140" t="str">
        <f t="shared" si="24"/>
        <v>C:\Users\sabi_\OneDrive\Desktop\New folder\Coding logs\_Inspection Log.xlsm</v>
      </c>
      <c r="R129" s="141">
        <f t="array" ref="R129">SUM(IF($J$30:$J$194=IF(J129="","Blank",J129),1,0))</f>
        <v>0</v>
      </c>
      <c r="S129" s="141">
        <f t="shared" si="15"/>
        <v>0</v>
      </c>
      <c r="T129" s="141" t="str">
        <f t="shared" si="16"/>
        <v/>
      </c>
      <c r="U129" s="142">
        <f t="shared" si="17"/>
        <v>0</v>
      </c>
      <c r="V129" s="142">
        <f t="shared" si="18"/>
        <v>0</v>
      </c>
      <c r="W129" s="142">
        <f t="array" ref="W129">SUM(IF(LEN(J127:J291)&lt;=3,0,1))</f>
        <v>0</v>
      </c>
      <c r="X129" s="141" t="str">
        <f t="shared" si="19"/>
        <v>_Inspection Log</v>
      </c>
      <c r="Y129" s="142">
        <f t="shared" si="20"/>
        <v>0</v>
      </c>
      <c r="Z129" s="142" t="str">
        <f t="shared" si="21"/>
        <v/>
      </c>
      <c r="AA129" s="142">
        <f t="shared" si="22"/>
        <v>0</v>
      </c>
      <c r="AB129" s="142"/>
      <c r="AC129" s="142"/>
      <c r="AD129" s="142"/>
      <c r="AE129" s="142"/>
      <c r="AF129" s="142"/>
      <c r="AG129" s="142"/>
      <c r="AH129" s="142"/>
      <c r="AI129" s="142"/>
      <c r="AJ129" s="154"/>
      <c r="AK129" s="118"/>
      <c r="AL129" s="118"/>
      <c r="AM129" s="118"/>
      <c r="AN129" s="118"/>
      <c r="AO129" s="118"/>
      <c r="AP129" s="118"/>
      <c r="AQ129" s="121"/>
      <c r="AR129" s="121"/>
      <c r="AS129" s="121"/>
      <c r="AT129" s="121"/>
      <c r="AU129" s="121"/>
      <c r="AV129" s="121"/>
      <c r="AW129" s="121"/>
      <c r="AX129" s="121"/>
      <c r="AY129" s="121"/>
      <c r="AZ129" s="121"/>
      <c r="BA129" s="121"/>
      <c r="BB129" s="121"/>
      <c r="BC129" s="121"/>
      <c r="BD129" s="121"/>
      <c r="BE129" s="121"/>
      <c r="BF129" s="121"/>
      <c r="BG129" s="121"/>
      <c r="BH129" s="121"/>
    </row>
    <row r="130" spans="1:60" ht="15" customHeight="1">
      <c r="A130" s="118"/>
      <c r="B130" s="165"/>
      <c r="C130" s="166"/>
      <c r="D130" s="167"/>
      <c r="E130" s="167"/>
      <c r="F130" s="167"/>
      <c r="G130" s="167"/>
      <c r="H130" s="168" t="str">
        <f t="shared" si="25"/>
        <v/>
      </c>
      <c r="I130" s="168"/>
      <c r="J130" s="131"/>
      <c r="K130" s="167"/>
      <c r="L130" s="167"/>
      <c r="M130" s="167"/>
      <c r="N130" s="167"/>
      <c r="O130" s="167"/>
      <c r="P130" s="136" t="str">
        <f t="shared" si="23"/>
        <v>_Inspection Log.xlsm</v>
      </c>
      <c r="Q130" s="140" t="str">
        <f t="shared" si="24"/>
        <v>C:\Users\sabi_\OneDrive\Desktop\New folder\Coding logs\_Inspection Log.xlsm</v>
      </c>
      <c r="R130" s="141">
        <f t="array" ref="R130">SUM(IF($J$30:$J$194=IF(J130="","Blank",J130),1,0))</f>
        <v>0</v>
      </c>
      <c r="S130" s="141">
        <f t="shared" si="15"/>
        <v>0</v>
      </c>
      <c r="T130" s="141" t="str">
        <f t="shared" si="16"/>
        <v/>
      </c>
      <c r="U130" s="142">
        <f t="shared" si="17"/>
        <v>0</v>
      </c>
      <c r="V130" s="142">
        <f t="shared" si="18"/>
        <v>0</v>
      </c>
      <c r="W130" s="142">
        <f t="array" ref="W130">SUM(IF(LEN(J128:J292)&lt;=3,0,1))</f>
        <v>0</v>
      </c>
      <c r="X130" s="141" t="str">
        <f t="shared" si="19"/>
        <v>_Inspection Log</v>
      </c>
      <c r="Y130" s="142">
        <f t="shared" si="20"/>
        <v>0</v>
      </c>
      <c r="Z130" s="142" t="str">
        <f t="shared" si="21"/>
        <v/>
      </c>
      <c r="AA130" s="142">
        <f t="shared" si="22"/>
        <v>0</v>
      </c>
      <c r="AB130" s="142"/>
      <c r="AC130" s="142"/>
      <c r="AD130" s="142"/>
      <c r="AE130" s="142"/>
      <c r="AF130" s="142"/>
      <c r="AG130" s="142"/>
      <c r="AH130" s="142"/>
      <c r="AI130" s="142"/>
      <c r="AJ130" s="154"/>
      <c r="AK130" s="118"/>
      <c r="AL130" s="118"/>
      <c r="AM130" s="118"/>
      <c r="AN130" s="118"/>
      <c r="AO130" s="118"/>
      <c r="AP130" s="118"/>
      <c r="AQ130" s="121"/>
      <c r="AR130" s="121"/>
      <c r="AS130" s="121"/>
      <c r="AT130" s="121"/>
      <c r="AU130" s="121"/>
      <c r="AV130" s="121"/>
      <c r="AW130" s="121"/>
      <c r="AX130" s="121"/>
      <c r="AY130" s="121"/>
      <c r="AZ130" s="121"/>
      <c r="BA130" s="121"/>
      <c r="BB130" s="121"/>
      <c r="BC130" s="121"/>
      <c r="BD130" s="121"/>
      <c r="BE130" s="121"/>
      <c r="BF130" s="121"/>
      <c r="BG130" s="121"/>
      <c r="BH130" s="121"/>
    </row>
    <row r="131" spans="1:60" ht="15" customHeight="1">
      <c r="A131" s="118"/>
      <c r="B131" s="165"/>
      <c r="C131" s="166"/>
      <c r="D131" s="167"/>
      <c r="E131" s="167"/>
      <c r="F131" s="167"/>
      <c r="G131" s="167"/>
      <c r="H131" s="168" t="str">
        <f t="shared" si="25"/>
        <v/>
      </c>
      <c r="I131" s="168"/>
      <c r="J131" s="131"/>
      <c r="K131" s="167"/>
      <c r="L131" s="167"/>
      <c r="M131" s="167"/>
      <c r="N131" s="167"/>
      <c r="O131" s="167"/>
      <c r="P131" s="136" t="str">
        <f t="shared" si="23"/>
        <v>_Inspection Log.xlsm</v>
      </c>
      <c r="Q131" s="140" t="str">
        <f t="shared" si="24"/>
        <v>C:\Users\sabi_\OneDrive\Desktop\New folder\Coding logs\_Inspection Log.xlsm</v>
      </c>
      <c r="R131" s="141">
        <f t="array" ref="R131">SUM(IF($J$30:$J$194=IF(J131="","Blank",J131),1,0))</f>
        <v>0</v>
      </c>
      <c r="S131" s="141">
        <f t="shared" si="15"/>
        <v>0</v>
      </c>
      <c r="T131" s="141" t="str">
        <f t="shared" si="16"/>
        <v/>
      </c>
      <c r="U131" s="142">
        <f t="shared" si="17"/>
        <v>0</v>
      </c>
      <c r="V131" s="142">
        <f t="shared" si="18"/>
        <v>0</v>
      </c>
      <c r="W131" s="142">
        <f t="array" ref="W131">SUM(IF(LEN(J129:J293)&lt;=3,0,1))</f>
        <v>0</v>
      </c>
      <c r="X131" s="141" t="str">
        <f t="shared" si="19"/>
        <v>_Inspection Log</v>
      </c>
      <c r="Y131" s="142">
        <f t="shared" si="20"/>
        <v>0</v>
      </c>
      <c r="Z131" s="142" t="str">
        <f t="shared" si="21"/>
        <v/>
      </c>
      <c r="AA131" s="142">
        <f t="shared" si="22"/>
        <v>0</v>
      </c>
      <c r="AB131" s="142"/>
      <c r="AC131" s="142"/>
      <c r="AD131" s="142"/>
      <c r="AE131" s="142"/>
      <c r="AF131" s="142"/>
      <c r="AG131" s="142"/>
      <c r="AH131" s="142"/>
      <c r="AI131" s="142"/>
      <c r="AJ131" s="154"/>
      <c r="AK131" s="118"/>
      <c r="AL131" s="118"/>
      <c r="AM131" s="118"/>
      <c r="AN131" s="118"/>
      <c r="AO131" s="118"/>
      <c r="AP131" s="118"/>
      <c r="AQ131" s="121"/>
      <c r="AR131" s="121"/>
      <c r="AS131" s="121"/>
      <c r="AT131" s="121"/>
      <c r="AU131" s="121"/>
      <c r="AV131" s="121"/>
      <c r="AW131" s="121"/>
      <c r="AX131" s="121"/>
      <c r="AY131" s="121"/>
      <c r="AZ131" s="121"/>
      <c r="BA131" s="121"/>
      <c r="BB131" s="121"/>
      <c r="BC131" s="121"/>
      <c r="BD131" s="121"/>
      <c r="BE131" s="121"/>
      <c r="BF131" s="121"/>
      <c r="BG131" s="121"/>
      <c r="BH131" s="121"/>
    </row>
    <row r="132" spans="1:60" ht="15" customHeight="1">
      <c r="A132" s="118"/>
      <c r="B132" s="165"/>
      <c r="C132" s="166"/>
      <c r="D132" s="167"/>
      <c r="E132" s="167"/>
      <c r="F132" s="167"/>
      <c r="G132" s="167"/>
      <c r="H132" s="168" t="str">
        <f t="shared" si="25"/>
        <v/>
      </c>
      <c r="I132" s="168"/>
      <c r="J132" s="131"/>
      <c r="K132" s="167"/>
      <c r="L132" s="167"/>
      <c r="M132" s="167"/>
      <c r="N132" s="167"/>
      <c r="O132" s="167"/>
      <c r="P132" s="136" t="str">
        <f t="shared" si="23"/>
        <v>_Inspection Log.xlsm</v>
      </c>
      <c r="Q132" s="140" t="str">
        <f t="shared" si="24"/>
        <v>C:\Users\sabi_\OneDrive\Desktop\New folder\Coding logs\_Inspection Log.xlsm</v>
      </c>
      <c r="R132" s="141">
        <f t="array" ref="R132">SUM(IF($J$30:$J$194=IF(J132="","Blank",J132),1,0))</f>
        <v>0</v>
      </c>
      <c r="S132" s="141">
        <f t="shared" si="15"/>
        <v>0</v>
      </c>
      <c r="T132" s="141" t="str">
        <f t="shared" si="16"/>
        <v/>
      </c>
      <c r="U132" s="142">
        <f t="shared" si="17"/>
        <v>0</v>
      </c>
      <c r="V132" s="142">
        <f t="shared" si="18"/>
        <v>0</v>
      </c>
      <c r="W132" s="142">
        <f t="array" ref="W132">SUM(IF(LEN(J130:J294)&lt;=3,0,1))</f>
        <v>0</v>
      </c>
      <c r="X132" s="141" t="str">
        <f t="shared" si="19"/>
        <v>_Inspection Log</v>
      </c>
      <c r="Y132" s="142">
        <f t="shared" si="20"/>
        <v>0</v>
      </c>
      <c r="Z132" s="142" t="str">
        <f t="shared" si="21"/>
        <v/>
      </c>
      <c r="AA132" s="142">
        <f t="shared" si="22"/>
        <v>0</v>
      </c>
      <c r="AB132" s="142"/>
      <c r="AC132" s="142"/>
      <c r="AD132" s="142"/>
      <c r="AE132" s="142"/>
      <c r="AF132" s="142"/>
      <c r="AG132" s="142"/>
      <c r="AH132" s="142"/>
      <c r="AI132" s="142"/>
      <c r="AJ132" s="154"/>
      <c r="AK132" s="118"/>
      <c r="AL132" s="118"/>
      <c r="AM132" s="118"/>
      <c r="AN132" s="118"/>
      <c r="AO132" s="118"/>
      <c r="AP132" s="118"/>
      <c r="AQ132" s="121"/>
      <c r="AR132" s="121"/>
      <c r="AS132" s="121"/>
      <c r="AT132" s="121"/>
      <c r="AU132" s="121"/>
      <c r="AV132" s="121"/>
      <c r="AW132" s="121"/>
      <c r="AX132" s="121"/>
      <c r="AY132" s="121"/>
      <c r="AZ132" s="121"/>
      <c r="BA132" s="121"/>
      <c r="BB132" s="121"/>
      <c r="BC132" s="121"/>
      <c r="BD132" s="121"/>
      <c r="BE132" s="121"/>
      <c r="BF132" s="121"/>
      <c r="BG132" s="121"/>
      <c r="BH132" s="121"/>
    </row>
    <row r="133" spans="1:60" ht="15" customHeight="1">
      <c r="A133" s="118"/>
      <c r="B133" s="165"/>
      <c r="C133" s="166"/>
      <c r="D133" s="167"/>
      <c r="E133" s="167"/>
      <c r="F133" s="167"/>
      <c r="G133" s="167"/>
      <c r="H133" s="168" t="str">
        <f t="shared" si="25"/>
        <v/>
      </c>
      <c r="I133" s="168"/>
      <c r="J133" s="131"/>
      <c r="K133" s="167"/>
      <c r="L133" s="167"/>
      <c r="M133" s="167"/>
      <c r="N133" s="167"/>
      <c r="O133" s="167"/>
      <c r="P133" s="136" t="str">
        <f t="shared" si="23"/>
        <v>_Inspection Log.xlsm</v>
      </c>
      <c r="Q133" s="140" t="str">
        <f t="shared" si="24"/>
        <v>C:\Users\sabi_\OneDrive\Desktop\New folder\Coding logs\_Inspection Log.xlsm</v>
      </c>
      <c r="R133" s="141">
        <f t="array" ref="R133">SUM(IF($J$30:$J$194=IF(J133="","Blank",J133),1,0))</f>
        <v>0</v>
      </c>
      <c r="S133" s="141">
        <f t="shared" si="15"/>
        <v>0</v>
      </c>
      <c r="T133" s="141" t="str">
        <f t="shared" si="16"/>
        <v/>
      </c>
      <c r="U133" s="142">
        <f t="shared" si="17"/>
        <v>0</v>
      </c>
      <c r="V133" s="142">
        <f t="shared" si="18"/>
        <v>0</v>
      </c>
      <c r="W133" s="142">
        <f t="array" ref="W133">SUM(IF(LEN(J131:J295)&lt;=3,0,1))</f>
        <v>0</v>
      </c>
      <c r="X133" s="141" t="str">
        <f t="shared" si="19"/>
        <v>_Inspection Log</v>
      </c>
      <c r="Y133" s="142">
        <f t="shared" si="20"/>
        <v>0</v>
      </c>
      <c r="Z133" s="142" t="str">
        <f t="shared" si="21"/>
        <v/>
      </c>
      <c r="AA133" s="142">
        <f t="shared" si="22"/>
        <v>0</v>
      </c>
      <c r="AB133" s="142"/>
      <c r="AC133" s="142"/>
      <c r="AD133" s="142"/>
      <c r="AE133" s="142"/>
      <c r="AF133" s="142"/>
      <c r="AG133" s="142"/>
      <c r="AH133" s="142"/>
      <c r="AI133" s="142"/>
      <c r="AJ133" s="154"/>
      <c r="AK133" s="118"/>
      <c r="AL133" s="118"/>
      <c r="AM133" s="118"/>
      <c r="AN133" s="118"/>
      <c r="AO133" s="118"/>
      <c r="AP133" s="118"/>
      <c r="AQ133" s="121"/>
      <c r="AR133" s="121"/>
      <c r="AS133" s="121"/>
      <c r="AT133" s="121"/>
      <c r="AU133" s="121"/>
      <c r="AV133" s="121"/>
      <c r="AW133" s="121"/>
      <c r="AX133" s="121"/>
      <c r="AY133" s="121"/>
      <c r="AZ133" s="121"/>
      <c r="BA133" s="121"/>
      <c r="BB133" s="121"/>
      <c r="BC133" s="121"/>
      <c r="BD133" s="121"/>
      <c r="BE133" s="121"/>
      <c r="BF133" s="121"/>
      <c r="BG133" s="121"/>
      <c r="BH133" s="121"/>
    </row>
    <row r="134" spans="1:60" ht="15" customHeight="1">
      <c r="A134" s="118"/>
      <c r="B134" s="165"/>
      <c r="C134" s="166"/>
      <c r="D134" s="167"/>
      <c r="E134" s="167"/>
      <c r="F134" s="167"/>
      <c r="G134" s="167"/>
      <c r="H134" s="168" t="str">
        <f t="shared" si="25"/>
        <v/>
      </c>
      <c r="I134" s="168"/>
      <c r="J134" s="131"/>
      <c r="K134" s="167"/>
      <c r="L134" s="167"/>
      <c r="M134" s="167"/>
      <c r="N134" s="167"/>
      <c r="O134" s="167"/>
      <c r="P134" s="136" t="str">
        <f t="shared" si="23"/>
        <v>_Inspection Log.xlsm</v>
      </c>
      <c r="Q134" s="140" t="str">
        <f t="shared" si="24"/>
        <v>C:\Users\sabi_\OneDrive\Desktop\New folder\Coding logs\_Inspection Log.xlsm</v>
      </c>
      <c r="R134" s="141">
        <f t="array" ref="R134">SUM(IF($J$30:$J$194=IF(J134="","Blank",J134),1,0))</f>
        <v>0</v>
      </c>
      <c r="S134" s="141">
        <f t="shared" si="15"/>
        <v>0</v>
      </c>
      <c r="T134" s="141" t="str">
        <f t="shared" si="16"/>
        <v/>
      </c>
      <c r="U134" s="142">
        <f t="shared" si="17"/>
        <v>0</v>
      </c>
      <c r="V134" s="142">
        <f t="shared" si="18"/>
        <v>0</v>
      </c>
      <c r="W134" s="142">
        <f t="array" ref="W134">SUM(IF(LEN(J132:J296)&lt;=3,0,1))</f>
        <v>0</v>
      </c>
      <c r="X134" s="141" t="str">
        <f t="shared" si="19"/>
        <v>_Inspection Log</v>
      </c>
      <c r="Y134" s="142">
        <f t="shared" si="20"/>
        <v>0</v>
      </c>
      <c r="Z134" s="142" t="str">
        <f t="shared" si="21"/>
        <v/>
      </c>
      <c r="AA134" s="142">
        <f t="shared" si="22"/>
        <v>0</v>
      </c>
      <c r="AB134" s="142"/>
      <c r="AC134" s="142"/>
      <c r="AD134" s="142"/>
      <c r="AE134" s="142"/>
      <c r="AF134" s="142"/>
      <c r="AG134" s="142"/>
      <c r="AH134" s="142"/>
      <c r="AI134" s="142"/>
      <c r="AJ134" s="154"/>
      <c r="AK134" s="118"/>
      <c r="AL134" s="118"/>
      <c r="AM134" s="118"/>
      <c r="AN134" s="118"/>
      <c r="AO134" s="118"/>
      <c r="AP134" s="118"/>
      <c r="AQ134" s="121"/>
      <c r="AR134" s="121"/>
      <c r="AS134" s="121"/>
      <c r="AT134" s="121"/>
      <c r="AU134" s="121"/>
      <c r="AV134" s="121"/>
      <c r="AW134" s="121"/>
      <c r="AX134" s="121"/>
      <c r="AY134" s="121"/>
      <c r="AZ134" s="121"/>
      <c r="BA134" s="121"/>
      <c r="BB134" s="121"/>
      <c r="BC134" s="121"/>
      <c r="BD134" s="121"/>
      <c r="BE134" s="121"/>
      <c r="BF134" s="121"/>
      <c r="BG134" s="121"/>
      <c r="BH134" s="121"/>
    </row>
    <row r="135" spans="1:60" ht="15" customHeight="1">
      <c r="A135" s="118"/>
      <c r="B135" s="165"/>
      <c r="C135" s="166"/>
      <c r="D135" s="167"/>
      <c r="E135" s="167"/>
      <c r="F135" s="167"/>
      <c r="G135" s="167"/>
      <c r="H135" s="168" t="str">
        <f t="shared" si="25"/>
        <v/>
      </c>
      <c r="I135" s="168"/>
      <c r="J135" s="131"/>
      <c r="K135" s="167"/>
      <c r="L135" s="167"/>
      <c r="M135" s="167"/>
      <c r="N135" s="167"/>
      <c r="O135" s="167"/>
      <c r="P135" s="136" t="str">
        <f t="shared" si="23"/>
        <v>_Inspection Log.xlsm</v>
      </c>
      <c r="Q135" s="140" t="str">
        <f t="shared" si="24"/>
        <v>C:\Users\sabi_\OneDrive\Desktop\New folder\Coding logs\_Inspection Log.xlsm</v>
      </c>
      <c r="R135" s="141">
        <f t="array" ref="R135">SUM(IF($J$30:$J$194=IF(J135="","Blank",J135),1,0))</f>
        <v>0</v>
      </c>
      <c r="S135" s="141">
        <f t="shared" si="15"/>
        <v>0</v>
      </c>
      <c r="T135" s="141" t="str">
        <f t="shared" si="16"/>
        <v/>
      </c>
      <c r="U135" s="142">
        <f t="shared" si="17"/>
        <v>0</v>
      </c>
      <c r="V135" s="142">
        <f t="shared" si="18"/>
        <v>0</v>
      </c>
      <c r="W135" s="142">
        <f t="array" ref="W135">SUM(IF(LEN(J133:J297)&lt;=3,0,1))</f>
        <v>0</v>
      </c>
      <c r="X135" s="141" t="str">
        <f t="shared" si="19"/>
        <v>_Inspection Log</v>
      </c>
      <c r="Y135" s="142">
        <f t="shared" si="20"/>
        <v>0</v>
      </c>
      <c r="Z135" s="142" t="str">
        <f t="shared" si="21"/>
        <v/>
      </c>
      <c r="AA135" s="142">
        <f t="shared" si="22"/>
        <v>0</v>
      </c>
      <c r="AB135" s="142"/>
      <c r="AC135" s="142"/>
      <c r="AD135" s="142"/>
      <c r="AE135" s="142"/>
      <c r="AF135" s="142"/>
      <c r="AG135" s="142"/>
      <c r="AH135" s="142"/>
      <c r="AI135" s="142"/>
      <c r="AJ135" s="154"/>
      <c r="AK135" s="118"/>
      <c r="AL135" s="118"/>
      <c r="AM135" s="118"/>
      <c r="AN135" s="118"/>
      <c r="AO135" s="118"/>
      <c r="AP135" s="118"/>
      <c r="AQ135" s="121"/>
      <c r="AR135" s="121"/>
      <c r="AS135" s="121"/>
      <c r="AT135" s="121"/>
      <c r="AU135" s="121"/>
      <c r="AV135" s="121"/>
      <c r="AW135" s="121"/>
      <c r="AX135" s="121"/>
      <c r="AY135" s="121"/>
      <c r="AZ135" s="121"/>
      <c r="BA135" s="121"/>
      <c r="BB135" s="121"/>
      <c r="BC135" s="121"/>
      <c r="BD135" s="121"/>
      <c r="BE135" s="121"/>
      <c r="BF135" s="121"/>
      <c r="BG135" s="121"/>
      <c r="BH135" s="121"/>
    </row>
    <row r="136" spans="1:60" ht="15" customHeight="1">
      <c r="A136" s="118"/>
      <c r="B136" s="165"/>
      <c r="C136" s="166"/>
      <c r="D136" s="167"/>
      <c r="E136" s="167"/>
      <c r="F136" s="167"/>
      <c r="G136" s="167"/>
      <c r="H136" s="168" t="str">
        <f t="shared" si="25"/>
        <v/>
      </c>
      <c r="I136" s="168"/>
      <c r="J136" s="131"/>
      <c r="K136" s="167"/>
      <c r="L136" s="167"/>
      <c r="M136" s="167"/>
      <c r="N136" s="167"/>
      <c r="O136" s="167"/>
      <c r="P136" s="136" t="str">
        <f t="shared" si="23"/>
        <v>_Inspection Log.xlsm</v>
      </c>
      <c r="Q136" s="140" t="str">
        <f t="shared" si="24"/>
        <v>C:\Users\sabi_\OneDrive\Desktop\New folder\Coding logs\_Inspection Log.xlsm</v>
      </c>
      <c r="R136" s="141">
        <f t="array" ref="R136">SUM(IF($J$30:$J$194=IF(J136="","Blank",J136),1,0))</f>
        <v>0</v>
      </c>
      <c r="S136" s="141">
        <f t="shared" si="15"/>
        <v>0</v>
      </c>
      <c r="T136" s="141" t="str">
        <f t="shared" si="16"/>
        <v/>
      </c>
      <c r="U136" s="142">
        <f t="shared" si="17"/>
        <v>0</v>
      </c>
      <c r="V136" s="142">
        <f t="shared" si="18"/>
        <v>0</v>
      </c>
      <c r="W136" s="142">
        <f t="array" ref="W136">SUM(IF(LEN(J134:J298)&lt;=3,0,1))</f>
        <v>0</v>
      </c>
      <c r="X136" s="141" t="str">
        <f t="shared" si="19"/>
        <v>_Inspection Log</v>
      </c>
      <c r="Y136" s="142">
        <f t="shared" si="20"/>
        <v>0</v>
      </c>
      <c r="Z136" s="142" t="str">
        <f t="shared" si="21"/>
        <v/>
      </c>
      <c r="AA136" s="142">
        <f t="shared" si="22"/>
        <v>0</v>
      </c>
      <c r="AB136" s="142"/>
      <c r="AC136" s="142"/>
      <c r="AD136" s="142"/>
      <c r="AE136" s="142"/>
      <c r="AF136" s="142"/>
      <c r="AG136" s="142"/>
      <c r="AH136" s="142"/>
      <c r="AI136" s="142"/>
      <c r="AJ136" s="154"/>
      <c r="AK136" s="118"/>
      <c r="AL136" s="118"/>
      <c r="AM136" s="118"/>
      <c r="AN136" s="118"/>
      <c r="AO136" s="118"/>
      <c r="AP136" s="118"/>
      <c r="AQ136" s="121"/>
      <c r="AR136" s="121"/>
      <c r="AS136" s="121"/>
      <c r="AT136" s="121"/>
      <c r="AU136" s="121"/>
      <c r="AV136" s="121"/>
      <c r="AW136" s="121"/>
      <c r="AX136" s="121"/>
      <c r="AY136" s="121"/>
      <c r="AZ136" s="121"/>
      <c r="BA136" s="121"/>
      <c r="BB136" s="121"/>
      <c r="BC136" s="121"/>
      <c r="BD136" s="121"/>
      <c r="BE136" s="121"/>
      <c r="BF136" s="121"/>
      <c r="BG136" s="121"/>
      <c r="BH136" s="121"/>
    </row>
    <row r="137" spans="1:60" ht="15" customHeight="1">
      <c r="A137" s="118"/>
      <c r="B137" s="165"/>
      <c r="C137" s="166"/>
      <c r="D137" s="167"/>
      <c r="E137" s="167"/>
      <c r="F137" s="167"/>
      <c r="G137" s="167"/>
      <c r="H137" s="168" t="str">
        <f t="shared" si="25"/>
        <v/>
      </c>
      <c r="I137" s="168"/>
      <c r="J137" s="131"/>
      <c r="K137" s="167"/>
      <c r="L137" s="167"/>
      <c r="M137" s="167"/>
      <c r="N137" s="167"/>
      <c r="O137" s="167"/>
      <c r="P137" s="136" t="str">
        <f t="shared" si="23"/>
        <v>_Inspection Log.xlsm</v>
      </c>
      <c r="Q137" s="140" t="str">
        <f t="shared" si="24"/>
        <v>C:\Users\sabi_\OneDrive\Desktop\New folder\Coding logs\_Inspection Log.xlsm</v>
      </c>
      <c r="R137" s="141">
        <f t="array" ref="R137">SUM(IF($J$30:$J$194=IF(J137="","Blank",J137),1,0))</f>
        <v>0</v>
      </c>
      <c r="S137" s="141">
        <f t="shared" si="15"/>
        <v>0</v>
      </c>
      <c r="T137" s="141" t="str">
        <f t="shared" si="16"/>
        <v/>
      </c>
      <c r="U137" s="142">
        <f t="shared" si="17"/>
        <v>0</v>
      </c>
      <c r="V137" s="142">
        <f t="shared" si="18"/>
        <v>0</v>
      </c>
      <c r="W137" s="142">
        <f t="array" ref="W137">SUM(IF(LEN(J135:J299)&lt;=3,0,1))</f>
        <v>0</v>
      </c>
      <c r="X137" s="141" t="str">
        <f t="shared" si="19"/>
        <v>_Inspection Log</v>
      </c>
      <c r="Y137" s="142">
        <f t="shared" si="20"/>
        <v>0</v>
      </c>
      <c r="Z137" s="142" t="str">
        <f t="shared" si="21"/>
        <v/>
      </c>
      <c r="AA137" s="142">
        <f t="shared" si="22"/>
        <v>0</v>
      </c>
      <c r="AB137" s="142"/>
      <c r="AC137" s="142"/>
      <c r="AD137" s="142"/>
      <c r="AE137" s="142"/>
      <c r="AF137" s="142"/>
      <c r="AG137" s="142"/>
      <c r="AH137" s="142"/>
      <c r="AI137" s="142"/>
      <c r="AJ137" s="154"/>
      <c r="AK137" s="118"/>
      <c r="AL137" s="118"/>
      <c r="AM137" s="118"/>
      <c r="AN137" s="118"/>
      <c r="AO137" s="118"/>
      <c r="AP137" s="118"/>
      <c r="AQ137" s="121"/>
      <c r="AR137" s="121"/>
      <c r="AS137" s="121"/>
      <c r="AT137" s="121"/>
      <c r="AU137" s="121"/>
      <c r="AV137" s="121"/>
      <c r="AW137" s="121"/>
      <c r="AX137" s="121"/>
      <c r="AY137" s="121"/>
      <c r="AZ137" s="121"/>
      <c r="BA137" s="121"/>
      <c r="BB137" s="121"/>
      <c r="BC137" s="121"/>
      <c r="BD137" s="121"/>
      <c r="BE137" s="121"/>
      <c r="BF137" s="121"/>
      <c r="BG137" s="121"/>
      <c r="BH137" s="121"/>
    </row>
    <row r="138" spans="1:60" ht="15" customHeight="1">
      <c r="A138" s="118"/>
      <c r="B138" s="165"/>
      <c r="C138" s="166"/>
      <c r="D138" s="167"/>
      <c r="E138" s="167"/>
      <c r="F138" s="167"/>
      <c r="G138" s="167"/>
      <c r="H138" s="168" t="str">
        <f t="shared" si="25"/>
        <v/>
      </c>
      <c r="I138" s="168"/>
      <c r="J138" s="131"/>
      <c r="K138" s="167"/>
      <c r="L138" s="167"/>
      <c r="M138" s="167"/>
      <c r="N138" s="167"/>
      <c r="O138" s="167"/>
      <c r="P138" s="136" t="str">
        <f t="shared" si="23"/>
        <v>_Inspection Log.xlsm</v>
      </c>
      <c r="Q138" s="140" t="str">
        <f t="shared" si="24"/>
        <v>C:\Users\sabi_\OneDrive\Desktop\New folder\Coding logs\_Inspection Log.xlsm</v>
      </c>
      <c r="R138" s="141">
        <f t="array" ref="R138">SUM(IF($J$30:$J$194=IF(J138="","Blank",J138),1,0))</f>
        <v>0</v>
      </c>
      <c r="S138" s="141">
        <f t="shared" si="15"/>
        <v>0</v>
      </c>
      <c r="T138" s="141" t="str">
        <f t="shared" si="16"/>
        <v/>
      </c>
      <c r="U138" s="142">
        <f t="shared" si="17"/>
        <v>0</v>
      </c>
      <c r="V138" s="142">
        <f t="shared" si="18"/>
        <v>0</v>
      </c>
      <c r="W138" s="142">
        <f t="array" ref="W138">SUM(IF(LEN(J136:J300)&lt;=3,0,1))</f>
        <v>0</v>
      </c>
      <c r="X138" s="141" t="str">
        <f t="shared" si="19"/>
        <v>_Inspection Log</v>
      </c>
      <c r="Y138" s="142">
        <f t="shared" si="20"/>
        <v>0</v>
      </c>
      <c r="Z138" s="142" t="str">
        <f t="shared" si="21"/>
        <v/>
      </c>
      <c r="AA138" s="142">
        <f t="shared" si="22"/>
        <v>0</v>
      </c>
      <c r="AB138" s="142"/>
      <c r="AC138" s="142"/>
      <c r="AD138" s="142"/>
      <c r="AE138" s="142"/>
      <c r="AF138" s="142"/>
      <c r="AG138" s="142"/>
      <c r="AH138" s="142"/>
      <c r="AI138" s="142"/>
      <c r="AJ138" s="154"/>
      <c r="AK138" s="118"/>
      <c r="AL138" s="118"/>
      <c r="AM138" s="118"/>
      <c r="AN138" s="118"/>
      <c r="AO138" s="118"/>
      <c r="AP138" s="118"/>
      <c r="AQ138" s="121"/>
      <c r="AR138" s="121"/>
      <c r="AS138" s="121"/>
      <c r="AT138" s="121"/>
      <c r="AU138" s="121"/>
      <c r="AV138" s="121"/>
      <c r="AW138" s="121"/>
      <c r="AX138" s="121"/>
      <c r="AY138" s="121"/>
      <c r="AZ138" s="121"/>
      <c r="BA138" s="121"/>
      <c r="BB138" s="121"/>
      <c r="BC138" s="121"/>
      <c r="BD138" s="121"/>
      <c r="BE138" s="121"/>
      <c r="BF138" s="121"/>
      <c r="BG138" s="121"/>
      <c r="BH138" s="121"/>
    </row>
    <row r="139" spans="1:60" ht="15" customHeight="1">
      <c r="A139" s="118"/>
      <c r="B139" s="165"/>
      <c r="C139" s="166"/>
      <c r="D139" s="167"/>
      <c r="E139" s="167"/>
      <c r="F139" s="167"/>
      <c r="G139" s="167"/>
      <c r="H139" s="168" t="str">
        <f t="shared" si="25"/>
        <v/>
      </c>
      <c r="I139" s="168"/>
      <c r="J139" s="131"/>
      <c r="K139" s="167"/>
      <c r="L139" s="167"/>
      <c r="M139" s="167"/>
      <c r="N139" s="167"/>
      <c r="O139" s="167"/>
      <c r="P139" s="136" t="str">
        <f t="shared" si="23"/>
        <v>_Inspection Log.xlsm</v>
      </c>
      <c r="Q139" s="140" t="str">
        <f t="shared" si="24"/>
        <v>C:\Users\sabi_\OneDrive\Desktop\New folder\Coding logs\_Inspection Log.xlsm</v>
      </c>
      <c r="R139" s="141">
        <f t="array" ref="R139">SUM(IF($J$30:$J$194=IF(J139="","Blank",J139),1,0))</f>
        <v>0</v>
      </c>
      <c r="S139" s="141">
        <f t="shared" si="15"/>
        <v>0</v>
      </c>
      <c r="T139" s="141" t="str">
        <f t="shared" si="16"/>
        <v/>
      </c>
      <c r="U139" s="142">
        <f t="shared" si="17"/>
        <v>0</v>
      </c>
      <c r="V139" s="142">
        <f t="shared" si="18"/>
        <v>0</v>
      </c>
      <c r="W139" s="142">
        <f t="array" ref="W139">SUM(IF(LEN(J137:J301)&lt;=3,0,1))</f>
        <v>0</v>
      </c>
      <c r="X139" s="141" t="str">
        <f t="shared" si="19"/>
        <v>_Inspection Log</v>
      </c>
      <c r="Y139" s="142">
        <f t="shared" si="20"/>
        <v>0</v>
      </c>
      <c r="Z139" s="142" t="str">
        <f t="shared" si="21"/>
        <v/>
      </c>
      <c r="AA139" s="142">
        <f t="shared" si="22"/>
        <v>0</v>
      </c>
      <c r="AB139" s="142"/>
      <c r="AC139" s="142"/>
      <c r="AD139" s="142"/>
      <c r="AE139" s="142"/>
      <c r="AF139" s="142"/>
      <c r="AG139" s="142"/>
      <c r="AH139" s="142"/>
      <c r="AI139" s="142"/>
      <c r="AJ139" s="154"/>
      <c r="AK139" s="118"/>
      <c r="AL139" s="118"/>
      <c r="AM139" s="118"/>
      <c r="AN139" s="118"/>
      <c r="AO139" s="118"/>
      <c r="AP139" s="118"/>
      <c r="AQ139" s="121"/>
      <c r="AR139" s="121"/>
      <c r="AS139" s="121"/>
      <c r="AT139" s="121"/>
      <c r="AU139" s="121"/>
      <c r="AV139" s="121"/>
      <c r="AW139" s="121"/>
      <c r="AX139" s="121"/>
      <c r="AY139" s="121"/>
      <c r="AZ139" s="121"/>
      <c r="BA139" s="121"/>
      <c r="BB139" s="121"/>
      <c r="BC139" s="121"/>
      <c r="BD139" s="121"/>
      <c r="BE139" s="121"/>
      <c r="BF139" s="121"/>
      <c r="BG139" s="121"/>
      <c r="BH139" s="121"/>
    </row>
    <row r="140" spans="1:60" ht="15" customHeight="1">
      <c r="A140" s="118"/>
      <c r="B140" s="165"/>
      <c r="C140" s="166"/>
      <c r="D140" s="167"/>
      <c r="E140" s="167"/>
      <c r="F140" s="167"/>
      <c r="G140" s="167"/>
      <c r="H140" s="168" t="str">
        <f t="shared" si="25"/>
        <v/>
      </c>
      <c r="I140" s="168"/>
      <c r="J140" s="131"/>
      <c r="K140" s="167"/>
      <c r="L140" s="167"/>
      <c r="M140" s="167"/>
      <c r="N140" s="167"/>
      <c r="O140" s="167"/>
      <c r="P140" s="136" t="str">
        <f t="shared" si="23"/>
        <v>_Inspection Log.xlsm</v>
      </c>
      <c r="Q140" s="140" t="str">
        <f t="shared" si="24"/>
        <v>C:\Users\sabi_\OneDrive\Desktop\New folder\Coding logs\_Inspection Log.xlsm</v>
      </c>
      <c r="R140" s="141">
        <f t="array" ref="R140">SUM(IF($J$30:$J$194=IF(J140="","Blank",J140),1,0))</f>
        <v>0</v>
      </c>
      <c r="S140" s="141">
        <f t="shared" si="15"/>
        <v>0</v>
      </c>
      <c r="T140" s="141" t="str">
        <f t="shared" si="16"/>
        <v/>
      </c>
      <c r="U140" s="142">
        <f t="shared" si="17"/>
        <v>0</v>
      </c>
      <c r="V140" s="142">
        <f t="shared" si="18"/>
        <v>0</v>
      </c>
      <c r="W140" s="142">
        <f t="array" ref="W140">SUM(IF(LEN(J138:J302)&lt;=3,0,1))</f>
        <v>0</v>
      </c>
      <c r="X140" s="141" t="str">
        <f t="shared" si="19"/>
        <v>_Inspection Log</v>
      </c>
      <c r="Y140" s="142">
        <f t="shared" si="20"/>
        <v>0</v>
      </c>
      <c r="Z140" s="142" t="str">
        <f t="shared" si="21"/>
        <v/>
      </c>
      <c r="AA140" s="142">
        <f t="shared" si="22"/>
        <v>0</v>
      </c>
      <c r="AB140" s="142"/>
      <c r="AC140" s="142"/>
      <c r="AD140" s="142"/>
      <c r="AE140" s="142"/>
      <c r="AF140" s="142"/>
      <c r="AG140" s="142"/>
      <c r="AH140" s="142"/>
      <c r="AI140" s="142"/>
      <c r="AJ140" s="154"/>
      <c r="AK140" s="118"/>
      <c r="AL140" s="118"/>
      <c r="AM140" s="118"/>
      <c r="AN140" s="118"/>
      <c r="AO140" s="118"/>
      <c r="AP140" s="118"/>
      <c r="AQ140" s="121"/>
      <c r="AR140" s="121"/>
      <c r="AS140" s="121"/>
      <c r="AT140" s="121"/>
      <c r="AU140" s="121"/>
      <c r="AV140" s="121"/>
      <c r="AW140" s="121"/>
      <c r="AX140" s="121"/>
      <c r="AY140" s="121"/>
      <c r="AZ140" s="121"/>
      <c r="BA140" s="121"/>
      <c r="BB140" s="121"/>
      <c r="BC140" s="121"/>
      <c r="BD140" s="121"/>
      <c r="BE140" s="121"/>
      <c r="BF140" s="121"/>
      <c r="BG140" s="121"/>
      <c r="BH140" s="121"/>
    </row>
    <row r="141" spans="1:60" ht="15" customHeight="1">
      <c r="A141" s="118"/>
      <c r="B141" s="165"/>
      <c r="C141" s="166"/>
      <c r="D141" s="167"/>
      <c r="E141" s="167"/>
      <c r="F141" s="167"/>
      <c r="G141" s="167"/>
      <c r="H141" s="168" t="str">
        <f t="shared" si="25"/>
        <v/>
      </c>
      <c r="I141" s="168"/>
      <c r="J141" s="131"/>
      <c r="K141" s="167"/>
      <c r="L141" s="167"/>
      <c r="M141" s="167"/>
      <c r="N141" s="167"/>
      <c r="O141" s="167"/>
      <c r="P141" s="136" t="str">
        <f t="shared" si="23"/>
        <v>_Inspection Log.xlsm</v>
      </c>
      <c r="Q141" s="140" t="str">
        <f t="shared" si="24"/>
        <v>C:\Users\sabi_\OneDrive\Desktop\New folder\Coding logs\_Inspection Log.xlsm</v>
      </c>
      <c r="R141" s="141">
        <f t="array" ref="R141">SUM(IF($J$30:$J$194=IF(J141="","Blank",J141),1,0))</f>
        <v>0</v>
      </c>
      <c r="S141" s="141">
        <f t="shared" si="15"/>
        <v>0</v>
      </c>
      <c r="T141" s="141" t="str">
        <f t="shared" si="16"/>
        <v/>
      </c>
      <c r="U141" s="142">
        <f t="shared" si="17"/>
        <v>0</v>
      </c>
      <c r="V141" s="142">
        <f t="shared" si="18"/>
        <v>0</v>
      </c>
      <c r="W141" s="142">
        <f t="array" ref="W141">SUM(IF(LEN(J139:J303)&lt;=3,0,1))</f>
        <v>0</v>
      </c>
      <c r="X141" s="141" t="str">
        <f t="shared" si="19"/>
        <v>_Inspection Log</v>
      </c>
      <c r="Y141" s="142">
        <f t="shared" si="20"/>
        <v>0</v>
      </c>
      <c r="Z141" s="142" t="str">
        <f t="shared" si="21"/>
        <v/>
      </c>
      <c r="AA141" s="142">
        <f t="shared" si="22"/>
        <v>0</v>
      </c>
      <c r="AB141" s="142"/>
      <c r="AC141" s="142"/>
      <c r="AD141" s="142"/>
      <c r="AE141" s="142"/>
      <c r="AF141" s="142"/>
      <c r="AG141" s="142"/>
      <c r="AH141" s="142"/>
      <c r="AI141" s="142"/>
      <c r="AJ141" s="154"/>
      <c r="AK141" s="118"/>
      <c r="AL141" s="118"/>
      <c r="AM141" s="118"/>
      <c r="AN141" s="118"/>
      <c r="AO141" s="118"/>
      <c r="AP141" s="118"/>
      <c r="AQ141" s="121"/>
      <c r="AR141" s="121"/>
      <c r="AS141" s="121"/>
      <c r="AT141" s="121"/>
      <c r="AU141" s="121"/>
      <c r="AV141" s="121"/>
      <c r="AW141" s="121"/>
      <c r="AX141" s="121"/>
      <c r="AY141" s="121"/>
      <c r="AZ141" s="121"/>
      <c r="BA141" s="121"/>
      <c r="BB141" s="121"/>
      <c r="BC141" s="121"/>
      <c r="BD141" s="121"/>
      <c r="BE141" s="121"/>
      <c r="BF141" s="121"/>
      <c r="BG141" s="121"/>
      <c r="BH141" s="121"/>
    </row>
    <row r="142" spans="1:60" ht="15" customHeight="1">
      <c r="A142" s="118"/>
      <c r="B142" s="165"/>
      <c r="C142" s="166"/>
      <c r="D142" s="167"/>
      <c r="E142" s="167"/>
      <c r="F142" s="167"/>
      <c r="G142" s="167"/>
      <c r="H142" s="168" t="str">
        <f t="shared" si="25"/>
        <v/>
      </c>
      <c r="I142" s="168"/>
      <c r="J142" s="131"/>
      <c r="K142" s="167"/>
      <c r="L142" s="167"/>
      <c r="M142" s="167"/>
      <c r="N142" s="167"/>
      <c r="O142" s="167"/>
      <c r="P142" s="136" t="str">
        <f t="shared" si="23"/>
        <v>_Inspection Log.xlsm</v>
      </c>
      <c r="Q142" s="140" t="str">
        <f t="shared" si="24"/>
        <v>C:\Users\sabi_\OneDrive\Desktop\New folder\Coding logs\_Inspection Log.xlsm</v>
      </c>
      <c r="R142" s="141">
        <f t="array" ref="R142">SUM(IF($J$30:$J$194=IF(J142="","Blank",J142),1,0))</f>
        <v>0</v>
      </c>
      <c r="S142" s="141">
        <f t="shared" si="15"/>
        <v>0</v>
      </c>
      <c r="T142" s="141" t="str">
        <f t="shared" si="16"/>
        <v/>
      </c>
      <c r="U142" s="142">
        <f t="shared" si="17"/>
        <v>0</v>
      </c>
      <c r="V142" s="142">
        <f t="shared" si="18"/>
        <v>0</v>
      </c>
      <c r="W142" s="142">
        <f t="array" ref="W142">SUM(IF(LEN(J140:J304)&lt;=3,0,1))</f>
        <v>0</v>
      </c>
      <c r="X142" s="141" t="str">
        <f t="shared" si="19"/>
        <v>_Inspection Log</v>
      </c>
      <c r="Y142" s="142">
        <f t="shared" si="20"/>
        <v>0</v>
      </c>
      <c r="Z142" s="142" t="str">
        <f t="shared" si="21"/>
        <v/>
      </c>
      <c r="AA142" s="142">
        <f t="shared" si="22"/>
        <v>0</v>
      </c>
      <c r="AB142" s="142"/>
      <c r="AC142" s="142"/>
      <c r="AD142" s="142"/>
      <c r="AE142" s="142"/>
      <c r="AF142" s="142"/>
      <c r="AG142" s="142"/>
      <c r="AH142" s="142"/>
      <c r="AI142" s="142"/>
      <c r="AJ142" s="154"/>
      <c r="AK142" s="118"/>
      <c r="AL142" s="118"/>
      <c r="AM142" s="118"/>
      <c r="AN142" s="118"/>
      <c r="AO142" s="118"/>
      <c r="AP142" s="118"/>
      <c r="AQ142" s="121"/>
      <c r="AR142" s="121"/>
      <c r="AS142" s="121"/>
      <c r="AT142" s="121"/>
      <c r="AU142" s="121"/>
      <c r="AV142" s="121"/>
      <c r="AW142" s="121"/>
      <c r="AX142" s="121"/>
      <c r="AY142" s="121"/>
      <c r="AZ142" s="121"/>
      <c r="BA142" s="121"/>
      <c r="BB142" s="121"/>
      <c r="BC142" s="121"/>
      <c r="BD142" s="121"/>
      <c r="BE142" s="121"/>
      <c r="BF142" s="121"/>
      <c r="BG142" s="121"/>
      <c r="BH142" s="121"/>
    </row>
    <row r="143" spans="1:60" ht="15" customHeight="1">
      <c r="A143" s="118"/>
      <c r="B143" s="165"/>
      <c r="C143" s="166"/>
      <c r="D143" s="167"/>
      <c r="E143" s="167"/>
      <c r="F143" s="167"/>
      <c r="G143" s="167"/>
      <c r="H143" s="168" t="str">
        <f t="shared" si="25"/>
        <v/>
      </c>
      <c r="I143" s="168"/>
      <c r="J143" s="131"/>
      <c r="K143" s="167"/>
      <c r="L143" s="167"/>
      <c r="M143" s="167"/>
      <c r="N143" s="167"/>
      <c r="O143" s="167"/>
      <c r="P143" s="136" t="str">
        <f t="shared" si="23"/>
        <v>_Inspection Log.xlsm</v>
      </c>
      <c r="Q143" s="140" t="str">
        <f t="shared" si="24"/>
        <v>C:\Users\sabi_\OneDrive\Desktop\New folder\Coding logs\_Inspection Log.xlsm</v>
      </c>
      <c r="R143" s="141">
        <f t="array" ref="R143">SUM(IF($J$30:$J$194=IF(J143="","Blank",J143),1,0))</f>
        <v>0</v>
      </c>
      <c r="S143" s="141">
        <f t="shared" si="15"/>
        <v>0</v>
      </c>
      <c r="T143" s="141" t="str">
        <f t="shared" si="16"/>
        <v/>
      </c>
      <c r="U143" s="142">
        <f t="shared" si="17"/>
        <v>0</v>
      </c>
      <c r="V143" s="142">
        <f t="shared" si="18"/>
        <v>0</v>
      </c>
      <c r="W143" s="142">
        <f t="array" ref="W143">SUM(IF(LEN(J141:J305)&lt;=3,0,1))</f>
        <v>0</v>
      </c>
      <c r="X143" s="141" t="str">
        <f t="shared" si="19"/>
        <v>_Inspection Log</v>
      </c>
      <c r="Y143" s="142">
        <f t="shared" si="20"/>
        <v>0</v>
      </c>
      <c r="Z143" s="142" t="str">
        <f t="shared" si="21"/>
        <v/>
      </c>
      <c r="AA143" s="142">
        <f t="shared" si="22"/>
        <v>0</v>
      </c>
      <c r="AB143" s="142"/>
      <c r="AC143" s="142"/>
      <c r="AD143" s="142"/>
      <c r="AE143" s="142"/>
      <c r="AF143" s="142"/>
      <c r="AG143" s="142"/>
      <c r="AH143" s="142"/>
      <c r="AI143" s="142"/>
      <c r="AJ143" s="154"/>
      <c r="AK143" s="118"/>
      <c r="AL143" s="118"/>
      <c r="AM143" s="118"/>
      <c r="AN143" s="118"/>
      <c r="AO143" s="118"/>
      <c r="AP143" s="118"/>
      <c r="AQ143" s="121"/>
      <c r="AR143" s="121"/>
      <c r="AS143" s="121"/>
      <c r="AT143" s="121"/>
      <c r="AU143" s="121"/>
      <c r="AV143" s="121"/>
      <c r="AW143" s="121"/>
      <c r="AX143" s="121"/>
      <c r="AY143" s="121"/>
      <c r="AZ143" s="121"/>
      <c r="BA143" s="121"/>
      <c r="BB143" s="121"/>
      <c r="BC143" s="121"/>
      <c r="BD143" s="121"/>
      <c r="BE143" s="121"/>
      <c r="BF143" s="121"/>
      <c r="BG143" s="121"/>
      <c r="BH143" s="121"/>
    </row>
    <row r="144" spans="1:60" ht="15" customHeight="1">
      <c r="A144" s="118"/>
      <c r="B144" s="165"/>
      <c r="C144" s="166"/>
      <c r="D144" s="167"/>
      <c r="E144" s="167"/>
      <c r="F144" s="167"/>
      <c r="G144" s="167"/>
      <c r="H144" s="168" t="str">
        <f t="shared" si="25"/>
        <v/>
      </c>
      <c r="I144" s="168"/>
      <c r="J144" s="131"/>
      <c r="K144" s="167"/>
      <c r="L144" s="167"/>
      <c r="M144" s="167"/>
      <c r="N144" s="167"/>
      <c r="O144" s="167"/>
      <c r="P144" s="136" t="str">
        <f t="shared" si="23"/>
        <v>_Inspection Log.xlsm</v>
      </c>
      <c r="Q144" s="140" t="str">
        <f t="shared" si="24"/>
        <v>C:\Users\sabi_\OneDrive\Desktop\New folder\Coding logs\_Inspection Log.xlsm</v>
      </c>
      <c r="R144" s="141">
        <f t="array" ref="R144">SUM(IF($J$30:$J$194=IF(J144="","Blank",J144),1,0))</f>
        <v>0</v>
      </c>
      <c r="S144" s="141">
        <f t="shared" si="15"/>
        <v>0</v>
      </c>
      <c r="T144" s="141" t="str">
        <f t="shared" si="16"/>
        <v/>
      </c>
      <c r="U144" s="142">
        <f t="shared" si="17"/>
        <v>0</v>
      </c>
      <c r="V144" s="142">
        <f t="shared" si="18"/>
        <v>0</v>
      </c>
      <c r="W144" s="142">
        <f t="array" ref="W144">SUM(IF(LEN(J142:J306)&lt;=3,0,1))</f>
        <v>0</v>
      </c>
      <c r="X144" s="141" t="str">
        <f t="shared" si="19"/>
        <v>_Inspection Log</v>
      </c>
      <c r="Y144" s="142">
        <f t="shared" si="20"/>
        <v>0</v>
      </c>
      <c r="Z144" s="142" t="str">
        <f t="shared" si="21"/>
        <v/>
      </c>
      <c r="AA144" s="142">
        <f t="shared" si="22"/>
        <v>0</v>
      </c>
      <c r="AB144" s="142"/>
      <c r="AC144" s="142"/>
      <c r="AD144" s="142"/>
      <c r="AE144" s="142"/>
      <c r="AF144" s="142"/>
      <c r="AG144" s="142"/>
      <c r="AH144" s="142"/>
      <c r="AI144" s="142"/>
      <c r="AJ144" s="154"/>
      <c r="AK144" s="118"/>
      <c r="AL144" s="118"/>
      <c r="AM144" s="118"/>
      <c r="AN144" s="118"/>
      <c r="AO144" s="118"/>
      <c r="AP144" s="118"/>
      <c r="AQ144" s="121"/>
      <c r="AR144" s="121"/>
      <c r="AS144" s="121"/>
      <c r="AT144" s="121"/>
      <c r="AU144" s="121"/>
      <c r="AV144" s="121"/>
      <c r="AW144" s="121"/>
      <c r="AX144" s="121"/>
      <c r="AY144" s="121"/>
      <c r="AZ144" s="121"/>
      <c r="BA144" s="121"/>
      <c r="BB144" s="121"/>
      <c r="BC144" s="121"/>
      <c r="BD144" s="121"/>
      <c r="BE144" s="121"/>
      <c r="BF144" s="121"/>
      <c r="BG144" s="121"/>
      <c r="BH144" s="121"/>
    </row>
    <row r="145" spans="1:60" ht="15" customHeight="1">
      <c r="A145" s="118"/>
      <c r="B145" s="165"/>
      <c r="C145" s="166"/>
      <c r="D145" s="167"/>
      <c r="E145" s="167"/>
      <c r="F145" s="167"/>
      <c r="G145" s="167"/>
      <c r="H145" s="168" t="str">
        <f t="shared" si="25"/>
        <v/>
      </c>
      <c r="I145" s="168"/>
      <c r="J145" s="131"/>
      <c r="K145" s="167"/>
      <c r="L145" s="167"/>
      <c r="M145" s="167"/>
      <c r="N145" s="167"/>
      <c r="O145" s="167"/>
      <c r="P145" s="136" t="str">
        <f t="shared" si="23"/>
        <v>_Inspection Log.xlsm</v>
      </c>
      <c r="Q145" s="140" t="str">
        <f t="shared" si="24"/>
        <v>C:\Users\sabi_\OneDrive\Desktop\New folder\Coding logs\_Inspection Log.xlsm</v>
      </c>
      <c r="R145" s="141">
        <f t="array" ref="R145">SUM(IF($J$30:$J$194=IF(J145="","Blank",J145),1,0))</f>
        <v>0</v>
      </c>
      <c r="S145" s="141">
        <f t="shared" si="15"/>
        <v>0</v>
      </c>
      <c r="T145" s="141" t="str">
        <f t="shared" si="16"/>
        <v/>
      </c>
      <c r="U145" s="142">
        <f t="shared" si="17"/>
        <v>0</v>
      </c>
      <c r="V145" s="142">
        <f t="shared" si="18"/>
        <v>0</v>
      </c>
      <c r="W145" s="142">
        <f t="array" ref="W145">SUM(IF(LEN(J143:J307)&lt;=3,0,1))</f>
        <v>0</v>
      </c>
      <c r="X145" s="141" t="str">
        <f t="shared" si="19"/>
        <v>_Inspection Log</v>
      </c>
      <c r="Y145" s="142">
        <f t="shared" si="20"/>
        <v>0</v>
      </c>
      <c r="Z145" s="142" t="str">
        <f t="shared" si="21"/>
        <v/>
      </c>
      <c r="AA145" s="142">
        <f t="shared" si="22"/>
        <v>0</v>
      </c>
      <c r="AB145" s="142"/>
      <c r="AC145" s="142"/>
      <c r="AD145" s="142"/>
      <c r="AE145" s="142"/>
      <c r="AF145" s="142"/>
      <c r="AG145" s="142"/>
      <c r="AH145" s="142"/>
      <c r="AI145" s="142"/>
      <c r="AJ145" s="154"/>
      <c r="AK145" s="118"/>
      <c r="AL145" s="118"/>
      <c r="AM145" s="118"/>
      <c r="AN145" s="118"/>
      <c r="AO145" s="118"/>
      <c r="AP145" s="118"/>
      <c r="AQ145" s="121"/>
      <c r="AR145" s="121"/>
      <c r="AS145" s="121"/>
      <c r="AT145" s="121"/>
      <c r="AU145" s="121"/>
      <c r="AV145" s="121"/>
      <c r="AW145" s="121"/>
      <c r="AX145" s="121"/>
      <c r="AY145" s="121"/>
      <c r="AZ145" s="121"/>
      <c r="BA145" s="121"/>
      <c r="BB145" s="121"/>
      <c r="BC145" s="121"/>
      <c r="BD145" s="121"/>
      <c r="BE145" s="121"/>
      <c r="BF145" s="121"/>
      <c r="BG145" s="121"/>
      <c r="BH145" s="121"/>
    </row>
    <row r="146" spans="1:60" ht="15" customHeight="1">
      <c r="A146" s="118"/>
      <c r="B146" s="165"/>
      <c r="C146" s="166"/>
      <c r="D146" s="167"/>
      <c r="E146" s="167"/>
      <c r="F146" s="167"/>
      <c r="G146" s="167"/>
      <c r="H146" s="168" t="str">
        <f t="shared" si="25"/>
        <v/>
      </c>
      <c r="I146" s="168"/>
      <c r="J146" s="131"/>
      <c r="K146" s="167"/>
      <c r="L146" s="167"/>
      <c r="M146" s="167"/>
      <c r="N146" s="167"/>
      <c r="O146" s="167"/>
      <c r="P146" s="136" t="str">
        <f t="shared" si="23"/>
        <v>_Inspection Log.xlsm</v>
      </c>
      <c r="Q146" s="140" t="str">
        <f t="shared" si="24"/>
        <v>C:\Users\sabi_\OneDrive\Desktop\New folder\Coding logs\_Inspection Log.xlsm</v>
      </c>
      <c r="R146" s="141">
        <f t="array" ref="R146">SUM(IF($J$30:$J$194=IF(J146="","Blank",J146),1,0))</f>
        <v>0</v>
      </c>
      <c r="S146" s="141">
        <f t="shared" si="15"/>
        <v>0</v>
      </c>
      <c r="T146" s="141" t="str">
        <f t="shared" si="16"/>
        <v/>
      </c>
      <c r="U146" s="142">
        <f t="shared" si="17"/>
        <v>0</v>
      </c>
      <c r="V146" s="142">
        <f t="shared" si="18"/>
        <v>0</v>
      </c>
      <c r="W146" s="142">
        <f t="array" ref="W146">SUM(IF(LEN(J144:J308)&lt;=3,0,1))</f>
        <v>0</v>
      </c>
      <c r="X146" s="141" t="str">
        <f t="shared" si="19"/>
        <v>_Inspection Log</v>
      </c>
      <c r="Y146" s="142">
        <f t="shared" si="20"/>
        <v>0</v>
      </c>
      <c r="Z146" s="142" t="str">
        <f t="shared" si="21"/>
        <v/>
      </c>
      <c r="AA146" s="142">
        <f t="shared" si="22"/>
        <v>0</v>
      </c>
      <c r="AB146" s="142"/>
      <c r="AC146" s="142"/>
      <c r="AD146" s="142"/>
      <c r="AE146" s="142"/>
      <c r="AF146" s="142"/>
      <c r="AG146" s="142"/>
      <c r="AH146" s="142"/>
      <c r="AI146" s="142"/>
      <c r="AJ146" s="154"/>
      <c r="AK146" s="118"/>
      <c r="AL146" s="118"/>
      <c r="AM146" s="118"/>
      <c r="AN146" s="118"/>
      <c r="AO146" s="118"/>
      <c r="AP146" s="118"/>
      <c r="AQ146" s="121"/>
      <c r="AR146" s="121"/>
      <c r="AS146" s="121"/>
      <c r="AT146" s="121"/>
      <c r="AU146" s="121"/>
      <c r="AV146" s="121"/>
      <c r="AW146" s="121"/>
      <c r="AX146" s="121"/>
      <c r="AY146" s="121"/>
      <c r="AZ146" s="121"/>
      <c r="BA146" s="121"/>
      <c r="BB146" s="121"/>
      <c r="BC146" s="121"/>
      <c r="BD146" s="121"/>
      <c r="BE146" s="121"/>
      <c r="BF146" s="121"/>
      <c r="BG146" s="121"/>
      <c r="BH146" s="121"/>
    </row>
    <row r="147" spans="1:60" ht="15" customHeight="1">
      <c r="A147" s="118"/>
      <c r="B147" s="165"/>
      <c r="C147" s="166"/>
      <c r="D147" s="167"/>
      <c r="E147" s="167"/>
      <c r="F147" s="167"/>
      <c r="G147" s="167"/>
      <c r="H147" s="168" t="str">
        <f t="shared" si="25"/>
        <v/>
      </c>
      <c r="I147" s="168"/>
      <c r="J147" s="131"/>
      <c r="K147" s="167"/>
      <c r="L147" s="167"/>
      <c r="M147" s="167"/>
      <c r="N147" s="167"/>
      <c r="O147" s="167"/>
      <c r="P147" s="136" t="str">
        <f t="shared" si="23"/>
        <v>_Inspection Log.xlsm</v>
      </c>
      <c r="Q147" s="140" t="str">
        <f t="shared" si="24"/>
        <v>C:\Users\sabi_\OneDrive\Desktop\New folder\Coding logs\_Inspection Log.xlsm</v>
      </c>
      <c r="R147" s="141">
        <f t="array" ref="R147">SUM(IF($J$30:$J$194=IF(J147="","Blank",J147),1,0))</f>
        <v>0</v>
      </c>
      <c r="S147" s="141">
        <f t="shared" si="15"/>
        <v>0</v>
      </c>
      <c r="T147" s="141" t="str">
        <f t="shared" si="16"/>
        <v/>
      </c>
      <c r="U147" s="142">
        <f t="shared" si="17"/>
        <v>0</v>
      </c>
      <c r="V147" s="142">
        <f t="shared" si="18"/>
        <v>0</v>
      </c>
      <c r="W147" s="142">
        <f t="array" ref="W147">SUM(IF(LEN(J145:J309)&lt;=3,0,1))</f>
        <v>0</v>
      </c>
      <c r="X147" s="141" t="str">
        <f t="shared" si="19"/>
        <v>_Inspection Log</v>
      </c>
      <c r="Y147" s="142">
        <f t="shared" si="20"/>
        <v>0</v>
      </c>
      <c r="Z147" s="142" t="str">
        <f t="shared" si="21"/>
        <v/>
      </c>
      <c r="AA147" s="142">
        <f t="shared" si="22"/>
        <v>0</v>
      </c>
      <c r="AB147" s="142"/>
      <c r="AC147" s="142"/>
      <c r="AD147" s="142"/>
      <c r="AE147" s="142"/>
      <c r="AF147" s="142"/>
      <c r="AG147" s="142"/>
      <c r="AH147" s="142"/>
      <c r="AI147" s="142"/>
      <c r="AJ147" s="154"/>
      <c r="AK147" s="118"/>
      <c r="AL147" s="118"/>
      <c r="AM147" s="118"/>
      <c r="AN147" s="118"/>
      <c r="AO147" s="118"/>
      <c r="AP147" s="118"/>
      <c r="AQ147" s="121"/>
      <c r="AR147" s="121"/>
      <c r="AS147" s="121"/>
      <c r="AT147" s="121"/>
      <c r="AU147" s="121"/>
      <c r="AV147" s="121"/>
      <c r="AW147" s="121"/>
      <c r="AX147" s="121"/>
      <c r="AY147" s="121"/>
      <c r="AZ147" s="121"/>
      <c r="BA147" s="121"/>
      <c r="BB147" s="121"/>
      <c r="BC147" s="121"/>
      <c r="BD147" s="121"/>
      <c r="BE147" s="121"/>
      <c r="BF147" s="121"/>
      <c r="BG147" s="121"/>
      <c r="BH147" s="121"/>
    </row>
    <row r="148" spans="1:60" ht="15" customHeight="1">
      <c r="A148" s="118"/>
      <c r="B148" s="165"/>
      <c r="C148" s="166"/>
      <c r="D148" s="167"/>
      <c r="E148" s="167"/>
      <c r="F148" s="167"/>
      <c r="G148" s="167"/>
      <c r="H148" s="168" t="str">
        <f t="shared" si="25"/>
        <v/>
      </c>
      <c r="I148" s="168"/>
      <c r="J148" s="131"/>
      <c r="K148" s="167"/>
      <c r="L148" s="167"/>
      <c r="M148" s="167"/>
      <c r="N148" s="167"/>
      <c r="O148" s="167"/>
      <c r="P148" s="136" t="str">
        <f t="shared" si="23"/>
        <v>_Inspection Log.xlsm</v>
      </c>
      <c r="Q148" s="140" t="str">
        <f t="shared" si="24"/>
        <v>C:\Users\sabi_\OneDrive\Desktop\New folder\Coding logs\_Inspection Log.xlsm</v>
      </c>
      <c r="R148" s="141">
        <f t="array" ref="R148">SUM(IF($J$30:$J$194=IF(J148="","Blank",J148),1,0))</f>
        <v>0</v>
      </c>
      <c r="S148" s="141">
        <f t="shared" si="15"/>
        <v>0</v>
      </c>
      <c r="T148" s="141" t="str">
        <f t="shared" si="16"/>
        <v/>
      </c>
      <c r="U148" s="142">
        <f t="shared" si="17"/>
        <v>0</v>
      </c>
      <c r="V148" s="142">
        <f t="shared" si="18"/>
        <v>0</v>
      </c>
      <c r="W148" s="142">
        <f t="array" ref="W148">SUM(IF(LEN(J146:J310)&lt;=3,0,1))</f>
        <v>0</v>
      </c>
      <c r="X148" s="141" t="str">
        <f t="shared" si="19"/>
        <v>_Inspection Log</v>
      </c>
      <c r="Y148" s="142">
        <f t="shared" si="20"/>
        <v>0</v>
      </c>
      <c r="Z148" s="142" t="str">
        <f t="shared" si="21"/>
        <v/>
      </c>
      <c r="AA148" s="142">
        <f t="shared" si="22"/>
        <v>0</v>
      </c>
      <c r="AB148" s="142"/>
      <c r="AC148" s="142"/>
      <c r="AD148" s="142"/>
      <c r="AE148" s="142"/>
      <c r="AF148" s="142"/>
      <c r="AG148" s="142"/>
      <c r="AH148" s="142"/>
      <c r="AI148" s="142"/>
      <c r="AJ148" s="154"/>
      <c r="AK148" s="118"/>
      <c r="AL148" s="118"/>
      <c r="AM148" s="118"/>
      <c r="AN148" s="118"/>
      <c r="AO148" s="118"/>
      <c r="AP148" s="118"/>
      <c r="AQ148" s="121"/>
      <c r="AR148" s="121"/>
      <c r="AS148" s="121"/>
      <c r="AT148" s="121"/>
      <c r="AU148" s="121"/>
      <c r="AV148" s="121"/>
      <c r="AW148" s="121"/>
      <c r="AX148" s="121"/>
      <c r="AY148" s="121"/>
      <c r="AZ148" s="121"/>
      <c r="BA148" s="121"/>
      <c r="BB148" s="121"/>
      <c r="BC148" s="121"/>
      <c r="BD148" s="121"/>
      <c r="BE148" s="121"/>
      <c r="BF148" s="121"/>
      <c r="BG148" s="121"/>
      <c r="BH148" s="121"/>
    </row>
    <row r="149" spans="1:60" ht="15" customHeight="1">
      <c r="A149" s="118"/>
      <c r="B149" s="165"/>
      <c r="C149" s="166"/>
      <c r="D149" s="167"/>
      <c r="E149" s="167"/>
      <c r="F149" s="167"/>
      <c r="G149" s="167"/>
      <c r="H149" s="168" t="str">
        <f t="shared" si="25"/>
        <v/>
      </c>
      <c r="I149" s="168"/>
      <c r="J149" s="131"/>
      <c r="K149" s="167"/>
      <c r="L149" s="167"/>
      <c r="M149" s="167"/>
      <c r="N149" s="167"/>
      <c r="O149" s="167"/>
      <c r="P149" s="136" t="str">
        <f t="shared" si="23"/>
        <v>_Inspection Log.xlsm</v>
      </c>
      <c r="Q149" s="140" t="str">
        <f t="shared" si="24"/>
        <v>C:\Users\sabi_\OneDrive\Desktop\New folder\Coding logs\_Inspection Log.xlsm</v>
      </c>
      <c r="R149" s="141">
        <f t="array" ref="R149">SUM(IF($J$30:$J$194=IF(J149="","Blank",J149),1,0))</f>
        <v>0</v>
      </c>
      <c r="S149" s="141">
        <f t="shared" si="15"/>
        <v>0</v>
      </c>
      <c r="T149" s="141" t="str">
        <f t="shared" si="16"/>
        <v/>
      </c>
      <c r="U149" s="142">
        <f t="shared" si="17"/>
        <v>0</v>
      </c>
      <c r="V149" s="142">
        <f t="shared" si="18"/>
        <v>0</v>
      </c>
      <c r="W149" s="142">
        <f t="array" ref="W149">SUM(IF(LEN(J147:J311)&lt;=3,0,1))</f>
        <v>0</v>
      </c>
      <c r="X149" s="141" t="str">
        <f t="shared" si="19"/>
        <v>_Inspection Log</v>
      </c>
      <c r="Y149" s="142">
        <f t="shared" si="20"/>
        <v>0</v>
      </c>
      <c r="Z149" s="142" t="str">
        <f t="shared" si="21"/>
        <v/>
      </c>
      <c r="AA149" s="142">
        <f t="shared" si="22"/>
        <v>0</v>
      </c>
      <c r="AB149" s="142"/>
      <c r="AC149" s="142"/>
      <c r="AD149" s="142"/>
      <c r="AE149" s="142"/>
      <c r="AF149" s="142"/>
      <c r="AG149" s="142"/>
      <c r="AH149" s="142"/>
      <c r="AI149" s="142"/>
      <c r="AJ149" s="154"/>
      <c r="AK149" s="118"/>
      <c r="AL149" s="118"/>
      <c r="AM149" s="118"/>
      <c r="AN149" s="118"/>
      <c r="AO149" s="118"/>
      <c r="AP149" s="118"/>
      <c r="AQ149" s="121"/>
      <c r="AR149" s="121"/>
      <c r="AS149" s="121"/>
      <c r="AT149" s="121"/>
      <c r="AU149" s="121"/>
      <c r="AV149" s="121"/>
      <c r="AW149" s="121"/>
      <c r="AX149" s="121"/>
      <c r="AY149" s="121"/>
      <c r="AZ149" s="121"/>
      <c r="BA149" s="121"/>
      <c r="BB149" s="121"/>
      <c r="BC149" s="121"/>
      <c r="BD149" s="121"/>
      <c r="BE149" s="121"/>
      <c r="BF149" s="121"/>
      <c r="BG149" s="121"/>
      <c r="BH149" s="121"/>
    </row>
    <row r="150" spans="1:60" ht="15" customHeight="1">
      <c r="A150" s="118"/>
      <c r="B150" s="165"/>
      <c r="C150" s="166"/>
      <c r="D150" s="167"/>
      <c r="E150" s="167"/>
      <c r="F150" s="167"/>
      <c r="G150" s="167"/>
      <c r="H150" s="168" t="str">
        <f t="shared" si="25"/>
        <v/>
      </c>
      <c r="I150" s="168"/>
      <c r="J150" s="131"/>
      <c r="K150" s="167"/>
      <c r="L150" s="167"/>
      <c r="M150" s="167"/>
      <c r="N150" s="167"/>
      <c r="O150" s="167"/>
      <c r="P150" s="136" t="str">
        <f t="shared" si="23"/>
        <v>_Inspection Log.xlsm</v>
      </c>
      <c r="Q150" s="140" t="str">
        <f t="shared" si="24"/>
        <v>C:\Users\sabi_\OneDrive\Desktop\New folder\Coding logs\_Inspection Log.xlsm</v>
      </c>
      <c r="R150" s="141">
        <f t="array" ref="R150">SUM(IF($J$30:$J$194=IF(J150="","Blank",J150),1,0))</f>
        <v>0</v>
      </c>
      <c r="S150" s="141">
        <f t="shared" si="15"/>
        <v>0</v>
      </c>
      <c r="T150" s="141" t="str">
        <f t="shared" si="16"/>
        <v/>
      </c>
      <c r="U150" s="142">
        <f t="shared" si="17"/>
        <v>0</v>
      </c>
      <c r="V150" s="142">
        <f t="shared" si="18"/>
        <v>0</v>
      </c>
      <c r="W150" s="142">
        <f t="array" ref="W150">SUM(IF(LEN(J148:J312)&lt;=3,0,1))</f>
        <v>0</v>
      </c>
      <c r="X150" s="141" t="str">
        <f t="shared" si="19"/>
        <v>_Inspection Log</v>
      </c>
      <c r="Y150" s="142">
        <f t="shared" si="20"/>
        <v>0</v>
      </c>
      <c r="Z150" s="142" t="str">
        <f t="shared" si="21"/>
        <v/>
      </c>
      <c r="AA150" s="142">
        <f t="shared" si="22"/>
        <v>0</v>
      </c>
      <c r="AB150" s="142"/>
      <c r="AC150" s="142"/>
      <c r="AD150" s="142"/>
      <c r="AE150" s="142"/>
      <c r="AF150" s="142"/>
      <c r="AG150" s="142"/>
      <c r="AH150" s="142"/>
      <c r="AI150" s="142"/>
      <c r="AJ150" s="154"/>
      <c r="AK150" s="118"/>
      <c r="AL150" s="118"/>
      <c r="AM150" s="118"/>
      <c r="AN150" s="118"/>
      <c r="AO150" s="118"/>
      <c r="AP150" s="118"/>
      <c r="AQ150" s="121"/>
      <c r="AR150" s="121"/>
      <c r="AS150" s="121"/>
      <c r="AT150" s="121"/>
      <c r="AU150" s="121"/>
      <c r="AV150" s="121"/>
      <c r="AW150" s="121"/>
      <c r="AX150" s="121"/>
      <c r="AY150" s="121"/>
      <c r="AZ150" s="121"/>
      <c r="BA150" s="121"/>
      <c r="BB150" s="121"/>
      <c r="BC150" s="121"/>
      <c r="BD150" s="121"/>
      <c r="BE150" s="121"/>
      <c r="BF150" s="121"/>
      <c r="BG150" s="121"/>
      <c r="BH150" s="121"/>
    </row>
    <row r="151" spans="1:60" ht="15" customHeight="1">
      <c r="A151" s="118"/>
      <c r="B151" s="165"/>
      <c r="C151" s="166"/>
      <c r="D151" s="167"/>
      <c r="E151" s="167"/>
      <c r="F151" s="167"/>
      <c r="G151" s="167"/>
      <c r="H151" s="168" t="str">
        <f t="shared" si="25"/>
        <v/>
      </c>
      <c r="I151" s="168"/>
      <c r="J151" s="131"/>
      <c r="K151" s="167"/>
      <c r="L151" s="167"/>
      <c r="M151" s="167"/>
      <c r="N151" s="167"/>
      <c r="O151" s="167"/>
      <c r="P151" s="136" t="str">
        <f t="shared" si="23"/>
        <v>_Inspection Log.xlsm</v>
      </c>
      <c r="Q151" s="140" t="str">
        <f t="shared" si="24"/>
        <v>C:\Users\sabi_\OneDrive\Desktop\New folder\Coding logs\_Inspection Log.xlsm</v>
      </c>
      <c r="R151" s="141">
        <f t="array" ref="R151">SUM(IF($J$30:$J$194=IF(J151="","Blank",J151),1,0))</f>
        <v>0</v>
      </c>
      <c r="S151" s="141">
        <f t="shared" si="15"/>
        <v>0</v>
      </c>
      <c r="T151" s="141" t="str">
        <f t="shared" si="16"/>
        <v/>
      </c>
      <c r="U151" s="142">
        <f t="shared" si="17"/>
        <v>0</v>
      </c>
      <c r="V151" s="142">
        <f t="shared" si="18"/>
        <v>0</v>
      </c>
      <c r="W151" s="142">
        <f t="array" ref="W151">SUM(IF(LEN(J149:J313)&lt;=3,0,1))</f>
        <v>0</v>
      </c>
      <c r="X151" s="141" t="str">
        <f t="shared" si="19"/>
        <v>_Inspection Log</v>
      </c>
      <c r="Y151" s="142">
        <f t="shared" si="20"/>
        <v>0</v>
      </c>
      <c r="Z151" s="142" t="str">
        <f t="shared" si="21"/>
        <v/>
      </c>
      <c r="AA151" s="142">
        <f t="shared" si="22"/>
        <v>0</v>
      </c>
      <c r="AB151" s="142"/>
      <c r="AC151" s="142"/>
      <c r="AD151" s="142"/>
      <c r="AE151" s="142"/>
      <c r="AF151" s="142"/>
      <c r="AG151" s="142"/>
      <c r="AH151" s="142"/>
      <c r="AI151" s="142"/>
      <c r="AJ151" s="154"/>
      <c r="AK151" s="118"/>
      <c r="AL151" s="118"/>
      <c r="AM151" s="118"/>
      <c r="AN151" s="118"/>
      <c r="AO151" s="118"/>
      <c r="AP151" s="118"/>
      <c r="AQ151" s="121"/>
      <c r="AR151" s="121"/>
      <c r="AS151" s="121"/>
      <c r="AT151" s="121"/>
      <c r="AU151" s="121"/>
      <c r="AV151" s="121"/>
      <c r="AW151" s="121"/>
      <c r="AX151" s="121"/>
      <c r="AY151" s="121"/>
      <c r="AZ151" s="121"/>
      <c r="BA151" s="121"/>
      <c r="BB151" s="121"/>
      <c r="BC151" s="121"/>
      <c r="BD151" s="121"/>
      <c r="BE151" s="121"/>
      <c r="BF151" s="121"/>
      <c r="BG151" s="121"/>
      <c r="BH151" s="121"/>
    </row>
    <row r="152" spans="1:60" ht="15" customHeight="1">
      <c r="A152" s="118"/>
      <c r="B152" s="165"/>
      <c r="C152" s="166"/>
      <c r="D152" s="167"/>
      <c r="E152" s="167"/>
      <c r="F152" s="167"/>
      <c r="G152" s="167"/>
      <c r="H152" s="168" t="str">
        <f t="shared" si="25"/>
        <v/>
      </c>
      <c r="I152" s="168"/>
      <c r="J152" s="131"/>
      <c r="K152" s="167"/>
      <c r="L152" s="167"/>
      <c r="M152" s="167"/>
      <c r="N152" s="167"/>
      <c r="O152" s="167"/>
      <c r="P152" s="136" t="str">
        <f t="shared" si="23"/>
        <v>_Inspection Log.xlsm</v>
      </c>
      <c r="Q152" s="140" t="str">
        <f t="shared" si="24"/>
        <v>C:\Users\sabi_\OneDrive\Desktop\New folder\Coding logs\_Inspection Log.xlsm</v>
      </c>
      <c r="R152" s="141">
        <f t="array" ref="R152">SUM(IF($J$30:$J$194=IF(J152="","Blank",J152),1,0))</f>
        <v>0</v>
      </c>
      <c r="S152" s="141">
        <f t="shared" si="15"/>
        <v>0</v>
      </c>
      <c r="T152" s="141" t="str">
        <f t="shared" si="16"/>
        <v/>
      </c>
      <c r="U152" s="142">
        <f t="shared" si="17"/>
        <v>0</v>
      </c>
      <c r="V152" s="142">
        <f t="shared" si="18"/>
        <v>0</v>
      </c>
      <c r="W152" s="142">
        <f t="array" ref="W152">SUM(IF(LEN(J150:J314)&lt;=3,0,1))</f>
        <v>0</v>
      </c>
      <c r="X152" s="141" t="str">
        <f t="shared" si="19"/>
        <v>_Inspection Log</v>
      </c>
      <c r="Y152" s="142">
        <f t="shared" si="20"/>
        <v>0</v>
      </c>
      <c r="Z152" s="142" t="str">
        <f t="shared" si="21"/>
        <v/>
      </c>
      <c r="AA152" s="142">
        <f t="shared" si="22"/>
        <v>0</v>
      </c>
      <c r="AB152" s="142"/>
      <c r="AC152" s="142"/>
      <c r="AD152" s="142"/>
      <c r="AE152" s="142"/>
      <c r="AF152" s="142"/>
      <c r="AG152" s="142"/>
      <c r="AH152" s="142"/>
      <c r="AI152" s="142"/>
      <c r="AJ152" s="154"/>
      <c r="AK152" s="118"/>
      <c r="AL152" s="118"/>
      <c r="AM152" s="118"/>
      <c r="AN152" s="118"/>
      <c r="AO152" s="118"/>
      <c r="AP152" s="118"/>
      <c r="AQ152" s="121"/>
      <c r="AR152" s="121"/>
      <c r="AS152" s="121"/>
      <c r="AT152" s="121"/>
      <c r="AU152" s="121"/>
      <c r="AV152" s="121"/>
      <c r="AW152" s="121"/>
      <c r="AX152" s="121"/>
      <c r="AY152" s="121"/>
      <c r="AZ152" s="121"/>
      <c r="BA152" s="121"/>
      <c r="BB152" s="121"/>
      <c r="BC152" s="121"/>
      <c r="BD152" s="121"/>
      <c r="BE152" s="121"/>
      <c r="BF152" s="121"/>
      <c r="BG152" s="121"/>
      <c r="BH152" s="121"/>
    </row>
    <row r="153" spans="1:60" ht="15" customHeight="1">
      <c r="A153" s="118"/>
      <c r="B153" s="165"/>
      <c r="C153" s="166"/>
      <c r="D153" s="167"/>
      <c r="E153" s="167"/>
      <c r="F153" s="167"/>
      <c r="G153" s="167"/>
      <c r="H153" s="168" t="str">
        <f t="shared" si="25"/>
        <v/>
      </c>
      <c r="I153" s="168"/>
      <c r="J153" s="131"/>
      <c r="K153" s="167"/>
      <c r="L153" s="167"/>
      <c r="M153" s="167"/>
      <c r="N153" s="167"/>
      <c r="O153" s="167"/>
      <c r="P153" s="136" t="str">
        <f t="shared" si="23"/>
        <v>_Inspection Log.xlsm</v>
      </c>
      <c r="Q153" s="140" t="str">
        <f t="shared" si="24"/>
        <v>C:\Users\sabi_\OneDrive\Desktop\New folder\Coding logs\_Inspection Log.xlsm</v>
      </c>
      <c r="R153" s="141">
        <f t="array" ref="R153">SUM(IF($J$30:$J$194=IF(J153="","Blank",J153),1,0))</f>
        <v>0</v>
      </c>
      <c r="S153" s="141">
        <f t="shared" si="15"/>
        <v>0</v>
      </c>
      <c r="T153" s="141" t="str">
        <f t="shared" si="16"/>
        <v/>
      </c>
      <c r="U153" s="142">
        <f t="shared" si="17"/>
        <v>0</v>
      </c>
      <c r="V153" s="142">
        <f t="shared" si="18"/>
        <v>0</v>
      </c>
      <c r="W153" s="142">
        <f t="array" ref="W153">SUM(IF(LEN(J151:J315)&lt;=3,0,1))</f>
        <v>0</v>
      </c>
      <c r="X153" s="141" t="str">
        <f t="shared" si="19"/>
        <v>_Inspection Log</v>
      </c>
      <c r="Y153" s="142">
        <f t="shared" si="20"/>
        <v>0</v>
      </c>
      <c r="Z153" s="142" t="str">
        <f t="shared" si="21"/>
        <v/>
      </c>
      <c r="AA153" s="142">
        <f t="shared" si="22"/>
        <v>0</v>
      </c>
      <c r="AB153" s="142"/>
      <c r="AC153" s="142"/>
      <c r="AD153" s="142"/>
      <c r="AE153" s="142"/>
      <c r="AF153" s="142"/>
      <c r="AG153" s="142"/>
      <c r="AH153" s="142"/>
      <c r="AI153" s="142"/>
      <c r="AJ153" s="154"/>
      <c r="AK153" s="118"/>
      <c r="AL153" s="118"/>
      <c r="AM153" s="118"/>
      <c r="AN153" s="118"/>
      <c r="AO153" s="118"/>
      <c r="AP153" s="118"/>
      <c r="AQ153" s="121"/>
      <c r="AR153" s="121"/>
      <c r="AS153" s="121"/>
      <c r="AT153" s="121"/>
      <c r="AU153" s="121"/>
      <c r="AV153" s="121"/>
      <c r="AW153" s="121"/>
      <c r="AX153" s="121"/>
      <c r="AY153" s="121"/>
      <c r="AZ153" s="121"/>
      <c r="BA153" s="121"/>
      <c r="BB153" s="121"/>
      <c r="BC153" s="121"/>
      <c r="BD153" s="121"/>
      <c r="BE153" s="121"/>
      <c r="BF153" s="121"/>
      <c r="BG153" s="121"/>
      <c r="BH153" s="121"/>
    </row>
    <row r="154" spans="1:60" ht="15" customHeight="1">
      <c r="A154" s="118"/>
      <c r="B154" s="165"/>
      <c r="C154" s="166"/>
      <c r="D154" s="167"/>
      <c r="E154" s="167"/>
      <c r="F154" s="167"/>
      <c r="G154" s="167"/>
      <c r="H154" s="168" t="str">
        <f t="shared" si="25"/>
        <v/>
      </c>
      <c r="I154" s="168"/>
      <c r="J154" s="131"/>
      <c r="K154" s="167"/>
      <c r="L154" s="167"/>
      <c r="M154" s="167"/>
      <c r="N154" s="167"/>
      <c r="O154" s="167"/>
      <c r="P154" s="136" t="str">
        <f t="shared" si="23"/>
        <v>_Inspection Log.xlsm</v>
      </c>
      <c r="Q154" s="140" t="str">
        <f t="shared" si="24"/>
        <v>C:\Users\sabi_\OneDrive\Desktop\New folder\Coding logs\_Inspection Log.xlsm</v>
      </c>
      <c r="R154" s="141">
        <f t="array" ref="R154">SUM(IF($J$30:$J$194=IF(J154="","Blank",J154),1,0))</f>
        <v>0</v>
      </c>
      <c r="S154" s="141">
        <f t="shared" si="15"/>
        <v>0</v>
      </c>
      <c r="T154" s="141" t="str">
        <f t="shared" si="16"/>
        <v/>
      </c>
      <c r="U154" s="142">
        <f t="shared" si="17"/>
        <v>0</v>
      </c>
      <c r="V154" s="142">
        <f t="shared" si="18"/>
        <v>0</v>
      </c>
      <c r="W154" s="142">
        <f t="array" ref="W154">SUM(IF(LEN(J152:J316)&lt;=3,0,1))</f>
        <v>0</v>
      </c>
      <c r="X154" s="141" t="str">
        <f t="shared" si="19"/>
        <v>_Inspection Log</v>
      </c>
      <c r="Y154" s="142">
        <f t="shared" si="20"/>
        <v>0</v>
      </c>
      <c r="Z154" s="142" t="str">
        <f t="shared" si="21"/>
        <v/>
      </c>
      <c r="AA154" s="142">
        <f t="shared" si="22"/>
        <v>0</v>
      </c>
      <c r="AB154" s="142"/>
      <c r="AC154" s="142"/>
      <c r="AD154" s="142"/>
      <c r="AE154" s="142"/>
      <c r="AF154" s="142"/>
      <c r="AG154" s="142"/>
      <c r="AH154" s="142"/>
      <c r="AI154" s="142"/>
      <c r="AJ154" s="154"/>
      <c r="AK154" s="118"/>
      <c r="AL154" s="118"/>
      <c r="AM154" s="118"/>
      <c r="AN154" s="118"/>
      <c r="AO154" s="118"/>
      <c r="AP154" s="118"/>
      <c r="AQ154" s="121"/>
      <c r="AR154" s="121"/>
      <c r="AS154" s="121"/>
      <c r="AT154" s="121"/>
      <c r="AU154" s="121"/>
      <c r="AV154" s="121"/>
      <c r="AW154" s="121"/>
      <c r="AX154" s="121"/>
      <c r="AY154" s="121"/>
      <c r="AZ154" s="121"/>
      <c r="BA154" s="121"/>
      <c r="BB154" s="121"/>
      <c r="BC154" s="121"/>
      <c r="BD154" s="121"/>
      <c r="BE154" s="121"/>
      <c r="BF154" s="121"/>
      <c r="BG154" s="121"/>
      <c r="BH154" s="121"/>
    </row>
    <row r="155" spans="1:60" ht="15" customHeight="1">
      <c r="A155" s="118"/>
      <c r="B155" s="165"/>
      <c r="C155" s="166"/>
      <c r="D155" s="167"/>
      <c r="E155" s="167"/>
      <c r="F155" s="167"/>
      <c r="G155" s="167"/>
      <c r="H155" s="168" t="str">
        <f t="shared" si="25"/>
        <v/>
      </c>
      <c r="I155" s="168"/>
      <c r="J155" s="131"/>
      <c r="K155" s="167"/>
      <c r="L155" s="167"/>
      <c r="M155" s="167"/>
      <c r="N155" s="167"/>
      <c r="O155" s="167"/>
      <c r="P155" s="136" t="str">
        <f t="shared" si="23"/>
        <v>_Inspection Log.xlsm</v>
      </c>
      <c r="Q155" s="140" t="str">
        <f t="shared" si="24"/>
        <v>C:\Users\sabi_\OneDrive\Desktop\New folder\Coding logs\_Inspection Log.xlsm</v>
      </c>
      <c r="R155" s="141">
        <f t="array" ref="R155">SUM(IF($J$30:$J$194=IF(J155="","Blank",J155),1,0))</f>
        <v>0</v>
      </c>
      <c r="S155" s="141">
        <f t="shared" si="15"/>
        <v>0</v>
      </c>
      <c r="T155" s="141" t="str">
        <f t="shared" si="16"/>
        <v/>
      </c>
      <c r="U155" s="142">
        <f t="shared" si="17"/>
        <v>0</v>
      </c>
      <c r="V155" s="142">
        <f t="shared" si="18"/>
        <v>0</v>
      </c>
      <c r="W155" s="142">
        <f t="array" ref="W155">SUM(IF(LEN(J153:J317)&lt;=3,0,1))</f>
        <v>0</v>
      </c>
      <c r="X155" s="141" t="str">
        <f t="shared" si="19"/>
        <v>_Inspection Log</v>
      </c>
      <c r="Y155" s="142">
        <f t="shared" si="20"/>
        <v>0</v>
      </c>
      <c r="Z155" s="142" t="str">
        <f t="shared" si="21"/>
        <v/>
      </c>
      <c r="AA155" s="142">
        <f t="shared" si="22"/>
        <v>0</v>
      </c>
      <c r="AB155" s="142"/>
      <c r="AC155" s="142"/>
      <c r="AD155" s="142"/>
      <c r="AE155" s="142"/>
      <c r="AF155" s="142"/>
      <c r="AG155" s="142"/>
      <c r="AH155" s="142"/>
      <c r="AI155" s="142"/>
      <c r="AJ155" s="154"/>
      <c r="AK155" s="118"/>
      <c r="AL155" s="118"/>
      <c r="AM155" s="118"/>
      <c r="AN155" s="118"/>
      <c r="AO155" s="118"/>
      <c r="AP155" s="118"/>
      <c r="AQ155" s="121"/>
      <c r="AR155" s="121"/>
      <c r="AS155" s="121"/>
      <c r="AT155" s="121"/>
      <c r="AU155" s="121"/>
      <c r="AV155" s="121"/>
      <c r="AW155" s="121"/>
      <c r="AX155" s="121"/>
      <c r="AY155" s="121"/>
      <c r="AZ155" s="121"/>
      <c r="BA155" s="121"/>
      <c r="BB155" s="121"/>
      <c r="BC155" s="121"/>
      <c r="BD155" s="121"/>
      <c r="BE155" s="121"/>
      <c r="BF155" s="121"/>
      <c r="BG155" s="121"/>
      <c r="BH155" s="121"/>
    </row>
    <row r="156" spans="1:60" ht="15" customHeight="1">
      <c r="A156" s="118"/>
      <c r="B156" s="165"/>
      <c r="C156" s="166"/>
      <c r="D156" s="167"/>
      <c r="E156" s="167"/>
      <c r="F156" s="167"/>
      <c r="G156" s="167"/>
      <c r="H156" s="168" t="str">
        <f t="shared" si="25"/>
        <v/>
      </c>
      <c r="I156" s="168"/>
      <c r="J156" s="131"/>
      <c r="K156" s="167"/>
      <c r="L156" s="167"/>
      <c r="M156" s="167"/>
      <c r="N156" s="167"/>
      <c r="O156" s="167"/>
      <c r="P156" s="136" t="str">
        <f t="shared" si="23"/>
        <v>_Inspection Log.xlsm</v>
      </c>
      <c r="Q156" s="140" t="str">
        <f t="shared" si="24"/>
        <v>C:\Users\sabi_\OneDrive\Desktop\New folder\Coding logs\_Inspection Log.xlsm</v>
      </c>
      <c r="R156" s="141">
        <f t="array" ref="R156">SUM(IF($J$30:$J$194=IF(J156="","Blank",J156),1,0))</f>
        <v>0</v>
      </c>
      <c r="S156" s="141">
        <f t="shared" si="15"/>
        <v>0</v>
      </c>
      <c r="T156" s="141" t="str">
        <f t="shared" si="16"/>
        <v/>
      </c>
      <c r="U156" s="142">
        <f t="shared" si="17"/>
        <v>0</v>
      </c>
      <c r="V156" s="142">
        <f t="shared" si="18"/>
        <v>0</v>
      </c>
      <c r="W156" s="142">
        <f t="array" ref="W156">SUM(IF(LEN(J154:J318)&lt;=3,0,1))</f>
        <v>0</v>
      </c>
      <c r="X156" s="141" t="str">
        <f t="shared" si="19"/>
        <v>_Inspection Log</v>
      </c>
      <c r="Y156" s="142">
        <f t="shared" si="20"/>
        <v>0</v>
      </c>
      <c r="Z156" s="142" t="str">
        <f t="shared" si="21"/>
        <v/>
      </c>
      <c r="AA156" s="142">
        <f t="shared" si="22"/>
        <v>0</v>
      </c>
      <c r="AB156" s="142"/>
      <c r="AC156" s="142"/>
      <c r="AD156" s="142"/>
      <c r="AE156" s="142"/>
      <c r="AF156" s="142"/>
      <c r="AG156" s="142"/>
      <c r="AH156" s="142"/>
      <c r="AI156" s="142"/>
      <c r="AJ156" s="154"/>
      <c r="AK156" s="118"/>
      <c r="AL156" s="118"/>
      <c r="AM156" s="118"/>
      <c r="AN156" s="118"/>
      <c r="AO156" s="118"/>
      <c r="AP156" s="118"/>
      <c r="AQ156" s="121"/>
      <c r="AR156" s="121"/>
      <c r="AS156" s="121"/>
      <c r="AT156" s="121"/>
      <c r="AU156" s="121"/>
      <c r="AV156" s="121"/>
      <c r="AW156" s="121"/>
      <c r="AX156" s="121"/>
      <c r="AY156" s="121"/>
      <c r="AZ156" s="121"/>
      <c r="BA156" s="121"/>
      <c r="BB156" s="121"/>
      <c r="BC156" s="121"/>
      <c r="BD156" s="121"/>
      <c r="BE156" s="121"/>
      <c r="BF156" s="121"/>
      <c r="BG156" s="121"/>
      <c r="BH156" s="121"/>
    </row>
    <row r="157" spans="1:60" ht="15" customHeight="1">
      <c r="A157" s="118"/>
      <c r="B157" s="165"/>
      <c r="C157" s="166"/>
      <c r="D157" s="167"/>
      <c r="E157" s="167"/>
      <c r="F157" s="167"/>
      <c r="G157" s="167"/>
      <c r="H157" s="168" t="str">
        <f t="shared" si="25"/>
        <v/>
      </c>
      <c r="I157" s="168"/>
      <c r="J157" s="131"/>
      <c r="K157" s="167"/>
      <c r="L157" s="167"/>
      <c r="M157" s="167"/>
      <c r="N157" s="167"/>
      <c r="O157" s="167"/>
      <c r="P157" s="136" t="str">
        <f t="shared" si="23"/>
        <v>_Inspection Log.xlsm</v>
      </c>
      <c r="Q157" s="140" t="str">
        <f t="shared" si="24"/>
        <v>C:\Users\sabi_\OneDrive\Desktop\New folder\Coding logs\_Inspection Log.xlsm</v>
      </c>
      <c r="R157" s="141">
        <f t="array" ref="R157">SUM(IF($J$30:$J$194=IF(J157="","Blank",J157),1,0))</f>
        <v>0</v>
      </c>
      <c r="S157" s="141">
        <f t="shared" si="15"/>
        <v>0</v>
      </c>
      <c r="T157" s="141" t="str">
        <f t="shared" si="16"/>
        <v/>
      </c>
      <c r="U157" s="142">
        <f t="shared" si="17"/>
        <v>0</v>
      </c>
      <c r="V157" s="142">
        <f t="shared" si="18"/>
        <v>0</v>
      </c>
      <c r="W157" s="142">
        <f t="array" ref="W157">SUM(IF(LEN(J155:J319)&lt;=3,0,1))</f>
        <v>0</v>
      </c>
      <c r="X157" s="141" t="str">
        <f t="shared" si="19"/>
        <v>_Inspection Log</v>
      </c>
      <c r="Y157" s="142">
        <f t="shared" si="20"/>
        <v>0</v>
      </c>
      <c r="Z157" s="142" t="str">
        <f t="shared" si="21"/>
        <v/>
      </c>
      <c r="AA157" s="142">
        <f t="shared" si="22"/>
        <v>0</v>
      </c>
      <c r="AB157" s="142"/>
      <c r="AC157" s="142"/>
      <c r="AD157" s="142"/>
      <c r="AE157" s="142"/>
      <c r="AF157" s="142"/>
      <c r="AG157" s="142"/>
      <c r="AH157" s="142"/>
      <c r="AI157" s="142"/>
      <c r="AJ157" s="154"/>
      <c r="AK157" s="118"/>
      <c r="AL157" s="118"/>
      <c r="AM157" s="118"/>
      <c r="AN157" s="118"/>
      <c r="AO157" s="118"/>
      <c r="AP157" s="118"/>
      <c r="AQ157" s="121"/>
      <c r="AR157" s="121"/>
      <c r="AS157" s="121"/>
      <c r="AT157" s="121"/>
      <c r="AU157" s="121"/>
      <c r="AV157" s="121"/>
      <c r="AW157" s="121"/>
      <c r="AX157" s="121"/>
      <c r="AY157" s="121"/>
      <c r="AZ157" s="121"/>
      <c r="BA157" s="121"/>
      <c r="BB157" s="121"/>
      <c r="BC157" s="121"/>
      <c r="BD157" s="121"/>
      <c r="BE157" s="121"/>
      <c r="BF157" s="121"/>
      <c r="BG157" s="121"/>
      <c r="BH157" s="121"/>
    </row>
    <row r="158" spans="1:60" ht="15" customHeight="1">
      <c r="A158" s="118"/>
      <c r="B158" s="165"/>
      <c r="C158" s="166"/>
      <c r="D158" s="167"/>
      <c r="E158" s="167"/>
      <c r="F158" s="167"/>
      <c r="G158" s="167"/>
      <c r="H158" s="168" t="str">
        <f t="shared" si="25"/>
        <v/>
      </c>
      <c r="I158" s="168"/>
      <c r="J158" s="131"/>
      <c r="K158" s="167"/>
      <c r="L158" s="167"/>
      <c r="M158" s="167"/>
      <c r="N158" s="167"/>
      <c r="O158" s="167"/>
      <c r="P158" s="136" t="str">
        <f t="shared" si="23"/>
        <v>_Inspection Log.xlsm</v>
      </c>
      <c r="Q158" s="140" t="str">
        <f t="shared" si="24"/>
        <v>C:\Users\sabi_\OneDrive\Desktop\New folder\Coding logs\_Inspection Log.xlsm</v>
      </c>
      <c r="R158" s="141">
        <f t="array" ref="R158">SUM(IF($J$30:$J$194=IF(J158="","Blank",J158),1,0))</f>
        <v>0</v>
      </c>
      <c r="S158" s="141">
        <f t="shared" ref="S158:S194" si="26">(R158&gt;0)*1</f>
        <v>0</v>
      </c>
      <c r="T158" s="141" t="str">
        <f t="shared" ref="T158:T194" si="27">TRIM(D158&amp;" "&amp;F158)</f>
        <v/>
      </c>
      <c r="U158" s="142">
        <f t="shared" ref="U158:U194" si="28">SUM(IF($X$30:$X$194=IF(X158="_Inspection Log","",X158),1,0))</f>
        <v>0</v>
      </c>
      <c r="V158" s="142">
        <f t="shared" ref="V158:V194" si="29">(U158&gt;0)*1</f>
        <v>0</v>
      </c>
      <c r="W158" s="142">
        <f t="array" ref="W158">SUM(IF(LEN(J156:J320)&lt;=3,0,1))</f>
        <v>0</v>
      </c>
      <c r="X158" s="141" t="str">
        <f t="shared" ref="X158:X194" si="30">H158&amp;"_Inspection Log"</f>
        <v>_Inspection Log</v>
      </c>
      <c r="Y158" s="142">
        <f t="shared" ref="Y158:Y194" si="31">IF(B158=$Q$6,"MOD",0)</f>
        <v>0</v>
      </c>
      <c r="Z158" s="142" t="str">
        <f t="shared" ref="Z158:Z194" si="32">T158</f>
        <v/>
      </c>
      <c r="AA158" s="142">
        <f t="shared" ref="AA158:AA194" si="33">IF(B158=$Q$7,"Ins",0)</f>
        <v>0</v>
      </c>
      <c r="AB158" s="142"/>
      <c r="AC158" s="142"/>
      <c r="AD158" s="142"/>
      <c r="AE158" s="142"/>
      <c r="AF158" s="142"/>
      <c r="AG158" s="142"/>
      <c r="AH158" s="142"/>
      <c r="AI158" s="142"/>
      <c r="AJ158" s="154"/>
      <c r="AK158" s="118"/>
      <c r="AL158" s="118"/>
      <c r="AM158" s="118"/>
      <c r="AN158" s="118"/>
      <c r="AO158" s="118"/>
      <c r="AP158" s="118"/>
      <c r="AQ158" s="121"/>
      <c r="AR158" s="121"/>
      <c r="AS158" s="121"/>
      <c r="AT158" s="121"/>
      <c r="AU158" s="121"/>
      <c r="AV158" s="121"/>
      <c r="AW158" s="121"/>
      <c r="AX158" s="121"/>
      <c r="AY158" s="121"/>
      <c r="AZ158" s="121"/>
      <c r="BA158" s="121"/>
      <c r="BB158" s="121"/>
      <c r="BC158" s="121"/>
      <c r="BD158" s="121"/>
      <c r="BE158" s="121"/>
      <c r="BF158" s="121"/>
      <c r="BG158" s="121"/>
      <c r="BH158" s="121"/>
    </row>
    <row r="159" spans="1:60" ht="15" customHeight="1">
      <c r="A159" s="118"/>
      <c r="B159" s="165"/>
      <c r="C159" s="166"/>
      <c r="D159" s="167"/>
      <c r="E159" s="167"/>
      <c r="F159" s="167"/>
      <c r="G159" s="167"/>
      <c r="H159" s="168" t="str">
        <f t="shared" si="25"/>
        <v/>
      </c>
      <c r="I159" s="168"/>
      <c r="J159" s="131"/>
      <c r="K159" s="167"/>
      <c r="L159" s="167"/>
      <c r="M159" s="167"/>
      <c r="N159" s="167"/>
      <c r="O159" s="167"/>
      <c r="P159" s="136" t="str">
        <f t="shared" ref="P159:P194" si="34">H159&amp;"_Inspection Log.xlsm"</f>
        <v>_Inspection Log.xlsm</v>
      </c>
      <c r="Q159" s="140" t="str">
        <f t="shared" ref="Q159:Q194" si="35">$F$22&amp;H159&amp;"_Inspection Log.xlsm"</f>
        <v>C:\Users\sabi_\OneDrive\Desktop\New folder\Coding logs\_Inspection Log.xlsm</v>
      </c>
      <c r="R159" s="141">
        <f t="array" ref="R159">SUM(IF($J$30:$J$194=IF(J159="","Blank",J159),1,0))</f>
        <v>0</v>
      </c>
      <c r="S159" s="141">
        <f t="shared" si="26"/>
        <v>0</v>
      </c>
      <c r="T159" s="141" t="str">
        <f t="shared" si="27"/>
        <v/>
      </c>
      <c r="U159" s="142">
        <f t="shared" si="28"/>
        <v>0</v>
      </c>
      <c r="V159" s="142">
        <f t="shared" si="29"/>
        <v>0</v>
      </c>
      <c r="W159" s="142">
        <f t="array" ref="W159">SUM(IF(LEN(J157:J321)&lt;=3,0,1))</f>
        <v>0</v>
      </c>
      <c r="X159" s="141" t="str">
        <f t="shared" si="30"/>
        <v>_Inspection Log</v>
      </c>
      <c r="Y159" s="142">
        <f t="shared" si="31"/>
        <v>0</v>
      </c>
      <c r="Z159" s="142" t="str">
        <f t="shared" si="32"/>
        <v/>
      </c>
      <c r="AA159" s="142">
        <f t="shared" si="33"/>
        <v>0</v>
      </c>
      <c r="AB159" s="142"/>
      <c r="AC159" s="142"/>
      <c r="AD159" s="142"/>
      <c r="AE159" s="142"/>
      <c r="AF159" s="142"/>
      <c r="AG159" s="142"/>
      <c r="AH159" s="142"/>
      <c r="AI159" s="142"/>
      <c r="AJ159" s="154"/>
      <c r="AK159" s="118"/>
      <c r="AL159" s="118"/>
      <c r="AM159" s="118"/>
      <c r="AN159" s="118"/>
      <c r="AO159" s="118"/>
      <c r="AP159" s="118"/>
      <c r="AQ159" s="121"/>
      <c r="AR159" s="121"/>
      <c r="AS159" s="121"/>
      <c r="AT159" s="121"/>
      <c r="AU159" s="121"/>
      <c r="AV159" s="121"/>
      <c r="AW159" s="121"/>
      <c r="AX159" s="121"/>
      <c r="AY159" s="121"/>
      <c r="AZ159" s="121"/>
      <c r="BA159" s="121"/>
      <c r="BB159" s="121"/>
      <c r="BC159" s="121"/>
      <c r="BD159" s="121"/>
      <c r="BE159" s="121"/>
      <c r="BF159" s="121"/>
      <c r="BG159" s="121"/>
      <c r="BH159" s="121"/>
    </row>
    <row r="160" spans="1:60" ht="15" customHeight="1">
      <c r="A160" s="118"/>
      <c r="B160" s="165"/>
      <c r="C160" s="166"/>
      <c r="D160" s="167"/>
      <c r="E160" s="167"/>
      <c r="F160" s="167"/>
      <c r="G160" s="167"/>
      <c r="H160" s="168" t="str">
        <f t="shared" si="25"/>
        <v/>
      </c>
      <c r="I160" s="168"/>
      <c r="J160" s="131"/>
      <c r="K160" s="167"/>
      <c r="L160" s="167"/>
      <c r="M160" s="167"/>
      <c r="N160" s="167"/>
      <c r="O160" s="167"/>
      <c r="P160" s="136" t="str">
        <f t="shared" si="34"/>
        <v>_Inspection Log.xlsm</v>
      </c>
      <c r="Q160" s="140" t="str">
        <f t="shared" si="35"/>
        <v>C:\Users\sabi_\OneDrive\Desktop\New folder\Coding logs\_Inspection Log.xlsm</v>
      </c>
      <c r="R160" s="141">
        <f t="array" ref="R160">SUM(IF($J$30:$J$194=IF(J160="","Blank",J160),1,0))</f>
        <v>0</v>
      </c>
      <c r="S160" s="141">
        <f t="shared" si="26"/>
        <v>0</v>
      </c>
      <c r="T160" s="141" t="str">
        <f t="shared" si="27"/>
        <v/>
      </c>
      <c r="U160" s="142">
        <f t="shared" si="28"/>
        <v>0</v>
      </c>
      <c r="V160" s="142">
        <f t="shared" si="29"/>
        <v>0</v>
      </c>
      <c r="W160" s="142">
        <f t="array" ref="W160">SUM(IF(LEN(J158:J322)&lt;=3,0,1))</f>
        <v>0</v>
      </c>
      <c r="X160" s="141" t="str">
        <f t="shared" si="30"/>
        <v>_Inspection Log</v>
      </c>
      <c r="Y160" s="142">
        <f t="shared" si="31"/>
        <v>0</v>
      </c>
      <c r="Z160" s="142" t="str">
        <f t="shared" si="32"/>
        <v/>
      </c>
      <c r="AA160" s="142">
        <f t="shared" si="33"/>
        <v>0</v>
      </c>
      <c r="AB160" s="142"/>
      <c r="AC160" s="142"/>
      <c r="AD160" s="142"/>
      <c r="AE160" s="142"/>
      <c r="AF160" s="142"/>
      <c r="AG160" s="142"/>
      <c r="AH160" s="142"/>
      <c r="AI160" s="142"/>
      <c r="AJ160" s="154"/>
      <c r="AK160" s="118"/>
      <c r="AL160" s="118"/>
      <c r="AM160" s="118"/>
      <c r="AN160" s="118"/>
      <c r="AO160" s="118"/>
      <c r="AP160" s="118"/>
      <c r="AQ160" s="121"/>
      <c r="AR160" s="121"/>
      <c r="AS160" s="121"/>
      <c r="AT160" s="121"/>
      <c r="AU160" s="121"/>
      <c r="AV160" s="121"/>
      <c r="AW160" s="121"/>
      <c r="AX160" s="121"/>
      <c r="AY160" s="121"/>
      <c r="AZ160" s="121"/>
      <c r="BA160" s="121"/>
      <c r="BB160" s="121"/>
      <c r="BC160" s="121"/>
      <c r="BD160" s="121"/>
      <c r="BE160" s="121"/>
      <c r="BF160" s="121"/>
      <c r="BG160" s="121"/>
      <c r="BH160" s="121"/>
    </row>
    <row r="161" spans="1:60" ht="15" customHeight="1">
      <c r="A161" s="118"/>
      <c r="B161" s="165"/>
      <c r="C161" s="166"/>
      <c r="D161" s="167"/>
      <c r="E161" s="167"/>
      <c r="F161" s="167"/>
      <c r="G161" s="167"/>
      <c r="H161" s="168" t="str">
        <f t="shared" si="25"/>
        <v/>
      </c>
      <c r="I161" s="168"/>
      <c r="J161" s="131"/>
      <c r="K161" s="167"/>
      <c r="L161" s="167"/>
      <c r="M161" s="167"/>
      <c r="N161" s="167"/>
      <c r="O161" s="167"/>
      <c r="P161" s="136" t="str">
        <f t="shared" si="34"/>
        <v>_Inspection Log.xlsm</v>
      </c>
      <c r="Q161" s="140" t="str">
        <f t="shared" si="35"/>
        <v>C:\Users\sabi_\OneDrive\Desktop\New folder\Coding logs\_Inspection Log.xlsm</v>
      </c>
      <c r="R161" s="141">
        <f t="array" ref="R161">SUM(IF($J$30:$J$194=IF(J161="","Blank",J161),1,0))</f>
        <v>0</v>
      </c>
      <c r="S161" s="141">
        <f t="shared" si="26"/>
        <v>0</v>
      </c>
      <c r="T161" s="141" t="str">
        <f t="shared" si="27"/>
        <v/>
      </c>
      <c r="U161" s="142">
        <f t="shared" si="28"/>
        <v>0</v>
      </c>
      <c r="V161" s="142">
        <f t="shared" si="29"/>
        <v>0</v>
      </c>
      <c r="W161" s="142">
        <f t="array" ref="W161">SUM(IF(LEN(J159:J323)&lt;=3,0,1))</f>
        <v>0</v>
      </c>
      <c r="X161" s="141" t="str">
        <f t="shared" si="30"/>
        <v>_Inspection Log</v>
      </c>
      <c r="Y161" s="142">
        <f t="shared" si="31"/>
        <v>0</v>
      </c>
      <c r="Z161" s="142" t="str">
        <f t="shared" si="32"/>
        <v/>
      </c>
      <c r="AA161" s="142">
        <f t="shared" si="33"/>
        <v>0</v>
      </c>
      <c r="AB161" s="142"/>
      <c r="AC161" s="142"/>
      <c r="AD161" s="142"/>
      <c r="AE161" s="142"/>
      <c r="AF161" s="142"/>
      <c r="AG161" s="142"/>
      <c r="AH161" s="142"/>
      <c r="AI161" s="142"/>
      <c r="AJ161" s="154"/>
      <c r="AK161" s="118"/>
      <c r="AL161" s="118"/>
      <c r="AM161" s="118"/>
      <c r="AN161" s="118"/>
      <c r="AO161" s="118"/>
      <c r="AP161" s="118"/>
      <c r="AQ161" s="121"/>
      <c r="AR161" s="121"/>
      <c r="AS161" s="121"/>
      <c r="AT161" s="121"/>
      <c r="AU161" s="121"/>
      <c r="AV161" s="121"/>
      <c r="AW161" s="121"/>
      <c r="AX161" s="121"/>
      <c r="AY161" s="121"/>
      <c r="AZ161" s="121"/>
      <c r="BA161" s="121"/>
      <c r="BB161" s="121"/>
      <c r="BC161" s="121"/>
      <c r="BD161" s="121"/>
      <c r="BE161" s="121"/>
      <c r="BF161" s="121"/>
      <c r="BG161" s="121"/>
      <c r="BH161" s="121"/>
    </row>
    <row r="162" spans="1:60" ht="15" customHeight="1">
      <c r="A162" s="118"/>
      <c r="B162" s="165"/>
      <c r="C162" s="166"/>
      <c r="D162" s="167"/>
      <c r="E162" s="167"/>
      <c r="F162" s="167"/>
      <c r="G162" s="167"/>
      <c r="H162" s="168" t="str">
        <f t="shared" si="25"/>
        <v/>
      </c>
      <c r="I162" s="168"/>
      <c r="J162" s="131"/>
      <c r="K162" s="167"/>
      <c r="L162" s="167"/>
      <c r="M162" s="167"/>
      <c r="N162" s="167"/>
      <c r="O162" s="167"/>
      <c r="P162" s="136" t="str">
        <f t="shared" si="34"/>
        <v>_Inspection Log.xlsm</v>
      </c>
      <c r="Q162" s="140" t="str">
        <f t="shared" si="35"/>
        <v>C:\Users\sabi_\OneDrive\Desktop\New folder\Coding logs\_Inspection Log.xlsm</v>
      </c>
      <c r="R162" s="141">
        <f t="array" ref="R162">SUM(IF($J$30:$J$194=IF(J162="","Blank",J162),1,0))</f>
        <v>0</v>
      </c>
      <c r="S162" s="141">
        <f t="shared" si="26"/>
        <v>0</v>
      </c>
      <c r="T162" s="141" t="str">
        <f t="shared" si="27"/>
        <v/>
      </c>
      <c r="U162" s="142">
        <f t="shared" si="28"/>
        <v>0</v>
      </c>
      <c r="V162" s="142">
        <f t="shared" si="29"/>
        <v>0</v>
      </c>
      <c r="W162" s="142">
        <f t="array" ref="W162">SUM(IF(LEN(J160:J324)&lt;=3,0,1))</f>
        <v>0</v>
      </c>
      <c r="X162" s="141" t="str">
        <f t="shared" si="30"/>
        <v>_Inspection Log</v>
      </c>
      <c r="Y162" s="142">
        <f t="shared" si="31"/>
        <v>0</v>
      </c>
      <c r="Z162" s="142" t="str">
        <f t="shared" si="32"/>
        <v/>
      </c>
      <c r="AA162" s="142">
        <f t="shared" si="33"/>
        <v>0</v>
      </c>
      <c r="AB162" s="142"/>
      <c r="AC162" s="142"/>
      <c r="AD162" s="142"/>
      <c r="AE162" s="142"/>
      <c r="AF162" s="142"/>
      <c r="AG162" s="142"/>
      <c r="AH162" s="142"/>
      <c r="AI162" s="142"/>
      <c r="AJ162" s="154"/>
      <c r="AK162" s="118"/>
      <c r="AL162" s="118"/>
      <c r="AM162" s="118"/>
      <c r="AN162" s="118"/>
      <c r="AO162" s="118"/>
      <c r="AP162" s="118"/>
      <c r="AQ162" s="121"/>
      <c r="AR162" s="121"/>
      <c r="AS162" s="121"/>
      <c r="AT162" s="121"/>
      <c r="AU162" s="121"/>
      <c r="AV162" s="121"/>
      <c r="AW162" s="121"/>
      <c r="AX162" s="121"/>
      <c r="AY162" s="121"/>
      <c r="AZ162" s="121"/>
      <c r="BA162" s="121"/>
      <c r="BB162" s="121"/>
      <c r="BC162" s="121"/>
      <c r="BD162" s="121"/>
      <c r="BE162" s="121"/>
      <c r="BF162" s="121"/>
      <c r="BG162" s="121"/>
      <c r="BH162" s="121"/>
    </row>
    <row r="163" spans="1:60" ht="15" customHeight="1">
      <c r="A163" s="118"/>
      <c r="B163" s="165"/>
      <c r="C163" s="166"/>
      <c r="D163" s="167"/>
      <c r="E163" s="167"/>
      <c r="F163" s="167"/>
      <c r="G163" s="167"/>
      <c r="H163" s="168" t="str">
        <f t="shared" si="25"/>
        <v/>
      </c>
      <c r="I163" s="168"/>
      <c r="J163" s="131"/>
      <c r="K163" s="167"/>
      <c r="L163" s="167"/>
      <c r="M163" s="167"/>
      <c r="N163" s="167"/>
      <c r="O163" s="167"/>
      <c r="P163" s="136" t="str">
        <f t="shared" si="34"/>
        <v>_Inspection Log.xlsm</v>
      </c>
      <c r="Q163" s="140" t="str">
        <f t="shared" si="35"/>
        <v>C:\Users\sabi_\OneDrive\Desktop\New folder\Coding logs\_Inspection Log.xlsm</v>
      </c>
      <c r="R163" s="141">
        <f t="array" ref="R163">SUM(IF($J$30:$J$194=IF(J163="","Blank",J163),1,0))</f>
        <v>0</v>
      </c>
      <c r="S163" s="141">
        <f t="shared" si="26"/>
        <v>0</v>
      </c>
      <c r="T163" s="141" t="str">
        <f t="shared" si="27"/>
        <v/>
      </c>
      <c r="U163" s="142">
        <f t="shared" si="28"/>
        <v>0</v>
      </c>
      <c r="V163" s="142">
        <f t="shared" si="29"/>
        <v>0</v>
      </c>
      <c r="W163" s="142">
        <f t="array" ref="W163">SUM(IF(LEN(J161:J325)&lt;=3,0,1))</f>
        <v>0</v>
      </c>
      <c r="X163" s="141" t="str">
        <f t="shared" si="30"/>
        <v>_Inspection Log</v>
      </c>
      <c r="Y163" s="142">
        <f t="shared" si="31"/>
        <v>0</v>
      </c>
      <c r="Z163" s="142" t="str">
        <f t="shared" si="32"/>
        <v/>
      </c>
      <c r="AA163" s="142">
        <f t="shared" si="33"/>
        <v>0</v>
      </c>
      <c r="AB163" s="142"/>
      <c r="AC163" s="142"/>
      <c r="AD163" s="142"/>
      <c r="AE163" s="142"/>
      <c r="AF163" s="142"/>
      <c r="AG163" s="142"/>
      <c r="AH163" s="142"/>
      <c r="AI163" s="142"/>
      <c r="AJ163" s="154"/>
      <c r="AK163" s="118"/>
      <c r="AL163" s="118"/>
      <c r="AM163" s="118"/>
      <c r="AN163" s="118"/>
      <c r="AO163" s="118"/>
      <c r="AP163" s="118"/>
      <c r="AQ163" s="121"/>
      <c r="AR163" s="121"/>
      <c r="AS163" s="121"/>
      <c r="AT163" s="121"/>
      <c r="AU163" s="121"/>
      <c r="AV163" s="121"/>
      <c r="AW163" s="121"/>
      <c r="AX163" s="121"/>
      <c r="AY163" s="121"/>
      <c r="AZ163" s="121"/>
      <c r="BA163" s="121"/>
      <c r="BB163" s="121"/>
      <c r="BC163" s="121"/>
      <c r="BD163" s="121"/>
      <c r="BE163" s="121"/>
      <c r="BF163" s="121"/>
      <c r="BG163" s="121"/>
      <c r="BH163" s="121"/>
    </row>
    <row r="164" spans="1:60" ht="15" customHeight="1">
      <c r="A164" s="118"/>
      <c r="B164" s="165"/>
      <c r="C164" s="166"/>
      <c r="D164" s="167"/>
      <c r="E164" s="167"/>
      <c r="F164" s="167"/>
      <c r="G164" s="167"/>
      <c r="H164" s="168" t="str">
        <f t="shared" si="25"/>
        <v/>
      </c>
      <c r="I164" s="168"/>
      <c r="J164" s="131"/>
      <c r="K164" s="167"/>
      <c r="L164" s="167"/>
      <c r="M164" s="167"/>
      <c r="N164" s="167"/>
      <c r="O164" s="167"/>
      <c r="P164" s="136" t="str">
        <f t="shared" si="34"/>
        <v>_Inspection Log.xlsm</v>
      </c>
      <c r="Q164" s="140" t="str">
        <f t="shared" si="35"/>
        <v>C:\Users\sabi_\OneDrive\Desktop\New folder\Coding logs\_Inspection Log.xlsm</v>
      </c>
      <c r="R164" s="141">
        <f t="array" ref="R164">SUM(IF($J$30:$J$194=IF(J164="","Blank",J164),1,0))</f>
        <v>0</v>
      </c>
      <c r="S164" s="141">
        <f t="shared" si="26"/>
        <v>0</v>
      </c>
      <c r="T164" s="141" t="str">
        <f t="shared" si="27"/>
        <v/>
      </c>
      <c r="U164" s="142">
        <f t="shared" si="28"/>
        <v>0</v>
      </c>
      <c r="V164" s="142">
        <f t="shared" si="29"/>
        <v>0</v>
      </c>
      <c r="W164" s="142">
        <f t="array" ref="W164">SUM(IF(LEN(J162:J326)&lt;=3,0,1))</f>
        <v>0</v>
      </c>
      <c r="X164" s="141" t="str">
        <f t="shared" si="30"/>
        <v>_Inspection Log</v>
      </c>
      <c r="Y164" s="142">
        <f t="shared" si="31"/>
        <v>0</v>
      </c>
      <c r="Z164" s="142" t="str">
        <f t="shared" si="32"/>
        <v/>
      </c>
      <c r="AA164" s="142">
        <f t="shared" si="33"/>
        <v>0</v>
      </c>
      <c r="AB164" s="142"/>
      <c r="AC164" s="142"/>
      <c r="AD164" s="142"/>
      <c r="AE164" s="142"/>
      <c r="AF164" s="142"/>
      <c r="AG164" s="142"/>
      <c r="AH164" s="142"/>
      <c r="AI164" s="142"/>
      <c r="AJ164" s="154"/>
      <c r="AK164" s="118"/>
      <c r="AL164" s="118"/>
      <c r="AM164" s="118"/>
      <c r="AN164" s="118"/>
      <c r="AO164" s="118"/>
      <c r="AP164" s="118"/>
      <c r="AQ164" s="121"/>
      <c r="AR164" s="121"/>
      <c r="AS164" s="121"/>
      <c r="AT164" s="121"/>
      <c r="AU164" s="121"/>
      <c r="AV164" s="121"/>
      <c r="AW164" s="121"/>
      <c r="AX164" s="121"/>
      <c r="AY164" s="121"/>
      <c r="AZ164" s="121"/>
      <c r="BA164" s="121"/>
      <c r="BB164" s="121"/>
      <c r="BC164" s="121"/>
      <c r="BD164" s="121"/>
      <c r="BE164" s="121"/>
      <c r="BF164" s="121"/>
      <c r="BG164" s="121"/>
      <c r="BH164" s="121"/>
    </row>
    <row r="165" spans="1:60" ht="15" customHeight="1">
      <c r="A165" s="118"/>
      <c r="B165" s="165"/>
      <c r="C165" s="166"/>
      <c r="D165" s="167"/>
      <c r="E165" s="167"/>
      <c r="F165" s="167"/>
      <c r="G165" s="167"/>
      <c r="H165" s="168" t="str">
        <f t="shared" si="25"/>
        <v/>
      </c>
      <c r="I165" s="168"/>
      <c r="J165" s="131"/>
      <c r="K165" s="167"/>
      <c r="L165" s="167"/>
      <c r="M165" s="167"/>
      <c r="N165" s="167"/>
      <c r="O165" s="167"/>
      <c r="P165" s="136" t="str">
        <f t="shared" si="34"/>
        <v>_Inspection Log.xlsm</v>
      </c>
      <c r="Q165" s="140" t="str">
        <f t="shared" si="35"/>
        <v>C:\Users\sabi_\OneDrive\Desktop\New folder\Coding logs\_Inspection Log.xlsm</v>
      </c>
      <c r="R165" s="141">
        <f t="array" ref="R165">SUM(IF($J$30:$J$194=IF(J165="","Blank",J165),1,0))</f>
        <v>0</v>
      </c>
      <c r="S165" s="141">
        <f t="shared" si="26"/>
        <v>0</v>
      </c>
      <c r="T165" s="141" t="str">
        <f t="shared" si="27"/>
        <v/>
      </c>
      <c r="U165" s="142">
        <f t="shared" si="28"/>
        <v>0</v>
      </c>
      <c r="V165" s="142">
        <f t="shared" si="29"/>
        <v>0</v>
      </c>
      <c r="W165" s="142">
        <f t="array" ref="W165">SUM(IF(LEN(J163:J327)&lt;=3,0,1))</f>
        <v>0</v>
      </c>
      <c r="X165" s="141" t="str">
        <f t="shared" si="30"/>
        <v>_Inspection Log</v>
      </c>
      <c r="Y165" s="142">
        <f t="shared" si="31"/>
        <v>0</v>
      </c>
      <c r="Z165" s="142" t="str">
        <f t="shared" si="32"/>
        <v/>
      </c>
      <c r="AA165" s="142">
        <f t="shared" si="33"/>
        <v>0</v>
      </c>
      <c r="AB165" s="142"/>
      <c r="AC165" s="142"/>
      <c r="AD165" s="142"/>
      <c r="AE165" s="142"/>
      <c r="AF165" s="142"/>
      <c r="AG165" s="142"/>
      <c r="AH165" s="142"/>
      <c r="AI165" s="142"/>
      <c r="AJ165" s="154"/>
      <c r="AK165" s="118"/>
      <c r="AL165" s="118"/>
      <c r="AM165" s="118"/>
      <c r="AN165" s="118"/>
      <c r="AO165" s="118"/>
      <c r="AP165" s="118"/>
      <c r="AQ165" s="121"/>
      <c r="AR165" s="121"/>
      <c r="AS165" s="121"/>
      <c r="AT165" s="121"/>
      <c r="AU165" s="121"/>
      <c r="AV165" s="121"/>
      <c r="AW165" s="121"/>
      <c r="AX165" s="121"/>
      <c r="AY165" s="121"/>
      <c r="AZ165" s="121"/>
      <c r="BA165" s="121"/>
      <c r="BB165" s="121"/>
      <c r="BC165" s="121"/>
      <c r="BD165" s="121"/>
      <c r="BE165" s="121"/>
      <c r="BF165" s="121"/>
      <c r="BG165" s="121"/>
      <c r="BH165" s="121"/>
    </row>
    <row r="166" spans="1:60" ht="15" customHeight="1">
      <c r="A166" s="118"/>
      <c r="B166" s="165"/>
      <c r="C166" s="166"/>
      <c r="D166" s="167"/>
      <c r="E166" s="167"/>
      <c r="F166" s="167"/>
      <c r="G166" s="167"/>
      <c r="H166" s="168" t="str">
        <f t="shared" si="25"/>
        <v/>
      </c>
      <c r="I166" s="168"/>
      <c r="J166" s="131"/>
      <c r="K166" s="167"/>
      <c r="L166" s="167"/>
      <c r="M166" s="167"/>
      <c r="N166" s="167"/>
      <c r="O166" s="167"/>
      <c r="P166" s="136" t="str">
        <f t="shared" si="34"/>
        <v>_Inspection Log.xlsm</v>
      </c>
      <c r="Q166" s="140" t="str">
        <f t="shared" si="35"/>
        <v>C:\Users\sabi_\OneDrive\Desktop\New folder\Coding logs\_Inspection Log.xlsm</v>
      </c>
      <c r="R166" s="141">
        <f t="array" ref="R166">SUM(IF($J$30:$J$194=IF(J166="","Blank",J166),1,0))</f>
        <v>0</v>
      </c>
      <c r="S166" s="141">
        <f t="shared" si="26"/>
        <v>0</v>
      </c>
      <c r="T166" s="141" t="str">
        <f t="shared" si="27"/>
        <v/>
      </c>
      <c r="U166" s="142">
        <f t="shared" si="28"/>
        <v>0</v>
      </c>
      <c r="V166" s="142">
        <f t="shared" si="29"/>
        <v>0</v>
      </c>
      <c r="W166" s="142">
        <f t="array" ref="W166">SUM(IF(LEN(J164:J328)&lt;=3,0,1))</f>
        <v>0</v>
      </c>
      <c r="X166" s="141" t="str">
        <f t="shared" si="30"/>
        <v>_Inspection Log</v>
      </c>
      <c r="Y166" s="142">
        <f t="shared" si="31"/>
        <v>0</v>
      </c>
      <c r="Z166" s="142" t="str">
        <f t="shared" si="32"/>
        <v/>
      </c>
      <c r="AA166" s="142">
        <f t="shared" si="33"/>
        <v>0</v>
      </c>
      <c r="AB166" s="142"/>
      <c r="AC166" s="142"/>
      <c r="AD166" s="142"/>
      <c r="AE166" s="142"/>
      <c r="AF166" s="142"/>
      <c r="AG166" s="142"/>
      <c r="AH166" s="142"/>
      <c r="AI166" s="142"/>
      <c r="AJ166" s="154"/>
      <c r="AK166" s="118"/>
      <c r="AL166" s="118"/>
      <c r="AM166" s="118"/>
      <c r="AN166" s="118"/>
      <c r="AO166" s="118"/>
      <c r="AP166" s="118"/>
      <c r="AQ166" s="121"/>
      <c r="AR166" s="121"/>
      <c r="AS166" s="121"/>
      <c r="AT166" s="121"/>
      <c r="AU166" s="121"/>
      <c r="AV166" s="121"/>
      <c r="AW166" s="121"/>
      <c r="AX166" s="121"/>
      <c r="AY166" s="121"/>
      <c r="AZ166" s="121"/>
      <c r="BA166" s="121"/>
      <c r="BB166" s="121"/>
      <c r="BC166" s="121"/>
      <c r="BD166" s="121"/>
      <c r="BE166" s="121"/>
      <c r="BF166" s="121"/>
      <c r="BG166" s="121"/>
      <c r="BH166" s="121"/>
    </row>
    <row r="167" spans="1:60" ht="15" customHeight="1">
      <c r="A167" s="118"/>
      <c r="B167" s="165"/>
      <c r="C167" s="166"/>
      <c r="D167" s="167"/>
      <c r="E167" s="167"/>
      <c r="F167" s="167"/>
      <c r="G167" s="167"/>
      <c r="H167" s="168" t="str">
        <f t="shared" si="25"/>
        <v/>
      </c>
      <c r="I167" s="168"/>
      <c r="J167" s="131"/>
      <c r="K167" s="167"/>
      <c r="L167" s="167"/>
      <c r="M167" s="167"/>
      <c r="N167" s="167"/>
      <c r="O167" s="167"/>
      <c r="P167" s="136" t="str">
        <f t="shared" si="34"/>
        <v>_Inspection Log.xlsm</v>
      </c>
      <c r="Q167" s="140" t="str">
        <f t="shared" si="35"/>
        <v>C:\Users\sabi_\OneDrive\Desktop\New folder\Coding logs\_Inspection Log.xlsm</v>
      </c>
      <c r="R167" s="141">
        <f t="array" ref="R167">SUM(IF($J$30:$J$194=IF(J167="","Blank",J167),1,0))</f>
        <v>0</v>
      </c>
      <c r="S167" s="141">
        <f t="shared" si="26"/>
        <v>0</v>
      </c>
      <c r="T167" s="141" t="str">
        <f t="shared" si="27"/>
        <v/>
      </c>
      <c r="U167" s="142">
        <f t="shared" si="28"/>
        <v>0</v>
      </c>
      <c r="V167" s="142">
        <f t="shared" si="29"/>
        <v>0</v>
      </c>
      <c r="W167" s="142">
        <f t="array" ref="W167">SUM(IF(LEN(J165:J329)&lt;=3,0,1))</f>
        <v>0</v>
      </c>
      <c r="X167" s="141" t="str">
        <f t="shared" si="30"/>
        <v>_Inspection Log</v>
      </c>
      <c r="Y167" s="142">
        <f t="shared" si="31"/>
        <v>0</v>
      </c>
      <c r="Z167" s="142" t="str">
        <f t="shared" si="32"/>
        <v/>
      </c>
      <c r="AA167" s="142">
        <f t="shared" si="33"/>
        <v>0</v>
      </c>
      <c r="AB167" s="142"/>
      <c r="AC167" s="142"/>
      <c r="AD167" s="142"/>
      <c r="AE167" s="142"/>
      <c r="AF167" s="142"/>
      <c r="AG167" s="142"/>
      <c r="AH167" s="142"/>
      <c r="AI167" s="142"/>
      <c r="AJ167" s="154"/>
      <c r="AK167" s="118"/>
      <c r="AL167" s="118"/>
      <c r="AM167" s="118"/>
      <c r="AN167" s="118"/>
      <c r="AO167" s="118"/>
      <c r="AP167" s="118"/>
      <c r="AQ167" s="121"/>
      <c r="AR167" s="121"/>
      <c r="AS167" s="121"/>
      <c r="AT167" s="121"/>
      <c r="AU167" s="121"/>
      <c r="AV167" s="121"/>
      <c r="AW167" s="121"/>
      <c r="AX167" s="121"/>
      <c r="AY167" s="121"/>
      <c r="AZ167" s="121"/>
      <c r="BA167" s="121"/>
      <c r="BB167" s="121"/>
      <c r="BC167" s="121"/>
      <c r="BD167" s="121"/>
      <c r="BE167" s="121"/>
      <c r="BF167" s="121"/>
      <c r="BG167" s="121"/>
      <c r="BH167" s="121"/>
    </row>
    <row r="168" spans="1:60" ht="15" customHeight="1">
      <c r="A168" s="118"/>
      <c r="B168" s="165"/>
      <c r="C168" s="166"/>
      <c r="D168" s="167"/>
      <c r="E168" s="167"/>
      <c r="F168" s="167"/>
      <c r="G168" s="167"/>
      <c r="H168" s="168" t="str">
        <f t="shared" si="25"/>
        <v/>
      </c>
      <c r="I168" s="168"/>
      <c r="J168" s="131"/>
      <c r="K168" s="167"/>
      <c r="L168" s="167"/>
      <c r="M168" s="167"/>
      <c r="N168" s="167"/>
      <c r="O168" s="167"/>
      <c r="P168" s="136" t="str">
        <f t="shared" si="34"/>
        <v>_Inspection Log.xlsm</v>
      </c>
      <c r="Q168" s="140" t="str">
        <f t="shared" si="35"/>
        <v>C:\Users\sabi_\OneDrive\Desktop\New folder\Coding logs\_Inspection Log.xlsm</v>
      </c>
      <c r="R168" s="141">
        <f t="array" ref="R168">SUM(IF($J$30:$J$194=IF(J168="","Blank",J168),1,0))</f>
        <v>0</v>
      </c>
      <c r="S168" s="141">
        <f t="shared" si="26"/>
        <v>0</v>
      </c>
      <c r="T168" s="141" t="str">
        <f t="shared" si="27"/>
        <v/>
      </c>
      <c r="U168" s="142">
        <f t="shared" si="28"/>
        <v>0</v>
      </c>
      <c r="V168" s="142">
        <f t="shared" si="29"/>
        <v>0</v>
      </c>
      <c r="W168" s="142">
        <f t="array" ref="W168">SUM(IF(LEN(J166:J330)&lt;=3,0,1))</f>
        <v>0</v>
      </c>
      <c r="X168" s="141" t="str">
        <f t="shared" si="30"/>
        <v>_Inspection Log</v>
      </c>
      <c r="Y168" s="142">
        <f t="shared" si="31"/>
        <v>0</v>
      </c>
      <c r="Z168" s="142" t="str">
        <f t="shared" si="32"/>
        <v/>
      </c>
      <c r="AA168" s="142">
        <f t="shared" si="33"/>
        <v>0</v>
      </c>
      <c r="AB168" s="142"/>
      <c r="AC168" s="142"/>
      <c r="AD168" s="142"/>
      <c r="AE168" s="142"/>
      <c r="AF168" s="142"/>
      <c r="AG168" s="142"/>
      <c r="AH168" s="142"/>
      <c r="AI168" s="142"/>
      <c r="AJ168" s="154"/>
      <c r="AK168" s="118"/>
      <c r="AL168" s="118"/>
      <c r="AM168" s="118"/>
      <c r="AN168" s="118"/>
      <c r="AO168" s="118"/>
      <c r="AP168" s="118"/>
      <c r="AQ168" s="121"/>
      <c r="AR168" s="121"/>
      <c r="AS168" s="121"/>
      <c r="AT168" s="121"/>
      <c r="AU168" s="121"/>
      <c r="AV168" s="121"/>
      <c r="AW168" s="121"/>
      <c r="AX168" s="121"/>
      <c r="AY168" s="121"/>
      <c r="AZ168" s="121"/>
      <c r="BA168" s="121"/>
      <c r="BB168" s="121"/>
      <c r="BC168" s="121"/>
      <c r="BD168" s="121"/>
      <c r="BE168" s="121"/>
      <c r="BF168" s="121"/>
      <c r="BG168" s="121"/>
      <c r="BH168" s="121"/>
    </row>
    <row r="169" spans="1:60" ht="15" customHeight="1">
      <c r="A169" s="118"/>
      <c r="B169" s="165"/>
      <c r="C169" s="166"/>
      <c r="D169" s="167"/>
      <c r="E169" s="167"/>
      <c r="F169" s="167"/>
      <c r="G169" s="167"/>
      <c r="H169" s="168" t="str">
        <f t="shared" si="25"/>
        <v/>
      </c>
      <c r="I169" s="168"/>
      <c r="J169" s="131"/>
      <c r="K169" s="167"/>
      <c r="L169" s="167"/>
      <c r="M169" s="167"/>
      <c r="N169" s="167"/>
      <c r="O169" s="167"/>
      <c r="P169" s="136" t="str">
        <f t="shared" si="34"/>
        <v>_Inspection Log.xlsm</v>
      </c>
      <c r="Q169" s="140" t="str">
        <f t="shared" si="35"/>
        <v>C:\Users\sabi_\OneDrive\Desktop\New folder\Coding logs\_Inspection Log.xlsm</v>
      </c>
      <c r="R169" s="141">
        <f t="array" ref="R169">SUM(IF($J$30:$J$194=IF(J169="","Blank",J169),1,0))</f>
        <v>0</v>
      </c>
      <c r="S169" s="141">
        <f t="shared" si="26"/>
        <v>0</v>
      </c>
      <c r="T169" s="141" t="str">
        <f t="shared" si="27"/>
        <v/>
      </c>
      <c r="U169" s="142">
        <f t="shared" si="28"/>
        <v>0</v>
      </c>
      <c r="V169" s="142">
        <f t="shared" si="29"/>
        <v>0</v>
      </c>
      <c r="W169" s="142">
        <f t="array" ref="W169">SUM(IF(LEN(J167:J331)&lt;=3,0,1))</f>
        <v>0</v>
      </c>
      <c r="X169" s="141" t="str">
        <f t="shared" si="30"/>
        <v>_Inspection Log</v>
      </c>
      <c r="Y169" s="142">
        <f t="shared" si="31"/>
        <v>0</v>
      </c>
      <c r="Z169" s="142" t="str">
        <f t="shared" si="32"/>
        <v/>
      </c>
      <c r="AA169" s="142">
        <f t="shared" si="33"/>
        <v>0</v>
      </c>
      <c r="AB169" s="142"/>
      <c r="AC169" s="142"/>
      <c r="AD169" s="142"/>
      <c r="AE169" s="142"/>
      <c r="AF169" s="142"/>
      <c r="AG169" s="142"/>
      <c r="AH169" s="142"/>
      <c r="AI169" s="142"/>
      <c r="AJ169" s="154"/>
      <c r="AK169" s="118"/>
      <c r="AL169" s="118"/>
      <c r="AM169" s="118"/>
      <c r="AN169" s="118"/>
      <c r="AO169" s="118"/>
      <c r="AP169" s="118"/>
      <c r="AQ169" s="121"/>
      <c r="AR169" s="121"/>
      <c r="AS169" s="121"/>
      <c r="AT169" s="121"/>
      <c r="AU169" s="121"/>
      <c r="AV169" s="121"/>
      <c r="AW169" s="121"/>
      <c r="AX169" s="121"/>
      <c r="AY169" s="121"/>
      <c r="AZ169" s="121"/>
      <c r="BA169" s="121"/>
      <c r="BB169" s="121"/>
      <c r="BC169" s="121"/>
      <c r="BD169" s="121"/>
      <c r="BE169" s="121"/>
      <c r="BF169" s="121"/>
      <c r="BG169" s="121"/>
      <c r="BH169" s="121"/>
    </row>
    <row r="170" spans="1:60" ht="15" customHeight="1">
      <c r="A170" s="118"/>
      <c r="B170" s="165"/>
      <c r="C170" s="166"/>
      <c r="D170" s="167"/>
      <c r="E170" s="167"/>
      <c r="F170" s="167"/>
      <c r="G170" s="167"/>
      <c r="H170" s="168" t="str">
        <f t="shared" si="25"/>
        <v/>
      </c>
      <c r="I170" s="168"/>
      <c r="J170" s="131"/>
      <c r="K170" s="167"/>
      <c r="L170" s="167"/>
      <c r="M170" s="167"/>
      <c r="N170" s="167"/>
      <c r="O170" s="167"/>
      <c r="P170" s="136" t="str">
        <f t="shared" si="34"/>
        <v>_Inspection Log.xlsm</v>
      </c>
      <c r="Q170" s="140" t="str">
        <f t="shared" si="35"/>
        <v>C:\Users\sabi_\OneDrive\Desktop\New folder\Coding logs\_Inspection Log.xlsm</v>
      </c>
      <c r="R170" s="141">
        <f t="array" ref="R170">SUM(IF($J$30:$J$194=IF(J170="","Blank",J170),1,0))</f>
        <v>0</v>
      </c>
      <c r="S170" s="141">
        <f t="shared" si="26"/>
        <v>0</v>
      </c>
      <c r="T170" s="141" t="str">
        <f t="shared" si="27"/>
        <v/>
      </c>
      <c r="U170" s="142">
        <f t="shared" si="28"/>
        <v>0</v>
      </c>
      <c r="V170" s="142">
        <f t="shared" si="29"/>
        <v>0</v>
      </c>
      <c r="W170" s="142">
        <f t="array" ref="W170">SUM(IF(LEN(J168:J332)&lt;=3,0,1))</f>
        <v>0</v>
      </c>
      <c r="X170" s="141" t="str">
        <f t="shared" si="30"/>
        <v>_Inspection Log</v>
      </c>
      <c r="Y170" s="142">
        <f t="shared" si="31"/>
        <v>0</v>
      </c>
      <c r="Z170" s="142" t="str">
        <f t="shared" si="32"/>
        <v/>
      </c>
      <c r="AA170" s="142">
        <f t="shared" si="33"/>
        <v>0</v>
      </c>
      <c r="AB170" s="142"/>
      <c r="AC170" s="142"/>
      <c r="AD170" s="142"/>
      <c r="AE170" s="142"/>
      <c r="AF170" s="142"/>
      <c r="AG170" s="142"/>
      <c r="AH170" s="142"/>
      <c r="AI170" s="142"/>
      <c r="AJ170" s="154"/>
      <c r="AK170" s="118"/>
      <c r="AL170" s="118"/>
      <c r="AM170" s="118"/>
      <c r="AN170" s="118"/>
      <c r="AO170" s="118"/>
      <c r="AP170" s="118"/>
      <c r="AQ170" s="121"/>
      <c r="AR170" s="121"/>
      <c r="AS170" s="121"/>
      <c r="AT170" s="121"/>
      <c r="AU170" s="121"/>
      <c r="AV170" s="121"/>
      <c r="AW170" s="121"/>
      <c r="AX170" s="121"/>
      <c r="AY170" s="121"/>
      <c r="AZ170" s="121"/>
      <c r="BA170" s="121"/>
      <c r="BB170" s="121"/>
      <c r="BC170" s="121"/>
      <c r="BD170" s="121"/>
      <c r="BE170" s="121"/>
      <c r="BF170" s="121"/>
      <c r="BG170" s="121"/>
      <c r="BH170" s="121"/>
    </row>
    <row r="171" spans="1:60" ht="15" customHeight="1">
      <c r="A171" s="118"/>
      <c r="B171" s="165"/>
      <c r="C171" s="166"/>
      <c r="D171" s="167"/>
      <c r="E171" s="167"/>
      <c r="F171" s="167"/>
      <c r="G171" s="167"/>
      <c r="H171" s="168" t="str">
        <f t="shared" si="25"/>
        <v/>
      </c>
      <c r="I171" s="168"/>
      <c r="J171" s="131"/>
      <c r="K171" s="167"/>
      <c r="L171" s="167"/>
      <c r="M171" s="167"/>
      <c r="N171" s="167"/>
      <c r="O171" s="167"/>
      <c r="P171" s="136" t="str">
        <f t="shared" si="34"/>
        <v>_Inspection Log.xlsm</v>
      </c>
      <c r="Q171" s="140" t="str">
        <f t="shared" si="35"/>
        <v>C:\Users\sabi_\OneDrive\Desktop\New folder\Coding logs\_Inspection Log.xlsm</v>
      </c>
      <c r="R171" s="141">
        <f t="array" ref="R171">SUM(IF($J$30:$J$194=IF(J171="","Blank",J171),1,0))</f>
        <v>0</v>
      </c>
      <c r="S171" s="141">
        <f t="shared" si="26"/>
        <v>0</v>
      </c>
      <c r="T171" s="141" t="str">
        <f t="shared" si="27"/>
        <v/>
      </c>
      <c r="U171" s="142">
        <f t="shared" si="28"/>
        <v>0</v>
      </c>
      <c r="V171" s="142">
        <f t="shared" si="29"/>
        <v>0</v>
      </c>
      <c r="W171" s="142">
        <f t="array" ref="W171">SUM(IF(LEN(J169:J333)&lt;=3,0,1))</f>
        <v>0</v>
      </c>
      <c r="X171" s="141" t="str">
        <f t="shared" si="30"/>
        <v>_Inspection Log</v>
      </c>
      <c r="Y171" s="142">
        <f t="shared" si="31"/>
        <v>0</v>
      </c>
      <c r="Z171" s="142" t="str">
        <f t="shared" si="32"/>
        <v/>
      </c>
      <c r="AA171" s="142">
        <f t="shared" si="33"/>
        <v>0</v>
      </c>
      <c r="AB171" s="142"/>
      <c r="AC171" s="142"/>
      <c r="AD171" s="142"/>
      <c r="AE171" s="142"/>
      <c r="AF171" s="142"/>
      <c r="AG171" s="142"/>
      <c r="AH171" s="142"/>
      <c r="AI171" s="142"/>
      <c r="AJ171" s="154"/>
      <c r="AK171" s="118"/>
      <c r="AL171" s="118"/>
      <c r="AM171" s="118"/>
      <c r="AN171" s="118"/>
      <c r="AO171" s="118"/>
      <c r="AP171" s="118"/>
      <c r="AQ171" s="121"/>
      <c r="AR171" s="121"/>
      <c r="AS171" s="121"/>
      <c r="AT171" s="121"/>
      <c r="AU171" s="121"/>
      <c r="AV171" s="121"/>
      <c r="AW171" s="121"/>
      <c r="AX171" s="121"/>
      <c r="AY171" s="121"/>
      <c r="AZ171" s="121"/>
      <c r="BA171" s="121"/>
      <c r="BB171" s="121"/>
      <c r="BC171" s="121"/>
      <c r="BD171" s="121"/>
      <c r="BE171" s="121"/>
      <c r="BF171" s="121"/>
      <c r="BG171" s="121"/>
      <c r="BH171" s="121"/>
    </row>
    <row r="172" spans="1:60" ht="15" customHeight="1">
      <c r="A172" s="118"/>
      <c r="B172" s="165"/>
      <c r="C172" s="166"/>
      <c r="D172" s="167"/>
      <c r="E172" s="167"/>
      <c r="F172" s="167"/>
      <c r="G172" s="167"/>
      <c r="H172" s="168" t="str">
        <f t="shared" si="25"/>
        <v/>
      </c>
      <c r="I172" s="168"/>
      <c r="J172" s="131"/>
      <c r="K172" s="167"/>
      <c r="L172" s="167"/>
      <c r="M172" s="167"/>
      <c r="N172" s="167"/>
      <c r="O172" s="167"/>
      <c r="P172" s="136" t="str">
        <f t="shared" si="34"/>
        <v>_Inspection Log.xlsm</v>
      </c>
      <c r="Q172" s="140" t="str">
        <f t="shared" si="35"/>
        <v>C:\Users\sabi_\OneDrive\Desktop\New folder\Coding logs\_Inspection Log.xlsm</v>
      </c>
      <c r="R172" s="141">
        <f t="array" ref="R172">SUM(IF($J$30:$J$194=IF(J172="","Blank",J172),1,0))</f>
        <v>0</v>
      </c>
      <c r="S172" s="141">
        <f t="shared" si="26"/>
        <v>0</v>
      </c>
      <c r="T172" s="141" t="str">
        <f t="shared" si="27"/>
        <v/>
      </c>
      <c r="U172" s="142">
        <f t="shared" si="28"/>
        <v>0</v>
      </c>
      <c r="V172" s="142">
        <f t="shared" si="29"/>
        <v>0</v>
      </c>
      <c r="W172" s="142">
        <f t="array" ref="W172">SUM(IF(LEN(J170:J334)&lt;=3,0,1))</f>
        <v>0</v>
      </c>
      <c r="X172" s="141" t="str">
        <f t="shared" si="30"/>
        <v>_Inspection Log</v>
      </c>
      <c r="Y172" s="142">
        <f t="shared" si="31"/>
        <v>0</v>
      </c>
      <c r="Z172" s="142" t="str">
        <f t="shared" si="32"/>
        <v/>
      </c>
      <c r="AA172" s="142">
        <f t="shared" si="33"/>
        <v>0</v>
      </c>
      <c r="AB172" s="142"/>
      <c r="AC172" s="142"/>
      <c r="AD172" s="142"/>
      <c r="AE172" s="142"/>
      <c r="AF172" s="142"/>
      <c r="AG172" s="142"/>
      <c r="AH172" s="142"/>
      <c r="AI172" s="142"/>
      <c r="AJ172" s="154"/>
      <c r="AK172" s="118"/>
      <c r="AL172" s="118"/>
      <c r="AM172" s="118"/>
      <c r="AN172" s="118"/>
      <c r="AO172" s="118"/>
      <c r="AP172" s="118"/>
      <c r="AQ172" s="121"/>
      <c r="AR172" s="121"/>
      <c r="AS172" s="121"/>
      <c r="AT172" s="121"/>
      <c r="AU172" s="121"/>
      <c r="AV172" s="121"/>
      <c r="AW172" s="121"/>
      <c r="AX172" s="121"/>
      <c r="AY172" s="121"/>
      <c r="AZ172" s="121"/>
      <c r="BA172" s="121"/>
      <c r="BB172" s="121"/>
      <c r="BC172" s="121"/>
      <c r="BD172" s="121"/>
      <c r="BE172" s="121"/>
      <c r="BF172" s="121"/>
      <c r="BG172" s="121"/>
      <c r="BH172" s="121"/>
    </row>
    <row r="173" spans="1:60" ht="15" customHeight="1">
      <c r="A173" s="118"/>
      <c r="B173" s="165"/>
      <c r="C173" s="166"/>
      <c r="D173" s="167"/>
      <c r="E173" s="167"/>
      <c r="F173" s="167"/>
      <c r="G173" s="167"/>
      <c r="H173" s="168" t="str">
        <f t="shared" si="25"/>
        <v/>
      </c>
      <c r="I173" s="168"/>
      <c r="J173" s="131"/>
      <c r="K173" s="167"/>
      <c r="L173" s="167"/>
      <c r="M173" s="167"/>
      <c r="N173" s="167"/>
      <c r="O173" s="167"/>
      <c r="P173" s="136" t="str">
        <f t="shared" si="34"/>
        <v>_Inspection Log.xlsm</v>
      </c>
      <c r="Q173" s="140" t="str">
        <f t="shared" si="35"/>
        <v>C:\Users\sabi_\OneDrive\Desktop\New folder\Coding logs\_Inspection Log.xlsm</v>
      </c>
      <c r="R173" s="141">
        <f t="array" ref="R173">SUM(IF($J$30:$J$194=IF(J173="","Blank",J173),1,0))</f>
        <v>0</v>
      </c>
      <c r="S173" s="141">
        <f t="shared" si="26"/>
        <v>0</v>
      </c>
      <c r="T173" s="141" t="str">
        <f t="shared" si="27"/>
        <v/>
      </c>
      <c r="U173" s="142">
        <f t="shared" si="28"/>
        <v>0</v>
      </c>
      <c r="V173" s="142">
        <f t="shared" si="29"/>
        <v>0</v>
      </c>
      <c r="W173" s="142">
        <f t="array" ref="W173">SUM(IF(LEN(J171:J335)&lt;=3,0,1))</f>
        <v>0</v>
      </c>
      <c r="X173" s="141" t="str">
        <f t="shared" si="30"/>
        <v>_Inspection Log</v>
      </c>
      <c r="Y173" s="142">
        <f t="shared" si="31"/>
        <v>0</v>
      </c>
      <c r="Z173" s="142" t="str">
        <f t="shared" si="32"/>
        <v/>
      </c>
      <c r="AA173" s="142">
        <f t="shared" si="33"/>
        <v>0</v>
      </c>
      <c r="AB173" s="142"/>
      <c r="AC173" s="142"/>
      <c r="AD173" s="142"/>
      <c r="AE173" s="142"/>
      <c r="AF173" s="142"/>
      <c r="AG173" s="142"/>
      <c r="AH173" s="142"/>
      <c r="AI173" s="142"/>
      <c r="AJ173" s="154"/>
      <c r="AK173" s="118"/>
      <c r="AL173" s="118"/>
      <c r="AM173" s="118"/>
      <c r="AN173" s="118"/>
      <c r="AO173" s="118"/>
      <c r="AP173" s="118"/>
      <c r="AQ173" s="121"/>
      <c r="AR173" s="121"/>
      <c r="AS173" s="121"/>
      <c r="AT173" s="121"/>
      <c r="AU173" s="121"/>
      <c r="AV173" s="121"/>
      <c r="AW173" s="121"/>
      <c r="AX173" s="121"/>
      <c r="AY173" s="121"/>
      <c r="AZ173" s="121"/>
      <c r="BA173" s="121"/>
      <c r="BB173" s="121"/>
      <c r="BC173" s="121"/>
      <c r="BD173" s="121"/>
      <c r="BE173" s="121"/>
      <c r="BF173" s="121"/>
      <c r="BG173" s="121"/>
      <c r="BH173" s="121"/>
    </row>
    <row r="174" spans="1:60" ht="15" customHeight="1">
      <c r="A174" s="118"/>
      <c r="B174" s="165"/>
      <c r="C174" s="166"/>
      <c r="D174" s="167"/>
      <c r="E174" s="167"/>
      <c r="F174" s="167"/>
      <c r="G174" s="167"/>
      <c r="H174" s="168" t="str">
        <f t="shared" si="25"/>
        <v/>
      </c>
      <c r="I174" s="168"/>
      <c r="J174" s="131"/>
      <c r="K174" s="167"/>
      <c r="L174" s="167"/>
      <c r="M174" s="167"/>
      <c r="N174" s="167"/>
      <c r="O174" s="167"/>
      <c r="P174" s="136" t="str">
        <f t="shared" si="34"/>
        <v>_Inspection Log.xlsm</v>
      </c>
      <c r="Q174" s="140" t="str">
        <f t="shared" si="35"/>
        <v>C:\Users\sabi_\OneDrive\Desktop\New folder\Coding logs\_Inspection Log.xlsm</v>
      </c>
      <c r="R174" s="141">
        <f t="array" ref="R174">SUM(IF($J$30:$J$194=IF(J174="","Blank",J174),1,0))</f>
        <v>0</v>
      </c>
      <c r="S174" s="141">
        <f t="shared" si="26"/>
        <v>0</v>
      </c>
      <c r="T174" s="141" t="str">
        <f t="shared" si="27"/>
        <v/>
      </c>
      <c r="U174" s="142">
        <f t="shared" si="28"/>
        <v>0</v>
      </c>
      <c r="V174" s="142">
        <f t="shared" si="29"/>
        <v>0</v>
      </c>
      <c r="W174" s="142">
        <f t="array" ref="W174">SUM(IF(LEN(J172:J336)&lt;=3,0,1))</f>
        <v>0</v>
      </c>
      <c r="X174" s="141" t="str">
        <f t="shared" si="30"/>
        <v>_Inspection Log</v>
      </c>
      <c r="Y174" s="142">
        <f t="shared" si="31"/>
        <v>0</v>
      </c>
      <c r="Z174" s="142" t="str">
        <f t="shared" si="32"/>
        <v/>
      </c>
      <c r="AA174" s="142">
        <f t="shared" si="33"/>
        <v>0</v>
      </c>
      <c r="AB174" s="142"/>
      <c r="AC174" s="142"/>
      <c r="AD174" s="142"/>
      <c r="AE174" s="142"/>
      <c r="AF174" s="142"/>
      <c r="AG174" s="142"/>
      <c r="AH174" s="142"/>
      <c r="AI174" s="142"/>
      <c r="AJ174" s="154"/>
      <c r="AK174" s="118"/>
      <c r="AL174" s="118"/>
      <c r="AM174" s="118"/>
      <c r="AN174" s="118"/>
      <c r="AO174" s="118"/>
      <c r="AP174" s="118"/>
      <c r="AQ174" s="121"/>
      <c r="AR174" s="121"/>
      <c r="AS174" s="121"/>
      <c r="AT174" s="121"/>
      <c r="AU174" s="121"/>
      <c r="AV174" s="121"/>
      <c r="AW174" s="121"/>
      <c r="AX174" s="121"/>
      <c r="AY174" s="121"/>
      <c r="AZ174" s="121"/>
      <c r="BA174" s="121"/>
      <c r="BB174" s="121"/>
      <c r="BC174" s="121"/>
      <c r="BD174" s="121"/>
      <c r="BE174" s="121"/>
      <c r="BF174" s="121"/>
      <c r="BG174" s="121"/>
      <c r="BH174" s="121"/>
    </row>
    <row r="175" spans="1:60" ht="15" customHeight="1">
      <c r="A175" s="118"/>
      <c r="B175" s="165"/>
      <c r="C175" s="166"/>
      <c r="D175" s="167"/>
      <c r="E175" s="167"/>
      <c r="F175" s="167"/>
      <c r="G175" s="167"/>
      <c r="H175" s="168" t="str">
        <f t="shared" si="25"/>
        <v/>
      </c>
      <c r="I175" s="168"/>
      <c r="J175" s="131"/>
      <c r="K175" s="167"/>
      <c r="L175" s="167"/>
      <c r="M175" s="167"/>
      <c r="N175" s="167"/>
      <c r="O175" s="167"/>
      <c r="P175" s="136" t="str">
        <f t="shared" si="34"/>
        <v>_Inspection Log.xlsm</v>
      </c>
      <c r="Q175" s="140" t="str">
        <f t="shared" si="35"/>
        <v>C:\Users\sabi_\OneDrive\Desktop\New folder\Coding logs\_Inspection Log.xlsm</v>
      </c>
      <c r="R175" s="141">
        <f t="array" ref="R175">SUM(IF($J$30:$J$194=IF(J175="","Blank",J175),1,0))</f>
        <v>0</v>
      </c>
      <c r="S175" s="141">
        <f t="shared" si="26"/>
        <v>0</v>
      </c>
      <c r="T175" s="141" t="str">
        <f t="shared" si="27"/>
        <v/>
      </c>
      <c r="U175" s="142">
        <f t="shared" si="28"/>
        <v>0</v>
      </c>
      <c r="V175" s="142">
        <f t="shared" si="29"/>
        <v>0</v>
      </c>
      <c r="W175" s="142">
        <f t="array" ref="W175">SUM(IF(LEN(J173:J337)&lt;=3,0,1))</f>
        <v>0</v>
      </c>
      <c r="X175" s="141" t="str">
        <f t="shared" si="30"/>
        <v>_Inspection Log</v>
      </c>
      <c r="Y175" s="142">
        <f t="shared" si="31"/>
        <v>0</v>
      </c>
      <c r="Z175" s="142" t="str">
        <f t="shared" si="32"/>
        <v/>
      </c>
      <c r="AA175" s="142">
        <f t="shared" si="33"/>
        <v>0</v>
      </c>
      <c r="AB175" s="142"/>
      <c r="AC175" s="142"/>
      <c r="AD175" s="142"/>
      <c r="AE175" s="142"/>
      <c r="AF175" s="142"/>
      <c r="AG175" s="142"/>
      <c r="AH175" s="142"/>
      <c r="AI175" s="142"/>
      <c r="AJ175" s="154"/>
      <c r="AK175" s="118"/>
      <c r="AL175" s="118"/>
      <c r="AM175" s="118"/>
      <c r="AN175" s="118"/>
      <c r="AO175" s="118"/>
      <c r="AP175" s="118"/>
      <c r="AQ175" s="121"/>
      <c r="AR175" s="121"/>
      <c r="AS175" s="121"/>
      <c r="AT175" s="121"/>
      <c r="AU175" s="121"/>
      <c r="AV175" s="121"/>
      <c r="AW175" s="121"/>
      <c r="AX175" s="121"/>
      <c r="AY175" s="121"/>
      <c r="AZ175" s="121"/>
      <c r="BA175" s="121"/>
      <c r="BB175" s="121"/>
      <c r="BC175" s="121"/>
      <c r="BD175" s="121"/>
      <c r="BE175" s="121"/>
      <c r="BF175" s="121"/>
      <c r="BG175" s="121"/>
      <c r="BH175" s="121"/>
    </row>
    <row r="176" spans="1:60" ht="15" customHeight="1">
      <c r="A176" s="118"/>
      <c r="B176" s="165"/>
      <c r="C176" s="166"/>
      <c r="D176" s="167"/>
      <c r="E176" s="167"/>
      <c r="F176" s="167"/>
      <c r="G176" s="167"/>
      <c r="H176" s="168" t="str">
        <f t="shared" si="25"/>
        <v/>
      </c>
      <c r="I176" s="168"/>
      <c r="J176" s="131"/>
      <c r="K176" s="167"/>
      <c r="L176" s="167"/>
      <c r="M176" s="167"/>
      <c r="N176" s="167"/>
      <c r="O176" s="167"/>
      <c r="P176" s="136" t="str">
        <f t="shared" si="34"/>
        <v>_Inspection Log.xlsm</v>
      </c>
      <c r="Q176" s="140" t="str">
        <f t="shared" si="35"/>
        <v>C:\Users\sabi_\OneDrive\Desktop\New folder\Coding logs\_Inspection Log.xlsm</v>
      </c>
      <c r="R176" s="141">
        <f t="array" ref="R176">SUM(IF($J$30:$J$194=IF(J176="","Blank",J176),1,0))</f>
        <v>0</v>
      </c>
      <c r="S176" s="141">
        <f t="shared" si="26"/>
        <v>0</v>
      </c>
      <c r="T176" s="141" t="str">
        <f t="shared" si="27"/>
        <v/>
      </c>
      <c r="U176" s="142">
        <f t="shared" si="28"/>
        <v>0</v>
      </c>
      <c r="V176" s="142">
        <f t="shared" si="29"/>
        <v>0</v>
      </c>
      <c r="W176" s="142">
        <f t="array" ref="W176">SUM(IF(LEN(J174:J338)&lt;=3,0,1))</f>
        <v>0</v>
      </c>
      <c r="X176" s="141" t="str">
        <f t="shared" si="30"/>
        <v>_Inspection Log</v>
      </c>
      <c r="Y176" s="142">
        <f t="shared" si="31"/>
        <v>0</v>
      </c>
      <c r="Z176" s="142" t="str">
        <f t="shared" si="32"/>
        <v/>
      </c>
      <c r="AA176" s="142">
        <f t="shared" si="33"/>
        <v>0</v>
      </c>
      <c r="AB176" s="142"/>
      <c r="AC176" s="142"/>
      <c r="AD176" s="142"/>
      <c r="AE176" s="142"/>
      <c r="AF176" s="142"/>
      <c r="AG176" s="142"/>
      <c r="AH176" s="142"/>
      <c r="AI176" s="142"/>
      <c r="AJ176" s="154"/>
      <c r="AK176" s="118"/>
      <c r="AL176" s="118"/>
      <c r="AM176" s="118"/>
      <c r="AN176" s="118"/>
      <c r="AO176" s="118"/>
      <c r="AP176" s="118"/>
      <c r="AQ176" s="121"/>
      <c r="AR176" s="121"/>
      <c r="AS176" s="121"/>
      <c r="AT176" s="121"/>
      <c r="AU176" s="121"/>
      <c r="AV176" s="121"/>
      <c r="AW176" s="121"/>
      <c r="AX176" s="121"/>
      <c r="AY176" s="121"/>
      <c r="AZ176" s="121"/>
      <c r="BA176" s="121"/>
      <c r="BB176" s="121"/>
      <c r="BC176" s="121"/>
      <c r="BD176" s="121"/>
      <c r="BE176" s="121"/>
      <c r="BF176" s="121"/>
      <c r="BG176" s="121"/>
      <c r="BH176" s="121"/>
    </row>
    <row r="177" spans="1:60" ht="15" customHeight="1">
      <c r="A177" s="118"/>
      <c r="B177" s="165"/>
      <c r="C177" s="166"/>
      <c r="D177" s="167"/>
      <c r="E177" s="167"/>
      <c r="F177" s="167"/>
      <c r="G177" s="167"/>
      <c r="H177" s="168" t="str">
        <f t="shared" si="25"/>
        <v/>
      </c>
      <c r="I177" s="168"/>
      <c r="J177" s="131"/>
      <c r="K177" s="167"/>
      <c r="L177" s="167"/>
      <c r="M177" s="167"/>
      <c r="N177" s="167"/>
      <c r="O177" s="167"/>
      <c r="P177" s="136" t="str">
        <f t="shared" si="34"/>
        <v>_Inspection Log.xlsm</v>
      </c>
      <c r="Q177" s="140" t="str">
        <f t="shared" si="35"/>
        <v>C:\Users\sabi_\OneDrive\Desktop\New folder\Coding logs\_Inspection Log.xlsm</v>
      </c>
      <c r="R177" s="141">
        <f t="array" ref="R177">SUM(IF($J$30:$J$194=IF(J177="","Blank",J177),1,0))</f>
        <v>0</v>
      </c>
      <c r="S177" s="141">
        <f t="shared" si="26"/>
        <v>0</v>
      </c>
      <c r="T177" s="141" t="str">
        <f t="shared" si="27"/>
        <v/>
      </c>
      <c r="U177" s="142">
        <f t="shared" si="28"/>
        <v>0</v>
      </c>
      <c r="V177" s="142">
        <f t="shared" si="29"/>
        <v>0</v>
      </c>
      <c r="W177" s="142">
        <f t="array" ref="W177">SUM(IF(LEN(J175:J339)&lt;=3,0,1))</f>
        <v>0</v>
      </c>
      <c r="X177" s="141" t="str">
        <f t="shared" si="30"/>
        <v>_Inspection Log</v>
      </c>
      <c r="Y177" s="142">
        <f t="shared" si="31"/>
        <v>0</v>
      </c>
      <c r="Z177" s="142" t="str">
        <f t="shared" si="32"/>
        <v/>
      </c>
      <c r="AA177" s="142">
        <f t="shared" si="33"/>
        <v>0</v>
      </c>
      <c r="AB177" s="142"/>
      <c r="AC177" s="142"/>
      <c r="AD177" s="142"/>
      <c r="AE177" s="142"/>
      <c r="AF177" s="142"/>
      <c r="AG177" s="142"/>
      <c r="AH177" s="142"/>
      <c r="AI177" s="142"/>
      <c r="AJ177" s="154"/>
      <c r="AK177" s="118"/>
      <c r="AL177" s="118"/>
      <c r="AM177" s="118"/>
      <c r="AN177" s="118"/>
      <c r="AO177" s="118"/>
      <c r="AP177" s="118"/>
      <c r="AQ177" s="121"/>
      <c r="AR177" s="121"/>
      <c r="AS177" s="121"/>
      <c r="AT177" s="121"/>
      <c r="AU177" s="121"/>
      <c r="AV177" s="121"/>
      <c r="AW177" s="121"/>
      <c r="AX177" s="121"/>
      <c r="AY177" s="121"/>
      <c r="AZ177" s="121"/>
      <c r="BA177" s="121"/>
      <c r="BB177" s="121"/>
      <c r="BC177" s="121"/>
      <c r="BD177" s="121"/>
      <c r="BE177" s="121"/>
      <c r="BF177" s="121"/>
      <c r="BG177" s="121"/>
      <c r="BH177" s="121"/>
    </row>
    <row r="178" spans="1:60" ht="15" customHeight="1">
      <c r="A178" s="118"/>
      <c r="B178" s="165"/>
      <c r="C178" s="166"/>
      <c r="D178" s="167"/>
      <c r="E178" s="167"/>
      <c r="F178" s="167"/>
      <c r="G178" s="167"/>
      <c r="H178" s="168" t="str">
        <f t="shared" si="25"/>
        <v/>
      </c>
      <c r="I178" s="168"/>
      <c r="J178" s="131"/>
      <c r="K178" s="167"/>
      <c r="L178" s="167"/>
      <c r="M178" s="167"/>
      <c r="N178" s="167"/>
      <c r="O178" s="167"/>
      <c r="P178" s="136" t="str">
        <f t="shared" si="34"/>
        <v>_Inspection Log.xlsm</v>
      </c>
      <c r="Q178" s="140" t="str">
        <f t="shared" si="35"/>
        <v>C:\Users\sabi_\OneDrive\Desktop\New folder\Coding logs\_Inspection Log.xlsm</v>
      </c>
      <c r="R178" s="141">
        <f t="array" ref="R178">SUM(IF($J$30:$J$194=IF(J178="","Blank",J178),1,0))</f>
        <v>0</v>
      </c>
      <c r="S178" s="141">
        <f t="shared" si="26"/>
        <v>0</v>
      </c>
      <c r="T178" s="141" t="str">
        <f t="shared" si="27"/>
        <v/>
      </c>
      <c r="U178" s="142">
        <f t="shared" si="28"/>
        <v>0</v>
      </c>
      <c r="V178" s="142">
        <f t="shared" si="29"/>
        <v>0</v>
      </c>
      <c r="W178" s="142">
        <f t="array" ref="W178">SUM(IF(LEN(J176:J340)&lt;=3,0,1))</f>
        <v>0</v>
      </c>
      <c r="X178" s="141" t="str">
        <f t="shared" si="30"/>
        <v>_Inspection Log</v>
      </c>
      <c r="Y178" s="142">
        <f t="shared" si="31"/>
        <v>0</v>
      </c>
      <c r="Z178" s="142" t="str">
        <f t="shared" si="32"/>
        <v/>
      </c>
      <c r="AA178" s="142">
        <f t="shared" si="33"/>
        <v>0</v>
      </c>
      <c r="AB178" s="142"/>
      <c r="AC178" s="142"/>
      <c r="AD178" s="142"/>
      <c r="AE178" s="142"/>
      <c r="AF178" s="142"/>
      <c r="AG178" s="142"/>
      <c r="AH178" s="142"/>
      <c r="AI178" s="142"/>
      <c r="AJ178" s="154"/>
      <c r="AK178" s="118"/>
      <c r="AL178" s="118"/>
      <c r="AM178" s="118"/>
      <c r="AN178" s="118"/>
      <c r="AO178" s="118"/>
      <c r="AP178" s="118"/>
      <c r="AQ178" s="121"/>
      <c r="AR178" s="121"/>
      <c r="AS178" s="121"/>
      <c r="AT178" s="121"/>
      <c r="AU178" s="121"/>
      <c r="AV178" s="121"/>
      <c r="AW178" s="121"/>
      <c r="AX178" s="121"/>
      <c r="AY178" s="121"/>
      <c r="AZ178" s="121"/>
      <c r="BA178" s="121"/>
      <c r="BB178" s="121"/>
      <c r="BC178" s="121"/>
      <c r="BD178" s="121"/>
      <c r="BE178" s="121"/>
      <c r="BF178" s="121"/>
      <c r="BG178" s="121"/>
      <c r="BH178" s="121"/>
    </row>
    <row r="179" spans="1:60" ht="15" customHeight="1">
      <c r="A179" s="118"/>
      <c r="B179" s="165"/>
      <c r="C179" s="166"/>
      <c r="D179" s="167"/>
      <c r="E179" s="167"/>
      <c r="F179" s="167"/>
      <c r="G179" s="167"/>
      <c r="H179" s="168" t="str">
        <f t="shared" si="25"/>
        <v/>
      </c>
      <c r="I179" s="168"/>
      <c r="J179" s="131"/>
      <c r="K179" s="167"/>
      <c r="L179" s="167"/>
      <c r="M179" s="167"/>
      <c r="N179" s="167"/>
      <c r="O179" s="167"/>
      <c r="P179" s="136" t="str">
        <f t="shared" si="34"/>
        <v>_Inspection Log.xlsm</v>
      </c>
      <c r="Q179" s="140" t="str">
        <f t="shared" si="35"/>
        <v>C:\Users\sabi_\OneDrive\Desktop\New folder\Coding logs\_Inspection Log.xlsm</v>
      </c>
      <c r="R179" s="141">
        <f t="array" ref="R179">SUM(IF($J$30:$J$194=IF(J179="","Blank",J179),1,0))</f>
        <v>0</v>
      </c>
      <c r="S179" s="141">
        <f t="shared" si="26"/>
        <v>0</v>
      </c>
      <c r="T179" s="141" t="str">
        <f t="shared" si="27"/>
        <v/>
      </c>
      <c r="U179" s="142">
        <f t="shared" si="28"/>
        <v>0</v>
      </c>
      <c r="V179" s="142">
        <f t="shared" si="29"/>
        <v>0</v>
      </c>
      <c r="W179" s="142">
        <f t="array" ref="W179">SUM(IF(LEN(J177:J341)&lt;=3,0,1))</f>
        <v>0</v>
      </c>
      <c r="X179" s="141" t="str">
        <f t="shared" si="30"/>
        <v>_Inspection Log</v>
      </c>
      <c r="Y179" s="142">
        <f t="shared" si="31"/>
        <v>0</v>
      </c>
      <c r="Z179" s="142" t="str">
        <f t="shared" si="32"/>
        <v/>
      </c>
      <c r="AA179" s="142">
        <f t="shared" si="33"/>
        <v>0</v>
      </c>
      <c r="AB179" s="142"/>
      <c r="AC179" s="142"/>
      <c r="AD179" s="142"/>
      <c r="AE179" s="142"/>
      <c r="AF179" s="142"/>
      <c r="AG179" s="142"/>
      <c r="AH179" s="142"/>
      <c r="AI179" s="142"/>
      <c r="AJ179" s="154"/>
      <c r="AK179" s="118"/>
      <c r="AL179" s="118"/>
      <c r="AM179" s="118"/>
      <c r="AN179" s="118"/>
      <c r="AO179" s="118"/>
      <c r="AP179" s="118"/>
      <c r="AQ179" s="121"/>
      <c r="AR179" s="121"/>
      <c r="AS179" s="121"/>
      <c r="AT179" s="121"/>
      <c r="AU179" s="121"/>
      <c r="AV179" s="121"/>
      <c r="AW179" s="121"/>
      <c r="AX179" s="121"/>
      <c r="AY179" s="121"/>
      <c r="AZ179" s="121"/>
      <c r="BA179" s="121"/>
      <c r="BB179" s="121"/>
      <c r="BC179" s="121"/>
      <c r="BD179" s="121"/>
      <c r="BE179" s="121"/>
      <c r="BF179" s="121"/>
      <c r="BG179" s="121"/>
      <c r="BH179" s="121"/>
    </row>
    <row r="180" spans="1:60" ht="15" customHeight="1">
      <c r="A180" s="118"/>
      <c r="B180" s="165"/>
      <c r="C180" s="166"/>
      <c r="D180" s="167"/>
      <c r="E180" s="167"/>
      <c r="F180" s="167"/>
      <c r="G180" s="167"/>
      <c r="H180" s="168" t="str">
        <f t="shared" si="25"/>
        <v/>
      </c>
      <c r="I180" s="168"/>
      <c r="J180" s="131"/>
      <c r="K180" s="167"/>
      <c r="L180" s="167"/>
      <c r="M180" s="167"/>
      <c r="N180" s="167"/>
      <c r="O180" s="167"/>
      <c r="P180" s="136" t="str">
        <f t="shared" si="34"/>
        <v>_Inspection Log.xlsm</v>
      </c>
      <c r="Q180" s="140" t="str">
        <f t="shared" si="35"/>
        <v>C:\Users\sabi_\OneDrive\Desktop\New folder\Coding logs\_Inspection Log.xlsm</v>
      </c>
      <c r="R180" s="141">
        <f t="array" ref="R180">SUM(IF($J$30:$J$194=IF(J180="","Blank",J180),1,0))</f>
        <v>0</v>
      </c>
      <c r="S180" s="141">
        <f t="shared" si="26"/>
        <v>0</v>
      </c>
      <c r="T180" s="141" t="str">
        <f t="shared" si="27"/>
        <v/>
      </c>
      <c r="U180" s="142">
        <f t="shared" si="28"/>
        <v>0</v>
      </c>
      <c r="V180" s="142">
        <f t="shared" si="29"/>
        <v>0</v>
      </c>
      <c r="W180" s="142">
        <f t="array" ref="W180">SUM(IF(LEN(J178:J342)&lt;=3,0,1))</f>
        <v>0</v>
      </c>
      <c r="X180" s="141" t="str">
        <f t="shared" si="30"/>
        <v>_Inspection Log</v>
      </c>
      <c r="Y180" s="142">
        <f t="shared" si="31"/>
        <v>0</v>
      </c>
      <c r="Z180" s="142" t="str">
        <f t="shared" si="32"/>
        <v/>
      </c>
      <c r="AA180" s="142">
        <f t="shared" si="33"/>
        <v>0</v>
      </c>
      <c r="AB180" s="142"/>
      <c r="AC180" s="142"/>
      <c r="AD180" s="142"/>
      <c r="AE180" s="142"/>
      <c r="AF180" s="142"/>
      <c r="AG180" s="142"/>
      <c r="AH180" s="142"/>
      <c r="AI180" s="142"/>
      <c r="AJ180" s="154"/>
      <c r="AK180" s="118"/>
      <c r="AL180" s="118"/>
      <c r="AM180" s="118"/>
      <c r="AN180" s="118"/>
      <c r="AO180" s="118"/>
      <c r="AP180" s="118"/>
      <c r="AQ180" s="121"/>
      <c r="AR180" s="121"/>
      <c r="AS180" s="121"/>
      <c r="AT180" s="121"/>
      <c r="AU180" s="121"/>
      <c r="AV180" s="121"/>
      <c r="AW180" s="121"/>
      <c r="AX180" s="121"/>
      <c r="AY180" s="121"/>
      <c r="AZ180" s="121"/>
      <c r="BA180" s="121"/>
      <c r="BB180" s="121"/>
      <c r="BC180" s="121"/>
      <c r="BD180" s="121"/>
      <c r="BE180" s="121"/>
      <c r="BF180" s="121"/>
      <c r="BG180" s="121"/>
      <c r="BH180" s="121"/>
    </row>
    <row r="181" spans="1:60" ht="15" customHeight="1">
      <c r="A181" s="118"/>
      <c r="B181" s="165"/>
      <c r="C181" s="166"/>
      <c r="D181" s="167"/>
      <c r="E181" s="167"/>
      <c r="F181" s="167"/>
      <c r="G181" s="167"/>
      <c r="H181" s="168" t="str">
        <f t="shared" si="25"/>
        <v/>
      </c>
      <c r="I181" s="168"/>
      <c r="J181" s="131"/>
      <c r="K181" s="167"/>
      <c r="L181" s="167"/>
      <c r="M181" s="167"/>
      <c r="N181" s="167"/>
      <c r="O181" s="167"/>
      <c r="P181" s="136" t="str">
        <f t="shared" si="34"/>
        <v>_Inspection Log.xlsm</v>
      </c>
      <c r="Q181" s="140" t="str">
        <f t="shared" si="35"/>
        <v>C:\Users\sabi_\OneDrive\Desktop\New folder\Coding logs\_Inspection Log.xlsm</v>
      </c>
      <c r="R181" s="141">
        <f t="array" ref="R181">SUM(IF($J$30:$J$194=IF(J181="","Blank",J181),1,0))</f>
        <v>0</v>
      </c>
      <c r="S181" s="141">
        <f t="shared" si="26"/>
        <v>0</v>
      </c>
      <c r="T181" s="141" t="str">
        <f t="shared" si="27"/>
        <v/>
      </c>
      <c r="U181" s="142">
        <f t="shared" si="28"/>
        <v>0</v>
      </c>
      <c r="V181" s="142">
        <f t="shared" si="29"/>
        <v>0</v>
      </c>
      <c r="W181" s="142">
        <f t="array" ref="W181">SUM(IF(LEN(J179:J343)&lt;=3,0,1))</f>
        <v>0</v>
      </c>
      <c r="X181" s="141" t="str">
        <f t="shared" si="30"/>
        <v>_Inspection Log</v>
      </c>
      <c r="Y181" s="142">
        <f t="shared" si="31"/>
        <v>0</v>
      </c>
      <c r="Z181" s="142" t="str">
        <f t="shared" si="32"/>
        <v/>
      </c>
      <c r="AA181" s="142">
        <f t="shared" si="33"/>
        <v>0</v>
      </c>
      <c r="AB181" s="142"/>
      <c r="AC181" s="142"/>
      <c r="AD181" s="142"/>
      <c r="AE181" s="142"/>
      <c r="AF181" s="142"/>
      <c r="AG181" s="142"/>
      <c r="AH181" s="142"/>
      <c r="AI181" s="142"/>
      <c r="AJ181" s="154"/>
      <c r="AK181" s="118"/>
      <c r="AL181" s="118"/>
      <c r="AM181" s="118"/>
      <c r="AN181" s="118"/>
      <c r="AO181" s="118"/>
      <c r="AP181" s="118"/>
      <c r="AQ181" s="121"/>
      <c r="AR181" s="121"/>
      <c r="AS181" s="121"/>
      <c r="AT181" s="121"/>
      <c r="AU181" s="121"/>
      <c r="AV181" s="121"/>
      <c r="AW181" s="121"/>
      <c r="AX181" s="121"/>
      <c r="AY181" s="121"/>
      <c r="AZ181" s="121"/>
      <c r="BA181" s="121"/>
      <c r="BB181" s="121"/>
      <c r="BC181" s="121"/>
      <c r="BD181" s="121"/>
      <c r="BE181" s="121"/>
      <c r="BF181" s="121"/>
      <c r="BG181" s="121"/>
      <c r="BH181" s="121"/>
    </row>
    <row r="182" spans="1:60" ht="15" customHeight="1">
      <c r="A182" s="118"/>
      <c r="B182" s="165"/>
      <c r="C182" s="166"/>
      <c r="D182" s="167"/>
      <c r="E182" s="167"/>
      <c r="F182" s="167"/>
      <c r="G182" s="167"/>
      <c r="H182" s="168" t="str">
        <f t="shared" si="25"/>
        <v/>
      </c>
      <c r="I182" s="168"/>
      <c r="J182" s="131"/>
      <c r="K182" s="167"/>
      <c r="L182" s="167"/>
      <c r="M182" s="167"/>
      <c r="N182" s="167"/>
      <c r="O182" s="167"/>
      <c r="P182" s="136" t="str">
        <f t="shared" si="34"/>
        <v>_Inspection Log.xlsm</v>
      </c>
      <c r="Q182" s="140" t="str">
        <f t="shared" si="35"/>
        <v>C:\Users\sabi_\OneDrive\Desktop\New folder\Coding logs\_Inspection Log.xlsm</v>
      </c>
      <c r="R182" s="141">
        <f t="array" ref="R182">SUM(IF($J$30:$J$194=IF(J182="","Blank",J182),1,0))</f>
        <v>0</v>
      </c>
      <c r="S182" s="141">
        <f t="shared" si="26"/>
        <v>0</v>
      </c>
      <c r="T182" s="141" t="str">
        <f t="shared" si="27"/>
        <v/>
      </c>
      <c r="U182" s="142">
        <f t="shared" si="28"/>
        <v>0</v>
      </c>
      <c r="V182" s="142">
        <f t="shared" si="29"/>
        <v>0</v>
      </c>
      <c r="W182" s="142">
        <f t="array" ref="W182">SUM(IF(LEN(J180:J344)&lt;=3,0,1))</f>
        <v>0</v>
      </c>
      <c r="X182" s="141" t="str">
        <f t="shared" si="30"/>
        <v>_Inspection Log</v>
      </c>
      <c r="Y182" s="142">
        <f t="shared" si="31"/>
        <v>0</v>
      </c>
      <c r="Z182" s="142" t="str">
        <f t="shared" si="32"/>
        <v/>
      </c>
      <c r="AA182" s="142">
        <f t="shared" si="33"/>
        <v>0</v>
      </c>
      <c r="AB182" s="142"/>
      <c r="AC182" s="142"/>
      <c r="AD182" s="142"/>
      <c r="AE182" s="142"/>
      <c r="AF182" s="142"/>
      <c r="AG182" s="142"/>
      <c r="AH182" s="142"/>
      <c r="AI182" s="142"/>
      <c r="AJ182" s="154"/>
      <c r="AK182" s="118"/>
      <c r="AL182" s="118"/>
      <c r="AM182" s="118"/>
      <c r="AN182" s="118"/>
      <c r="AO182" s="118"/>
      <c r="AP182" s="118"/>
      <c r="AQ182" s="121"/>
      <c r="AR182" s="121"/>
      <c r="AS182" s="121"/>
      <c r="AT182" s="121"/>
      <c r="AU182" s="121"/>
      <c r="AV182" s="121"/>
      <c r="AW182" s="121"/>
      <c r="AX182" s="121"/>
      <c r="AY182" s="121"/>
      <c r="AZ182" s="121"/>
      <c r="BA182" s="121"/>
      <c r="BB182" s="121"/>
      <c r="BC182" s="121"/>
      <c r="BD182" s="121"/>
      <c r="BE182" s="121"/>
      <c r="BF182" s="121"/>
      <c r="BG182" s="121"/>
      <c r="BH182" s="121"/>
    </row>
    <row r="183" spans="1:60" ht="15" customHeight="1">
      <c r="A183" s="118"/>
      <c r="B183" s="165"/>
      <c r="C183" s="166"/>
      <c r="D183" s="167"/>
      <c r="E183" s="167"/>
      <c r="F183" s="167"/>
      <c r="G183" s="167"/>
      <c r="H183" s="168" t="str">
        <f t="shared" si="25"/>
        <v/>
      </c>
      <c r="I183" s="168"/>
      <c r="J183" s="131"/>
      <c r="K183" s="167"/>
      <c r="L183" s="167"/>
      <c r="M183" s="167"/>
      <c r="N183" s="167"/>
      <c r="O183" s="167"/>
      <c r="P183" s="136" t="str">
        <f t="shared" si="34"/>
        <v>_Inspection Log.xlsm</v>
      </c>
      <c r="Q183" s="140" t="str">
        <f t="shared" si="35"/>
        <v>C:\Users\sabi_\OneDrive\Desktop\New folder\Coding logs\_Inspection Log.xlsm</v>
      </c>
      <c r="R183" s="141">
        <f t="array" ref="R183">SUM(IF($J$30:$J$194=IF(J183="","Blank",J183),1,0))</f>
        <v>0</v>
      </c>
      <c r="S183" s="141">
        <f t="shared" si="26"/>
        <v>0</v>
      </c>
      <c r="T183" s="141" t="str">
        <f t="shared" si="27"/>
        <v/>
      </c>
      <c r="U183" s="142">
        <f t="shared" si="28"/>
        <v>0</v>
      </c>
      <c r="V183" s="142">
        <f t="shared" si="29"/>
        <v>0</v>
      </c>
      <c r="W183" s="142">
        <f t="array" ref="W183">SUM(IF(LEN(J181:J345)&lt;=3,0,1))</f>
        <v>0</v>
      </c>
      <c r="X183" s="141" t="str">
        <f t="shared" si="30"/>
        <v>_Inspection Log</v>
      </c>
      <c r="Y183" s="142">
        <f t="shared" si="31"/>
        <v>0</v>
      </c>
      <c r="Z183" s="142" t="str">
        <f t="shared" si="32"/>
        <v/>
      </c>
      <c r="AA183" s="142">
        <f t="shared" si="33"/>
        <v>0</v>
      </c>
      <c r="AB183" s="142"/>
      <c r="AC183" s="142"/>
      <c r="AD183" s="142"/>
      <c r="AE183" s="142"/>
      <c r="AF183" s="142"/>
      <c r="AG183" s="142"/>
      <c r="AH183" s="142"/>
      <c r="AI183" s="142"/>
      <c r="AJ183" s="154"/>
      <c r="AK183" s="118"/>
      <c r="AL183" s="118"/>
      <c r="AM183" s="118"/>
      <c r="AN183" s="118"/>
      <c r="AO183" s="118"/>
      <c r="AP183" s="118"/>
      <c r="AQ183" s="121"/>
      <c r="AR183" s="121"/>
      <c r="AS183" s="121"/>
      <c r="AT183" s="121"/>
      <c r="AU183" s="121"/>
      <c r="AV183" s="121"/>
      <c r="AW183" s="121"/>
      <c r="AX183" s="121"/>
      <c r="AY183" s="121"/>
      <c r="AZ183" s="121"/>
      <c r="BA183" s="121"/>
      <c r="BB183" s="121"/>
      <c r="BC183" s="121"/>
      <c r="BD183" s="121"/>
      <c r="BE183" s="121"/>
      <c r="BF183" s="121"/>
      <c r="BG183" s="121"/>
      <c r="BH183" s="121"/>
    </row>
    <row r="184" spans="1:60" ht="15" customHeight="1">
      <c r="A184" s="118"/>
      <c r="B184" s="165"/>
      <c r="C184" s="166"/>
      <c r="D184" s="167"/>
      <c r="E184" s="167"/>
      <c r="F184" s="167"/>
      <c r="G184" s="167"/>
      <c r="H184" s="168" t="str">
        <f t="shared" si="25"/>
        <v/>
      </c>
      <c r="I184" s="168"/>
      <c r="J184" s="131"/>
      <c r="K184" s="167"/>
      <c r="L184" s="167"/>
      <c r="M184" s="167"/>
      <c r="N184" s="167"/>
      <c r="O184" s="167"/>
      <c r="P184" s="136" t="str">
        <f t="shared" si="34"/>
        <v>_Inspection Log.xlsm</v>
      </c>
      <c r="Q184" s="140" t="str">
        <f t="shared" si="35"/>
        <v>C:\Users\sabi_\OneDrive\Desktop\New folder\Coding logs\_Inspection Log.xlsm</v>
      </c>
      <c r="R184" s="141">
        <f t="array" ref="R184">SUM(IF($J$30:$J$194=IF(J184="","Blank",J184),1,0))</f>
        <v>0</v>
      </c>
      <c r="S184" s="141">
        <f t="shared" si="26"/>
        <v>0</v>
      </c>
      <c r="T184" s="141" t="str">
        <f t="shared" si="27"/>
        <v/>
      </c>
      <c r="U184" s="142">
        <f t="shared" si="28"/>
        <v>0</v>
      </c>
      <c r="V184" s="142">
        <f t="shared" si="29"/>
        <v>0</v>
      </c>
      <c r="W184" s="142">
        <f t="array" ref="W184">SUM(IF(LEN(J182:J346)&lt;=3,0,1))</f>
        <v>0</v>
      </c>
      <c r="X184" s="141" t="str">
        <f t="shared" si="30"/>
        <v>_Inspection Log</v>
      </c>
      <c r="Y184" s="142">
        <f t="shared" si="31"/>
        <v>0</v>
      </c>
      <c r="Z184" s="142" t="str">
        <f t="shared" si="32"/>
        <v/>
      </c>
      <c r="AA184" s="142">
        <f t="shared" si="33"/>
        <v>0</v>
      </c>
      <c r="AB184" s="142"/>
      <c r="AC184" s="142"/>
      <c r="AD184" s="142"/>
      <c r="AE184" s="142"/>
      <c r="AF184" s="142"/>
      <c r="AG184" s="142"/>
      <c r="AH184" s="142"/>
      <c r="AI184" s="142"/>
      <c r="AJ184" s="154"/>
      <c r="AK184" s="118"/>
      <c r="AL184" s="118"/>
      <c r="AM184" s="118"/>
      <c r="AN184" s="118"/>
      <c r="AO184" s="118"/>
      <c r="AP184" s="118"/>
      <c r="AQ184" s="121"/>
      <c r="AR184" s="121"/>
      <c r="AS184" s="121"/>
      <c r="AT184" s="121"/>
      <c r="AU184" s="121"/>
      <c r="AV184" s="121"/>
      <c r="AW184" s="121"/>
      <c r="AX184" s="121"/>
      <c r="AY184" s="121"/>
      <c r="AZ184" s="121"/>
      <c r="BA184" s="121"/>
      <c r="BB184" s="121"/>
      <c r="BC184" s="121"/>
      <c r="BD184" s="121"/>
      <c r="BE184" s="121"/>
      <c r="BF184" s="121"/>
      <c r="BG184" s="121"/>
      <c r="BH184" s="121"/>
    </row>
    <row r="185" spans="1:60" ht="15" customHeight="1">
      <c r="A185" s="118"/>
      <c r="B185" s="165"/>
      <c r="C185" s="166"/>
      <c r="D185" s="167"/>
      <c r="E185" s="167"/>
      <c r="F185" s="167"/>
      <c r="G185" s="167"/>
      <c r="H185" s="168" t="str">
        <f t="shared" si="25"/>
        <v/>
      </c>
      <c r="I185" s="168"/>
      <c r="J185" s="131"/>
      <c r="K185" s="167"/>
      <c r="L185" s="167"/>
      <c r="M185" s="167"/>
      <c r="N185" s="167"/>
      <c r="O185" s="167"/>
      <c r="P185" s="136" t="str">
        <f t="shared" si="34"/>
        <v>_Inspection Log.xlsm</v>
      </c>
      <c r="Q185" s="140" t="str">
        <f t="shared" si="35"/>
        <v>C:\Users\sabi_\OneDrive\Desktop\New folder\Coding logs\_Inspection Log.xlsm</v>
      </c>
      <c r="R185" s="141">
        <f t="array" ref="R185">SUM(IF($J$30:$J$194=IF(J185="","Blank",J185),1,0))</f>
        <v>0</v>
      </c>
      <c r="S185" s="141">
        <f t="shared" si="26"/>
        <v>0</v>
      </c>
      <c r="T185" s="141" t="str">
        <f t="shared" si="27"/>
        <v/>
      </c>
      <c r="U185" s="142">
        <f t="shared" si="28"/>
        <v>0</v>
      </c>
      <c r="V185" s="142">
        <f t="shared" si="29"/>
        <v>0</v>
      </c>
      <c r="W185" s="142">
        <f t="array" ref="W185">SUM(IF(LEN(J183:J347)&lt;=3,0,1))</f>
        <v>0</v>
      </c>
      <c r="X185" s="141" t="str">
        <f t="shared" si="30"/>
        <v>_Inspection Log</v>
      </c>
      <c r="Y185" s="142">
        <f t="shared" si="31"/>
        <v>0</v>
      </c>
      <c r="Z185" s="142" t="str">
        <f t="shared" si="32"/>
        <v/>
      </c>
      <c r="AA185" s="142">
        <f t="shared" si="33"/>
        <v>0</v>
      </c>
      <c r="AB185" s="142"/>
      <c r="AC185" s="142"/>
      <c r="AD185" s="142"/>
      <c r="AE185" s="142"/>
      <c r="AF185" s="142"/>
      <c r="AG185" s="142"/>
      <c r="AH185" s="142"/>
      <c r="AI185" s="142"/>
      <c r="AJ185" s="154"/>
      <c r="AK185" s="118"/>
      <c r="AL185" s="118"/>
      <c r="AM185" s="118"/>
      <c r="AN185" s="118"/>
      <c r="AO185" s="118"/>
      <c r="AP185" s="118"/>
      <c r="AQ185" s="121"/>
      <c r="AR185" s="121"/>
      <c r="AS185" s="121"/>
      <c r="AT185" s="121"/>
      <c r="AU185" s="121"/>
      <c r="AV185" s="121"/>
      <c r="AW185" s="121"/>
      <c r="AX185" s="121"/>
      <c r="AY185" s="121"/>
      <c r="AZ185" s="121"/>
      <c r="BA185" s="121"/>
      <c r="BB185" s="121"/>
      <c r="BC185" s="121"/>
      <c r="BD185" s="121"/>
      <c r="BE185" s="121"/>
      <c r="BF185" s="121"/>
      <c r="BG185" s="121"/>
      <c r="BH185" s="121"/>
    </row>
    <row r="186" spans="1:60" ht="15" customHeight="1">
      <c r="A186" s="118"/>
      <c r="B186" s="165"/>
      <c r="C186" s="166"/>
      <c r="D186" s="167"/>
      <c r="E186" s="167"/>
      <c r="F186" s="167"/>
      <c r="G186" s="167"/>
      <c r="H186" s="168" t="str">
        <f t="shared" si="25"/>
        <v/>
      </c>
      <c r="I186" s="168"/>
      <c r="J186" s="131"/>
      <c r="K186" s="167"/>
      <c r="L186" s="167"/>
      <c r="M186" s="167"/>
      <c r="N186" s="167"/>
      <c r="O186" s="167"/>
      <c r="P186" s="136" t="str">
        <f t="shared" si="34"/>
        <v>_Inspection Log.xlsm</v>
      </c>
      <c r="Q186" s="140" t="str">
        <f t="shared" si="35"/>
        <v>C:\Users\sabi_\OneDrive\Desktop\New folder\Coding logs\_Inspection Log.xlsm</v>
      </c>
      <c r="R186" s="141">
        <f t="array" ref="R186">SUM(IF($J$30:$J$194=IF(J186="","Blank",J186),1,0))</f>
        <v>0</v>
      </c>
      <c r="S186" s="141">
        <f t="shared" si="26"/>
        <v>0</v>
      </c>
      <c r="T186" s="141" t="str">
        <f t="shared" si="27"/>
        <v/>
      </c>
      <c r="U186" s="142">
        <f t="shared" si="28"/>
        <v>0</v>
      </c>
      <c r="V186" s="142">
        <f t="shared" si="29"/>
        <v>0</v>
      </c>
      <c r="W186" s="142">
        <f t="array" ref="W186">SUM(IF(LEN(J184:J348)&lt;=3,0,1))</f>
        <v>0</v>
      </c>
      <c r="X186" s="141" t="str">
        <f t="shared" si="30"/>
        <v>_Inspection Log</v>
      </c>
      <c r="Y186" s="142">
        <f t="shared" si="31"/>
        <v>0</v>
      </c>
      <c r="Z186" s="142" t="str">
        <f t="shared" si="32"/>
        <v/>
      </c>
      <c r="AA186" s="142">
        <f t="shared" si="33"/>
        <v>0</v>
      </c>
      <c r="AB186" s="142"/>
      <c r="AC186" s="142"/>
      <c r="AD186" s="142"/>
      <c r="AE186" s="142"/>
      <c r="AF186" s="142"/>
      <c r="AG186" s="142"/>
      <c r="AH186" s="142"/>
      <c r="AI186" s="142"/>
      <c r="AJ186" s="154"/>
      <c r="AK186" s="118"/>
      <c r="AL186" s="118"/>
      <c r="AM186" s="118"/>
      <c r="AN186" s="118"/>
      <c r="AO186" s="118"/>
      <c r="AP186" s="118"/>
      <c r="AQ186" s="121"/>
      <c r="AR186" s="121"/>
      <c r="AS186" s="121"/>
      <c r="AT186" s="121"/>
      <c r="AU186" s="121"/>
      <c r="AV186" s="121"/>
      <c r="AW186" s="121"/>
      <c r="AX186" s="121"/>
      <c r="AY186" s="121"/>
      <c r="AZ186" s="121"/>
      <c r="BA186" s="121"/>
      <c r="BB186" s="121"/>
      <c r="BC186" s="121"/>
      <c r="BD186" s="121"/>
      <c r="BE186" s="121"/>
      <c r="BF186" s="121"/>
      <c r="BG186" s="121"/>
      <c r="BH186" s="121"/>
    </row>
    <row r="187" spans="1:60" ht="15" customHeight="1">
      <c r="A187" s="118"/>
      <c r="B187" s="165"/>
      <c r="C187" s="166"/>
      <c r="D187" s="167"/>
      <c r="E187" s="167"/>
      <c r="F187" s="167"/>
      <c r="G187" s="167"/>
      <c r="H187" s="168" t="str">
        <f t="shared" si="25"/>
        <v/>
      </c>
      <c r="I187" s="168"/>
      <c r="J187" s="131"/>
      <c r="K187" s="167"/>
      <c r="L187" s="167"/>
      <c r="M187" s="167"/>
      <c r="N187" s="167"/>
      <c r="O187" s="167"/>
      <c r="P187" s="136" t="str">
        <f t="shared" si="34"/>
        <v>_Inspection Log.xlsm</v>
      </c>
      <c r="Q187" s="140" t="str">
        <f t="shared" si="35"/>
        <v>C:\Users\sabi_\OneDrive\Desktop\New folder\Coding logs\_Inspection Log.xlsm</v>
      </c>
      <c r="R187" s="141">
        <f t="array" ref="R187">SUM(IF($J$30:$J$194=IF(J187="","Blank",J187),1,0))</f>
        <v>0</v>
      </c>
      <c r="S187" s="141">
        <f t="shared" si="26"/>
        <v>0</v>
      </c>
      <c r="T187" s="141" t="str">
        <f t="shared" si="27"/>
        <v/>
      </c>
      <c r="U187" s="142">
        <f t="shared" si="28"/>
        <v>0</v>
      </c>
      <c r="V187" s="142">
        <f t="shared" si="29"/>
        <v>0</v>
      </c>
      <c r="W187" s="142">
        <f t="array" ref="W187">SUM(IF(LEN(J185:J349)&lt;=3,0,1))</f>
        <v>0</v>
      </c>
      <c r="X187" s="141" t="str">
        <f t="shared" si="30"/>
        <v>_Inspection Log</v>
      </c>
      <c r="Y187" s="142">
        <f t="shared" si="31"/>
        <v>0</v>
      </c>
      <c r="Z187" s="142" t="str">
        <f t="shared" si="32"/>
        <v/>
      </c>
      <c r="AA187" s="142">
        <f t="shared" si="33"/>
        <v>0</v>
      </c>
      <c r="AB187" s="142"/>
      <c r="AC187" s="142"/>
      <c r="AD187" s="142"/>
      <c r="AE187" s="142"/>
      <c r="AF187" s="142"/>
      <c r="AG187" s="142"/>
      <c r="AH187" s="142"/>
      <c r="AI187" s="142"/>
      <c r="AJ187" s="154"/>
      <c r="AK187" s="118"/>
      <c r="AL187" s="118"/>
      <c r="AM187" s="118"/>
      <c r="AN187" s="118"/>
      <c r="AO187" s="118"/>
      <c r="AP187" s="118"/>
      <c r="AQ187" s="121"/>
      <c r="AR187" s="121"/>
      <c r="AS187" s="121"/>
      <c r="AT187" s="121"/>
      <c r="AU187" s="121"/>
      <c r="AV187" s="121"/>
      <c r="AW187" s="121"/>
      <c r="AX187" s="121"/>
      <c r="AY187" s="121"/>
      <c r="AZ187" s="121"/>
      <c r="BA187" s="121"/>
      <c r="BB187" s="121"/>
      <c r="BC187" s="121"/>
      <c r="BD187" s="121"/>
      <c r="BE187" s="121"/>
      <c r="BF187" s="121"/>
      <c r="BG187" s="121"/>
      <c r="BH187" s="121"/>
    </row>
    <row r="188" spans="1:60" ht="15" customHeight="1">
      <c r="A188" s="118"/>
      <c r="B188" s="165"/>
      <c r="C188" s="166"/>
      <c r="D188" s="167"/>
      <c r="E188" s="167"/>
      <c r="F188" s="167"/>
      <c r="G188" s="167"/>
      <c r="H188" s="168" t="str">
        <f t="shared" ref="H188:H193" si="36">IF(J188="","",J188)</f>
        <v/>
      </c>
      <c r="I188" s="168"/>
      <c r="J188" s="131"/>
      <c r="K188" s="167"/>
      <c r="L188" s="167"/>
      <c r="M188" s="167"/>
      <c r="N188" s="167"/>
      <c r="O188" s="167"/>
      <c r="P188" s="136" t="str">
        <f t="shared" si="34"/>
        <v>_Inspection Log.xlsm</v>
      </c>
      <c r="Q188" s="140" t="str">
        <f t="shared" si="35"/>
        <v>C:\Users\sabi_\OneDrive\Desktop\New folder\Coding logs\_Inspection Log.xlsm</v>
      </c>
      <c r="R188" s="141">
        <f t="array" ref="R188">SUM(IF($J$30:$J$194=IF(J188="","Blank",J188),1,0))</f>
        <v>0</v>
      </c>
      <c r="S188" s="141">
        <f t="shared" si="26"/>
        <v>0</v>
      </c>
      <c r="T188" s="141" t="str">
        <f t="shared" si="27"/>
        <v/>
      </c>
      <c r="U188" s="142">
        <f t="shared" si="28"/>
        <v>0</v>
      </c>
      <c r="V188" s="142">
        <f t="shared" si="29"/>
        <v>0</v>
      </c>
      <c r="W188" s="142">
        <f t="array" ref="W188">SUM(IF(LEN(J186:J350)&lt;=3,0,1))</f>
        <v>0</v>
      </c>
      <c r="X188" s="141" t="str">
        <f t="shared" si="30"/>
        <v>_Inspection Log</v>
      </c>
      <c r="Y188" s="142">
        <f t="shared" si="31"/>
        <v>0</v>
      </c>
      <c r="Z188" s="142" t="str">
        <f t="shared" si="32"/>
        <v/>
      </c>
      <c r="AA188" s="142">
        <f t="shared" si="33"/>
        <v>0</v>
      </c>
      <c r="AB188" s="142"/>
      <c r="AC188" s="142"/>
      <c r="AD188" s="142"/>
      <c r="AE188" s="142"/>
      <c r="AF188" s="142"/>
      <c r="AG188" s="142"/>
      <c r="AH188" s="142"/>
      <c r="AI188" s="142"/>
      <c r="AJ188" s="154"/>
      <c r="AK188" s="118"/>
      <c r="AL188" s="118"/>
      <c r="AM188" s="118"/>
      <c r="AN188" s="118"/>
      <c r="AO188" s="118"/>
      <c r="AP188" s="118"/>
      <c r="AQ188" s="121"/>
      <c r="AR188" s="121"/>
      <c r="AS188" s="121"/>
      <c r="AT188" s="121"/>
      <c r="AU188" s="121"/>
      <c r="AV188" s="121"/>
      <c r="AW188" s="121"/>
      <c r="AX188" s="121"/>
      <c r="AY188" s="121"/>
      <c r="AZ188" s="121"/>
      <c r="BA188" s="121"/>
      <c r="BB188" s="121"/>
      <c r="BC188" s="121"/>
      <c r="BD188" s="121"/>
      <c r="BE188" s="121"/>
      <c r="BF188" s="121"/>
      <c r="BG188" s="121"/>
      <c r="BH188" s="121"/>
    </row>
    <row r="189" spans="1:60" ht="15" customHeight="1">
      <c r="A189" s="118"/>
      <c r="B189" s="165"/>
      <c r="C189" s="166"/>
      <c r="D189" s="167"/>
      <c r="E189" s="167"/>
      <c r="F189" s="167"/>
      <c r="G189" s="167"/>
      <c r="H189" s="168" t="str">
        <f t="shared" si="36"/>
        <v/>
      </c>
      <c r="I189" s="168"/>
      <c r="J189" s="131"/>
      <c r="K189" s="167"/>
      <c r="L189" s="167"/>
      <c r="M189" s="167"/>
      <c r="N189" s="167"/>
      <c r="O189" s="167"/>
      <c r="P189" s="136" t="str">
        <f t="shared" si="34"/>
        <v>_Inspection Log.xlsm</v>
      </c>
      <c r="Q189" s="140" t="str">
        <f t="shared" si="35"/>
        <v>C:\Users\sabi_\OneDrive\Desktop\New folder\Coding logs\_Inspection Log.xlsm</v>
      </c>
      <c r="R189" s="141">
        <f t="array" ref="R189">SUM(IF($J$30:$J$194=IF(J189="","Blank",J189),1,0))</f>
        <v>0</v>
      </c>
      <c r="S189" s="141">
        <f t="shared" si="26"/>
        <v>0</v>
      </c>
      <c r="T189" s="141" t="str">
        <f t="shared" si="27"/>
        <v/>
      </c>
      <c r="U189" s="142">
        <f t="shared" si="28"/>
        <v>0</v>
      </c>
      <c r="V189" s="142">
        <f t="shared" si="29"/>
        <v>0</v>
      </c>
      <c r="W189" s="142">
        <f t="array" ref="W189">SUM(IF(LEN(J187:J351)&lt;=3,0,1))</f>
        <v>0</v>
      </c>
      <c r="X189" s="141" t="str">
        <f t="shared" si="30"/>
        <v>_Inspection Log</v>
      </c>
      <c r="Y189" s="142">
        <f t="shared" si="31"/>
        <v>0</v>
      </c>
      <c r="Z189" s="142" t="str">
        <f t="shared" si="32"/>
        <v/>
      </c>
      <c r="AA189" s="142">
        <f t="shared" si="33"/>
        <v>0</v>
      </c>
      <c r="AB189" s="142"/>
      <c r="AC189" s="142"/>
      <c r="AD189" s="142"/>
      <c r="AE189" s="142"/>
      <c r="AF189" s="142"/>
      <c r="AG189" s="142"/>
      <c r="AH189" s="142"/>
      <c r="AI189" s="142"/>
      <c r="AJ189" s="154"/>
      <c r="AK189" s="118"/>
      <c r="AL189" s="118"/>
      <c r="AM189" s="118"/>
      <c r="AN189" s="118"/>
      <c r="AO189" s="118"/>
      <c r="AP189" s="118"/>
      <c r="AQ189" s="121"/>
      <c r="AR189" s="121"/>
      <c r="AS189" s="121"/>
      <c r="AT189" s="121"/>
      <c r="AU189" s="121"/>
      <c r="AV189" s="121"/>
      <c r="AW189" s="121"/>
      <c r="AX189" s="121"/>
      <c r="AY189" s="121"/>
      <c r="AZ189" s="121"/>
      <c r="BA189" s="121"/>
      <c r="BB189" s="121"/>
      <c r="BC189" s="121"/>
      <c r="BD189" s="121"/>
      <c r="BE189" s="121"/>
      <c r="BF189" s="121"/>
      <c r="BG189" s="121"/>
      <c r="BH189" s="121"/>
    </row>
    <row r="190" spans="1:60" ht="15" customHeight="1">
      <c r="A190" s="118"/>
      <c r="B190" s="165"/>
      <c r="C190" s="166"/>
      <c r="D190" s="167"/>
      <c r="E190" s="167"/>
      <c r="F190" s="167"/>
      <c r="G190" s="167"/>
      <c r="H190" s="168" t="str">
        <f t="shared" si="36"/>
        <v/>
      </c>
      <c r="I190" s="168"/>
      <c r="J190" s="131"/>
      <c r="K190" s="167"/>
      <c r="L190" s="167"/>
      <c r="M190" s="167"/>
      <c r="N190" s="167"/>
      <c r="O190" s="167"/>
      <c r="P190" s="136" t="str">
        <f t="shared" si="34"/>
        <v>_Inspection Log.xlsm</v>
      </c>
      <c r="Q190" s="140" t="str">
        <f t="shared" si="35"/>
        <v>C:\Users\sabi_\OneDrive\Desktop\New folder\Coding logs\_Inspection Log.xlsm</v>
      </c>
      <c r="R190" s="141">
        <f t="array" ref="R190">SUM(IF($J$30:$J$194=IF(J190="","Blank",J190),1,0))</f>
        <v>0</v>
      </c>
      <c r="S190" s="141">
        <f t="shared" si="26"/>
        <v>0</v>
      </c>
      <c r="T190" s="141" t="str">
        <f t="shared" si="27"/>
        <v/>
      </c>
      <c r="U190" s="142">
        <f t="shared" si="28"/>
        <v>0</v>
      </c>
      <c r="V190" s="142">
        <f t="shared" si="29"/>
        <v>0</v>
      </c>
      <c r="W190" s="142">
        <f t="array" ref="W190">SUM(IF(LEN(J188:J352)&lt;=3,0,1))</f>
        <v>0</v>
      </c>
      <c r="X190" s="141" t="str">
        <f t="shared" si="30"/>
        <v>_Inspection Log</v>
      </c>
      <c r="Y190" s="142">
        <f t="shared" si="31"/>
        <v>0</v>
      </c>
      <c r="Z190" s="142" t="str">
        <f t="shared" si="32"/>
        <v/>
      </c>
      <c r="AA190" s="142">
        <f t="shared" si="33"/>
        <v>0</v>
      </c>
      <c r="AB190" s="142"/>
      <c r="AC190" s="142"/>
      <c r="AD190" s="142"/>
      <c r="AE190" s="142"/>
      <c r="AF190" s="142"/>
      <c r="AG190" s="142"/>
      <c r="AH190" s="142"/>
      <c r="AI190" s="142"/>
      <c r="AJ190" s="154"/>
      <c r="AK190" s="118"/>
      <c r="AL190" s="118"/>
      <c r="AM190" s="118"/>
      <c r="AN190" s="118"/>
      <c r="AO190" s="118"/>
      <c r="AP190" s="118"/>
      <c r="AQ190" s="121"/>
      <c r="AR190" s="121"/>
      <c r="AS190" s="121"/>
      <c r="AT190" s="121"/>
      <c r="AU190" s="121"/>
      <c r="AV190" s="121"/>
      <c r="AW190" s="121"/>
      <c r="AX190" s="121"/>
      <c r="AY190" s="121"/>
      <c r="AZ190" s="121"/>
      <c r="BA190" s="121"/>
      <c r="BB190" s="121"/>
      <c r="BC190" s="121"/>
      <c r="BD190" s="121"/>
      <c r="BE190" s="121"/>
      <c r="BF190" s="121"/>
      <c r="BG190" s="121"/>
      <c r="BH190" s="121"/>
    </row>
    <row r="191" spans="1:60" ht="15" customHeight="1">
      <c r="A191" s="118"/>
      <c r="B191" s="165"/>
      <c r="C191" s="166"/>
      <c r="D191" s="167"/>
      <c r="E191" s="167"/>
      <c r="F191" s="167"/>
      <c r="G191" s="167"/>
      <c r="H191" s="168" t="str">
        <f t="shared" si="36"/>
        <v/>
      </c>
      <c r="I191" s="168"/>
      <c r="J191" s="131"/>
      <c r="K191" s="167"/>
      <c r="L191" s="167"/>
      <c r="M191" s="167"/>
      <c r="N191" s="167"/>
      <c r="O191" s="167"/>
      <c r="P191" s="136" t="str">
        <f t="shared" si="34"/>
        <v>_Inspection Log.xlsm</v>
      </c>
      <c r="Q191" s="140" t="str">
        <f t="shared" si="35"/>
        <v>C:\Users\sabi_\OneDrive\Desktop\New folder\Coding logs\_Inspection Log.xlsm</v>
      </c>
      <c r="R191" s="141">
        <f t="array" ref="R191">SUM(IF($J$30:$J$194=IF(J191="","Blank",J191),1,0))</f>
        <v>0</v>
      </c>
      <c r="S191" s="141">
        <f t="shared" si="26"/>
        <v>0</v>
      </c>
      <c r="T191" s="141" t="str">
        <f t="shared" si="27"/>
        <v/>
      </c>
      <c r="U191" s="142">
        <f t="shared" si="28"/>
        <v>0</v>
      </c>
      <c r="V191" s="142">
        <f t="shared" si="29"/>
        <v>0</v>
      </c>
      <c r="W191" s="142">
        <f t="array" ref="W191">SUM(IF(LEN(J189:J353)&lt;=3,0,1))</f>
        <v>0</v>
      </c>
      <c r="X191" s="141" t="str">
        <f t="shared" si="30"/>
        <v>_Inspection Log</v>
      </c>
      <c r="Y191" s="142">
        <f t="shared" si="31"/>
        <v>0</v>
      </c>
      <c r="Z191" s="142" t="str">
        <f t="shared" si="32"/>
        <v/>
      </c>
      <c r="AA191" s="142">
        <f t="shared" si="33"/>
        <v>0</v>
      </c>
      <c r="AB191" s="142"/>
      <c r="AC191" s="142"/>
      <c r="AD191" s="142"/>
      <c r="AE191" s="142"/>
      <c r="AF191" s="142"/>
      <c r="AG191" s="142"/>
      <c r="AH191" s="142"/>
      <c r="AI191" s="142"/>
      <c r="AJ191" s="154"/>
      <c r="AK191" s="118"/>
      <c r="AL191" s="118"/>
      <c r="AM191" s="118"/>
      <c r="AN191" s="118"/>
      <c r="AO191" s="118"/>
      <c r="AP191" s="118"/>
      <c r="AQ191" s="121"/>
      <c r="AR191" s="121"/>
      <c r="AS191" s="121"/>
      <c r="AT191" s="121"/>
      <c r="AU191" s="121"/>
      <c r="AV191" s="121"/>
      <c r="AW191" s="121"/>
      <c r="AX191" s="121"/>
      <c r="AY191" s="121"/>
      <c r="AZ191" s="121"/>
      <c r="BA191" s="121"/>
      <c r="BB191" s="121"/>
      <c r="BC191" s="121"/>
      <c r="BD191" s="121"/>
      <c r="BE191" s="121"/>
      <c r="BF191" s="121"/>
      <c r="BG191" s="121"/>
      <c r="BH191" s="121"/>
    </row>
    <row r="192" spans="1:60" ht="15" customHeight="1">
      <c r="A192" s="118"/>
      <c r="B192" s="165"/>
      <c r="C192" s="166"/>
      <c r="D192" s="167"/>
      <c r="E192" s="167"/>
      <c r="F192" s="167"/>
      <c r="G192" s="167"/>
      <c r="H192" s="168" t="str">
        <f t="shared" si="36"/>
        <v/>
      </c>
      <c r="I192" s="168"/>
      <c r="J192" s="131"/>
      <c r="K192" s="167"/>
      <c r="L192" s="167"/>
      <c r="M192" s="167"/>
      <c r="N192" s="167"/>
      <c r="O192" s="167"/>
      <c r="P192" s="136" t="str">
        <f t="shared" si="34"/>
        <v>_Inspection Log.xlsm</v>
      </c>
      <c r="Q192" s="140" t="str">
        <f t="shared" si="35"/>
        <v>C:\Users\sabi_\OneDrive\Desktop\New folder\Coding logs\_Inspection Log.xlsm</v>
      </c>
      <c r="R192" s="141">
        <f t="array" ref="R192">SUM(IF($J$30:$J$194=IF(J192="","Blank",J192),1,0))</f>
        <v>0</v>
      </c>
      <c r="S192" s="141">
        <f t="shared" si="26"/>
        <v>0</v>
      </c>
      <c r="T192" s="141" t="str">
        <f t="shared" si="27"/>
        <v/>
      </c>
      <c r="U192" s="142">
        <f t="shared" si="28"/>
        <v>0</v>
      </c>
      <c r="V192" s="142">
        <f t="shared" si="29"/>
        <v>0</v>
      </c>
      <c r="W192" s="142">
        <f t="array" ref="W192">SUM(IF(LEN(J190:J354)&lt;=3,0,1))</f>
        <v>0</v>
      </c>
      <c r="X192" s="141" t="str">
        <f t="shared" si="30"/>
        <v>_Inspection Log</v>
      </c>
      <c r="Y192" s="142">
        <f t="shared" si="31"/>
        <v>0</v>
      </c>
      <c r="Z192" s="142" t="str">
        <f t="shared" si="32"/>
        <v/>
      </c>
      <c r="AA192" s="142">
        <f t="shared" si="33"/>
        <v>0</v>
      </c>
      <c r="AB192" s="142"/>
      <c r="AC192" s="142"/>
      <c r="AD192" s="142"/>
      <c r="AE192" s="142"/>
      <c r="AF192" s="142"/>
      <c r="AG192" s="142"/>
      <c r="AH192" s="142"/>
      <c r="AI192" s="142"/>
      <c r="AJ192" s="154"/>
      <c r="AK192" s="118"/>
      <c r="AL192" s="118"/>
      <c r="AM192" s="118"/>
      <c r="AN192" s="118"/>
      <c r="AO192" s="118"/>
      <c r="AP192" s="118"/>
      <c r="AQ192" s="121"/>
      <c r="AR192" s="121"/>
      <c r="AS192" s="121"/>
      <c r="AT192" s="121"/>
      <c r="AU192" s="121"/>
      <c r="AV192" s="121"/>
      <c r="AW192" s="121"/>
      <c r="AX192" s="121"/>
      <c r="AY192" s="121"/>
      <c r="AZ192" s="121"/>
      <c r="BA192" s="121"/>
      <c r="BB192" s="121"/>
      <c r="BC192" s="121"/>
      <c r="BD192" s="121"/>
      <c r="BE192" s="121"/>
      <c r="BF192" s="121"/>
      <c r="BG192" s="121"/>
      <c r="BH192" s="121"/>
    </row>
    <row r="193" spans="1:60" ht="15" customHeight="1">
      <c r="A193" s="118"/>
      <c r="B193" s="165"/>
      <c r="C193" s="166"/>
      <c r="D193" s="167"/>
      <c r="E193" s="167"/>
      <c r="F193" s="167"/>
      <c r="G193" s="167"/>
      <c r="H193" s="168" t="str">
        <f t="shared" si="36"/>
        <v/>
      </c>
      <c r="I193" s="168"/>
      <c r="J193" s="131"/>
      <c r="K193" s="167"/>
      <c r="L193" s="167"/>
      <c r="M193" s="167"/>
      <c r="N193" s="167"/>
      <c r="O193" s="167"/>
      <c r="P193" s="136" t="str">
        <f t="shared" si="34"/>
        <v>_Inspection Log.xlsm</v>
      </c>
      <c r="Q193" s="140" t="str">
        <f t="shared" si="35"/>
        <v>C:\Users\sabi_\OneDrive\Desktop\New folder\Coding logs\_Inspection Log.xlsm</v>
      </c>
      <c r="R193" s="141">
        <f t="array" ref="R193">SUM(IF($J$30:$J$194=IF(J193="","Blank",J193),1,0))</f>
        <v>0</v>
      </c>
      <c r="S193" s="141">
        <f t="shared" si="26"/>
        <v>0</v>
      </c>
      <c r="T193" s="141" t="str">
        <f t="shared" si="27"/>
        <v/>
      </c>
      <c r="U193" s="142">
        <f t="shared" si="28"/>
        <v>0</v>
      </c>
      <c r="V193" s="142">
        <f t="shared" si="29"/>
        <v>0</v>
      </c>
      <c r="W193" s="142">
        <f t="array" ref="W193">SUM(IF(LEN(J191:J355)&lt;=3,0,1))</f>
        <v>0</v>
      </c>
      <c r="X193" s="141" t="str">
        <f t="shared" si="30"/>
        <v>_Inspection Log</v>
      </c>
      <c r="Y193" s="142">
        <f t="shared" si="31"/>
        <v>0</v>
      </c>
      <c r="Z193" s="142" t="str">
        <f t="shared" si="32"/>
        <v/>
      </c>
      <c r="AA193" s="142">
        <f t="shared" si="33"/>
        <v>0</v>
      </c>
      <c r="AB193" s="142"/>
      <c r="AC193" s="142"/>
      <c r="AD193" s="142"/>
      <c r="AE193" s="142"/>
      <c r="AF193" s="142"/>
      <c r="AG193" s="142"/>
      <c r="AH193" s="142"/>
      <c r="AI193" s="142"/>
      <c r="AJ193" s="154"/>
      <c r="AK193" s="118"/>
      <c r="AL193" s="118"/>
      <c r="AM193" s="118"/>
      <c r="AN193" s="118"/>
      <c r="AO193" s="118"/>
      <c r="AP193" s="118"/>
      <c r="AQ193" s="121"/>
      <c r="AR193" s="121"/>
      <c r="AS193" s="121"/>
      <c r="AT193" s="121"/>
      <c r="AU193" s="121"/>
      <c r="AV193" s="121"/>
      <c r="AW193" s="121"/>
      <c r="AX193" s="121"/>
      <c r="AY193" s="121"/>
      <c r="AZ193" s="121"/>
      <c r="BA193" s="121"/>
      <c r="BB193" s="121"/>
      <c r="BC193" s="121"/>
      <c r="BD193" s="121"/>
      <c r="BE193" s="121"/>
      <c r="BF193" s="121"/>
      <c r="BG193" s="121"/>
      <c r="BH193" s="121"/>
    </row>
    <row r="194" spans="1:60" ht="15" customHeight="1">
      <c r="A194" s="118"/>
      <c r="B194" s="169"/>
      <c r="C194" s="170"/>
      <c r="D194" s="171"/>
      <c r="E194" s="171"/>
      <c r="F194" s="171"/>
      <c r="G194" s="171"/>
      <c r="H194" s="172" t="str">
        <f t="shared" ref="H194" si="37">IF(J194="","",J194)</f>
        <v/>
      </c>
      <c r="I194" s="172"/>
      <c r="J194" s="155"/>
      <c r="K194" s="171"/>
      <c r="L194" s="171"/>
      <c r="M194" s="171"/>
      <c r="N194" s="171"/>
      <c r="O194" s="171"/>
      <c r="P194" s="156" t="str">
        <f t="shared" si="34"/>
        <v>_Inspection Log.xlsm</v>
      </c>
      <c r="Q194" s="157" t="str">
        <f t="shared" si="35"/>
        <v>C:\Users\sabi_\OneDrive\Desktop\New folder\Coding logs\_Inspection Log.xlsm</v>
      </c>
      <c r="R194" s="158">
        <f t="array" ref="R194">SUM(IF($J$30:$J$194=IF(J194="","Blank",J194),1,0))</f>
        <v>0</v>
      </c>
      <c r="S194" s="158">
        <f t="shared" si="26"/>
        <v>0</v>
      </c>
      <c r="T194" s="158" t="str">
        <f t="shared" si="27"/>
        <v/>
      </c>
      <c r="U194" s="159">
        <f t="shared" si="28"/>
        <v>0</v>
      </c>
      <c r="V194" s="159">
        <f t="shared" si="29"/>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62"/>
      <c r="AK194" s="118"/>
      <c r="AL194" s="118"/>
      <c r="AM194" s="118"/>
      <c r="AN194" s="118"/>
      <c r="AO194" s="118"/>
      <c r="AP194" s="118"/>
      <c r="AQ194" s="121"/>
      <c r="AR194" s="121"/>
      <c r="AS194" s="121"/>
      <c r="AT194" s="121"/>
      <c r="AU194" s="121"/>
      <c r="AV194" s="121"/>
      <c r="AW194" s="121"/>
      <c r="AX194" s="121"/>
      <c r="AY194" s="121"/>
      <c r="AZ194" s="121"/>
      <c r="BA194" s="121"/>
      <c r="BB194" s="121"/>
      <c r="BC194" s="121"/>
      <c r="BD194" s="121"/>
      <c r="BE194" s="121"/>
      <c r="BF194" s="121"/>
      <c r="BG194" s="121"/>
      <c r="BH194" s="121"/>
    </row>
    <row r="195" spans="1:60">
      <c r="A195" s="118"/>
      <c r="AK195" s="118"/>
      <c r="AL195" s="118"/>
      <c r="AM195" s="118"/>
      <c r="AN195" s="118"/>
      <c r="AO195" s="118"/>
      <c r="AP195" s="118"/>
      <c r="AQ195" s="121"/>
      <c r="AR195" s="121"/>
      <c r="AS195" s="121"/>
      <c r="AT195" s="121"/>
      <c r="AU195" s="121"/>
      <c r="AV195" s="121"/>
      <c r="AW195" s="121"/>
      <c r="AX195" s="121"/>
      <c r="AY195" s="121"/>
      <c r="AZ195" s="121"/>
      <c r="BA195" s="121"/>
      <c r="BB195" s="121"/>
      <c r="BC195" s="121"/>
      <c r="BD195" s="121"/>
      <c r="BE195" s="121"/>
      <c r="BF195" s="121"/>
      <c r="BG195" s="121"/>
      <c r="BH195" s="121"/>
    </row>
    <row r="196" spans="1:60" ht="12.75" customHeight="1">
      <c r="A196" s="118"/>
      <c r="B196" s="12">
        <f>COUNTA(B30:C194)</f>
        <v>5</v>
      </c>
      <c r="D196" s="12">
        <f>COUNTA(D30:E194)</f>
        <v>5</v>
      </c>
      <c r="F196" s="12">
        <f>COUNTA(F30:G194)</f>
        <v>5</v>
      </c>
      <c r="H196" s="12">
        <f>COUNTA(H30:H194)-COUNTBLANK(H30:H194)</f>
        <v>5</v>
      </c>
      <c r="J196" s="12">
        <f>COUNTA(J30:J194)</f>
        <v>5</v>
      </c>
      <c r="K196" s="12">
        <f>COUNTA(K30:L194)</f>
        <v>5</v>
      </c>
      <c r="Q196" s="62">
        <f>COUNTA(Q30:Q194)</f>
        <v>165</v>
      </c>
      <c r="R196" s="62">
        <f>COUNTA(R30:S194)</f>
        <v>330</v>
      </c>
      <c r="V196" s="62">
        <f>COUNTA(V30:W194)</f>
        <v>330</v>
      </c>
      <c r="X196" s="62">
        <f>COUNTA(X30:X194)</f>
        <v>165</v>
      </c>
      <c r="Y196" s="62">
        <f>COUNTA(Y30:Z194)</f>
        <v>330</v>
      </c>
      <c r="AC196" s="62">
        <f>COUNTA(AC30:AD194)</f>
        <v>0</v>
      </c>
      <c r="AE196" s="62">
        <f>COUNTA(AE30:AE194)</f>
        <v>0</v>
      </c>
      <c r="AF196" s="62">
        <f>COUNTA(AF30:AG194)</f>
        <v>0</v>
      </c>
      <c r="AJ196" s="120">
        <f>COUNTA(AJ30:AK194)</f>
        <v>5</v>
      </c>
      <c r="AK196" s="118"/>
      <c r="AL196" s="118">
        <v>0</v>
      </c>
      <c r="AM196" s="118">
        <v>0</v>
      </c>
      <c r="AN196" s="118"/>
      <c r="AO196" s="118"/>
      <c r="AP196" s="118"/>
      <c r="AQ196" s="121"/>
      <c r="AR196" s="121"/>
      <c r="AS196" s="121"/>
      <c r="AT196" s="121"/>
      <c r="AU196" s="121"/>
      <c r="AV196" s="121"/>
      <c r="AW196" s="121"/>
      <c r="AX196" s="121"/>
      <c r="AY196" s="121"/>
      <c r="AZ196" s="121"/>
      <c r="BA196" s="121"/>
      <c r="BB196" s="121"/>
      <c r="BC196" s="121"/>
      <c r="BD196" s="121"/>
      <c r="BE196" s="121"/>
      <c r="BF196" s="121"/>
      <c r="BG196" s="121"/>
      <c r="BH196" s="121"/>
    </row>
    <row r="197" spans="1:60">
      <c r="A197" s="118"/>
      <c r="AK197" s="118"/>
      <c r="AL197" s="118"/>
      <c r="AM197" s="118"/>
      <c r="AN197" s="118"/>
      <c r="AO197" s="118"/>
      <c r="AP197" s="118"/>
      <c r="AQ197" s="121"/>
      <c r="AR197" s="121"/>
      <c r="AS197" s="121"/>
      <c r="AT197" s="121"/>
      <c r="AU197" s="121"/>
      <c r="AV197" s="121"/>
      <c r="AW197" s="121"/>
      <c r="AX197" s="121"/>
      <c r="AY197" s="121"/>
      <c r="AZ197" s="121"/>
      <c r="BA197" s="121"/>
      <c r="BB197" s="121"/>
      <c r="BC197" s="121"/>
      <c r="BD197" s="121"/>
      <c r="BE197" s="121"/>
      <c r="BF197" s="121"/>
      <c r="BG197" s="121"/>
      <c r="BH197" s="121"/>
    </row>
    <row r="198" spans="1:60">
      <c r="A198" s="118"/>
      <c r="AK198" s="118"/>
      <c r="AL198" s="118"/>
      <c r="AM198" s="118"/>
      <c r="AN198" s="118"/>
      <c r="AO198" s="118"/>
      <c r="AP198" s="118"/>
      <c r="AQ198" s="121"/>
      <c r="AR198" s="121"/>
      <c r="AS198" s="121"/>
      <c r="AT198" s="121"/>
      <c r="AU198" s="121"/>
      <c r="AV198" s="121"/>
      <c r="AW198" s="121"/>
      <c r="AX198" s="121"/>
      <c r="AY198" s="121"/>
      <c r="AZ198" s="121"/>
      <c r="BA198" s="121"/>
      <c r="BB198" s="121"/>
      <c r="BC198" s="121"/>
      <c r="BD198" s="121"/>
      <c r="BE198" s="121"/>
      <c r="BF198" s="121"/>
      <c r="BG198" s="121"/>
      <c r="BH198" s="121"/>
    </row>
    <row r="199" spans="1:60">
      <c r="A199" s="118"/>
      <c r="AK199" s="118"/>
      <c r="AL199" s="118"/>
      <c r="AM199" s="118"/>
      <c r="AN199" s="118"/>
      <c r="AO199" s="118"/>
      <c r="AP199" s="118"/>
      <c r="AQ199" s="121"/>
      <c r="AR199" s="121"/>
      <c r="AS199" s="121"/>
      <c r="AT199" s="121"/>
      <c r="AU199" s="121"/>
      <c r="AV199" s="121"/>
      <c r="AW199" s="121"/>
      <c r="AX199" s="121"/>
      <c r="AY199" s="121"/>
      <c r="AZ199" s="121"/>
      <c r="BA199" s="121"/>
      <c r="BB199" s="121"/>
      <c r="BC199" s="121"/>
      <c r="BD199" s="121"/>
      <c r="BE199" s="121"/>
      <c r="BF199" s="121"/>
      <c r="BG199" s="121"/>
      <c r="BH199" s="121"/>
    </row>
    <row r="200" spans="1:60">
      <c r="A200" s="118"/>
      <c r="AK200" s="118"/>
      <c r="AL200" s="118"/>
      <c r="AM200" s="118"/>
      <c r="AN200" s="118"/>
      <c r="AO200" s="118"/>
      <c r="AP200" s="118"/>
      <c r="AQ200" s="121"/>
      <c r="AR200" s="121"/>
      <c r="AS200" s="121"/>
      <c r="AT200" s="121"/>
      <c r="AU200" s="121"/>
      <c r="AV200" s="121"/>
      <c r="AW200" s="121"/>
      <c r="AX200" s="121"/>
      <c r="AY200" s="121"/>
      <c r="AZ200" s="121"/>
      <c r="BA200" s="121"/>
      <c r="BB200" s="121"/>
      <c r="BC200" s="121"/>
      <c r="BD200" s="121"/>
      <c r="BE200" s="121"/>
      <c r="BF200" s="121"/>
      <c r="BG200" s="121"/>
      <c r="BH200" s="121"/>
    </row>
    <row r="201" spans="1:60">
      <c r="A201" s="118"/>
      <c r="AK201" s="118"/>
      <c r="AL201" s="118"/>
      <c r="AM201" s="118"/>
      <c r="AN201" s="118"/>
      <c r="AO201" s="118"/>
      <c r="AP201" s="118"/>
      <c r="AQ201" s="121"/>
      <c r="AR201" s="121"/>
      <c r="AS201" s="121"/>
      <c r="AT201" s="121"/>
      <c r="AU201" s="121"/>
      <c r="AV201" s="121"/>
      <c r="AW201" s="121"/>
      <c r="AX201" s="121"/>
      <c r="AY201" s="121"/>
      <c r="AZ201" s="121"/>
      <c r="BA201" s="121"/>
      <c r="BB201" s="121"/>
      <c r="BC201" s="121"/>
      <c r="BD201" s="121"/>
      <c r="BE201" s="121"/>
      <c r="BF201" s="121"/>
      <c r="BG201" s="121"/>
      <c r="BH201" s="121"/>
    </row>
    <row r="202" spans="1:60">
      <c r="A202" s="118"/>
      <c r="AK202" s="118"/>
      <c r="AL202" s="118"/>
      <c r="AM202" s="118"/>
      <c r="AN202" s="118"/>
      <c r="AO202" s="118"/>
      <c r="AP202" s="118"/>
      <c r="AQ202" s="121"/>
      <c r="AR202" s="121"/>
      <c r="AS202" s="121"/>
      <c r="AT202" s="121"/>
      <c r="AU202" s="121"/>
      <c r="AV202" s="121"/>
      <c r="AW202" s="121"/>
      <c r="AX202" s="121"/>
      <c r="AY202" s="121"/>
      <c r="AZ202" s="121"/>
      <c r="BA202" s="121"/>
      <c r="BB202" s="121"/>
      <c r="BC202" s="121"/>
      <c r="BD202" s="121"/>
      <c r="BE202" s="121"/>
      <c r="BF202" s="121"/>
      <c r="BG202" s="121"/>
      <c r="BH202" s="121"/>
    </row>
    <row r="203" spans="1:60">
      <c r="A203" s="118"/>
      <c r="AK203" s="118"/>
      <c r="AL203" s="118"/>
      <c r="AM203" s="118"/>
      <c r="AN203" s="118"/>
      <c r="AO203" s="118"/>
      <c r="AP203" s="118"/>
      <c r="AQ203" s="121"/>
      <c r="AR203" s="121"/>
      <c r="AS203" s="121"/>
      <c r="AT203" s="121"/>
      <c r="AU203" s="121"/>
      <c r="AV203" s="121"/>
      <c r="AW203" s="121"/>
      <c r="AX203" s="121"/>
      <c r="AY203" s="121"/>
      <c r="AZ203" s="121"/>
      <c r="BA203" s="121"/>
      <c r="BB203" s="121"/>
      <c r="BC203" s="121"/>
      <c r="BD203" s="121"/>
      <c r="BE203" s="121"/>
      <c r="BF203" s="121"/>
      <c r="BG203" s="121"/>
      <c r="BH203" s="121"/>
    </row>
    <row r="204" spans="1:60">
      <c r="A204" s="118"/>
      <c r="AK204" s="118"/>
      <c r="AL204" s="118"/>
      <c r="AM204" s="118"/>
      <c r="AN204" s="118"/>
      <c r="AO204" s="118"/>
      <c r="AP204" s="118"/>
      <c r="AQ204" s="121"/>
      <c r="AR204" s="121"/>
      <c r="AS204" s="121"/>
      <c r="AT204" s="121"/>
      <c r="AU204" s="121"/>
      <c r="AV204" s="121"/>
      <c r="AW204" s="121"/>
      <c r="AX204" s="121"/>
      <c r="AY204" s="121"/>
      <c r="AZ204" s="121"/>
      <c r="BA204" s="121"/>
      <c r="BB204" s="121"/>
      <c r="BC204" s="121"/>
      <c r="BD204" s="121"/>
      <c r="BE204" s="121"/>
      <c r="BF204" s="121"/>
      <c r="BG204" s="121"/>
      <c r="BH204" s="121"/>
    </row>
    <row r="205" spans="1:60">
      <c r="A205" s="118"/>
      <c r="AK205" s="118"/>
      <c r="AL205" s="118"/>
      <c r="AM205" s="118"/>
      <c r="AN205" s="118"/>
      <c r="AO205" s="118"/>
      <c r="AP205" s="118"/>
      <c r="AQ205" s="121"/>
      <c r="AR205" s="121"/>
      <c r="AS205" s="121"/>
      <c r="AT205" s="121"/>
      <c r="AU205" s="121"/>
      <c r="AV205" s="121"/>
      <c r="AW205" s="121"/>
      <c r="AX205" s="121"/>
      <c r="AY205" s="121"/>
      <c r="AZ205" s="121"/>
      <c r="BA205" s="121"/>
      <c r="BB205" s="121"/>
      <c r="BC205" s="121"/>
      <c r="BD205" s="121"/>
      <c r="BE205" s="121"/>
      <c r="BF205" s="121"/>
      <c r="BG205" s="121"/>
      <c r="BH205" s="121"/>
    </row>
    <row r="206" spans="1:60">
      <c r="A206" s="118"/>
      <c r="AK206" s="118"/>
      <c r="AL206" s="118"/>
      <c r="AM206" s="118"/>
      <c r="AN206" s="118"/>
      <c r="AO206" s="118"/>
      <c r="AP206" s="118"/>
      <c r="AQ206" s="121"/>
      <c r="AR206" s="121"/>
      <c r="AS206" s="121"/>
      <c r="AT206" s="121"/>
      <c r="AU206" s="121"/>
      <c r="AV206" s="121"/>
      <c r="AW206" s="121"/>
      <c r="AX206" s="121"/>
      <c r="AY206" s="121"/>
      <c r="AZ206" s="121"/>
      <c r="BA206" s="121"/>
      <c r="BB206" s="121"/>
      <c r="BC206" s="121"/>
      <c r="BD206" s="121"/>
      <c r="BE206" s="121"/>
      <c r="BF206" s="121"/>
      <c r="BG206" s="121"/>
      <c r="BH206" s="121"/>
    </row>
    <row r="207" spans="1:60">
      <c r="A207" s="118"/>
      <c r="AK207" s="118"/>
      <c r="AL207" s="118"/>
      <c r="AM207" s="118"/>
      <c r="AN207" s="118"/>
      <c r="AO207" s="118"/>
      <c r="AP207" s="118"/>
      <c r="AQ207" s="121"/>
      <c r="AR207" s="121"/>
      <c r="AS207" s="121"/>
      <c r="AT207" s="121"/>
      <c r="AU207" s="121"/>
      <c r="AV207" s="121"/>
      <c r="AW207" s="121"/>
      <c r="AX207" s="121"/>
      <c r="AY207" s="121"/>
      <c r="AZ207" s="121"/>
      <c r="BA207" s="121"/>
      <c r="BB207" s="121"/>
      <c r="BC207" s="121"/>
      <c r="BD207" s="121"/>
      <c r="BE207" s="121"/>
      <c r="BF207" s="121"/>
      <c r="BG207" s="121"/>
      <c r="BH207" s="121"/>
    </row>
    <row r="208" spans="1:60">
      <c r="A208" s="118"/>
      <c r="AK208" s="118"/>
      <c r="AL208" s="118"/>
      <c r="AM208" s="118"/>
      <c r="AN208" s="118"/>
      <c r="AO208" s="118"/>
      <c r="AP208" s="118"/>
      <c r="AQ208" s="121"/>
      <c r="AR208" s="121"/>
      <c r="AS208" s="121"/>
      <c r="AT208" s="121"/>
      <c r="AU208" s="121"/>
      <c r="AV208" s="121"/>
      <c r="AW208" s="121"/>
      <c r="AX208" s="121"/>
      <c r="AY208" s="121"/>
      <c r="AZ208" s="121"/>
      <c r="BA208" s="121"/>
      <c r="BB208" s="121"/>
      <c r="BC208" s="121"/>
      <c r="BD208" s="121"/>
      <c r="BE208" s="121"/>
      <c r="BF208" s="121"/>
      <c r="BG208" s="121"/>
      <c r="BH208" s="121"/>
    </row>
    <row r="209" spans="1:60">
      <c r="A209" s="118"/>
      <c r="AK209" s="118"/>
      <c r="AL209" s="118"/>
      <c r="AM209" s="118"/>
      <c r="AN209" s="118"/>
      <c r="AO209" s="118"/>
      <c r="AP209" s="118"/>
      <c r="AQ209" s="121"/>
      <c r="AR209" s="121"/>
      <c r="AS209" s="121"/>
      <c r="AT209" s="121"/>
      <c r="AU209" s="121"/>
      <c r="AV209" s="121"/>
      <c r="AW209" s="121"/>
      <c r="AX209" s="121"/>
      <c r="AY209" s="121"/>
      <c r="AZ209" s="121"/>
      <c r="BA209" s="121"/>
      <c r="BB209" s="121"/>
      <c r="BC209" s="121"/>
      <c r="BD209" s="121"/>
      <c r="BE209" s="121"/>
      <c r="BF209" s="121"/>
      <c r="BG209" s="121"/>
      <c r="BH209" s="121"/>
    </row>
    <row r="210" spans="1:60">
      <c r="A210" s="118"/>
      <c r="AK210" s="118"/>
      <c r="AL210" s="118"/>
      <c r="AM210" s="118"/>
      <c r="AN210" s="118"/>
      <c r="AO210" s="118"/>
      <c r="AP210" s="118"/>
      <c r="AQ210" s="121"/>
      <c r="AR210" s="121"/>
      <c r="AS210" s="121"/>
      <c r="AT210" s="121"/>
      <c r="AU210" s="121"/>
      <c r="AV210" s="121"/>
      <c r="AW210" s="121"/>
      <c r="AX210" s="121"/>
      <c r="AY210" s="121"/>
      <c r="AZ210" s="121"/>
      <c r="BA210" s="121"/>
      <c r="BB210" s="121"/>
      <c r="BC210" s="121"/>
      <c r="BD210" s="121"/>
      <c r="BE210" s="121"/>
      <c r="BF210" s="121"/>
      <c r="BG210" s="121"/>
      <c r="BH210" s="121"/>
    </row>
    <row r="211" spans="1:60">
      <c r="A211" s="118"/>
      <c r="AK211" s="118"/>
      <c r="AL211" s="118"/>
      <c r="AM211" s="118"/>
      <c r="AN211" s="118"/>
      <c r="AO211" s="118"/>
      <c r="AP211" s="118"/>
      <c r="AQ211" s="121"/>
      <c r="AR211" s="121"/>
      <c r="AS211" s="121"/>
      <c r="AT211" s="121"/>
      <c r="AU211" s="121"/>
      <c r="AV211" s="121"/>
      <c r="AW211" s="121"/>
      <c r="AX211" s="121"/>
      <c r="AY211" s="121"/>
      <c r="AZ211" s="121"/>
      <c r="BA211" s="121"/>
      <c r="BB211" s="121"/>
      <c r="BC211" s="121"/>
      <c r="BD211" s="121"/>
      <c r="BE211" s="121"/>
      <c r="BF211" s="121"/>
      <c r="BG211" s="121"/>
      <c r="BH211" s="121"/>
    </row>
    <row r="212" spans="1:60">
      <c r="AK212" s="118"/>
      <c r="AL212" s="118"/>
      <c r="AM212" s="118"/>
      <c r="AN212" s="118"/>
      <c r="AO212" s="118"/>
      <c r="AP212" s="118"/>
      <c r="AQ212" s="121"/>
      <c r="AR212" s="121"/>
      <c r="AS212" s="121"/>
      <c r="AT212" s="121"/>
      <c r="AU212" s="121"/>
      <c r="AV212" s="121"/>
      <c r="AW212" s="121"/>
      <c r="AX212" s="121"/>
      <c r="AY212" s="121"/>
      <c r="AZ212" s="121"/>
      <c r="BA212" s="121"/>
      <c r="BB212" s="121"/>
      <c r="BC212" s="121"/>
      <c r="BD212" s="121"/>
      <c r="BE212" s="121"/>
      <c r="BF212" s="121"/>
      <c r="BG212" s="121"/>
      <c r="BH212" s="121"/>
    </row>
    <row r="213" spans="1:60">
      <c r="AK213" s="118"/>
      <c r="AL213" s="118"/>
      <c r="AM213" s="118"/>
      <c r="AN213" s="118"/>
      <c r="AO213" s="118"/>
      <c r="AP213" s="118"/>
      <c r="AQ213" s="121"/>
      <c r="AR213" s="121"/>
      <c r="AS213" s="121"/>
      <c r="AT213" s="121"/>
      <c r="AU213" s="121"/>
      <c r="AV213" s="121"/>
      <c r="AW213" s="121"/>
      <c r="AX213" s="121"/>
      <c r="AY213" s="121"/>
      <c r="AZ213" s="121"/>
      <c r="BA213" s="121"/>
      <c r="BB213" s="121"/>
      <c r="BC213" s="121"/>
      <c r="BD213" s="121"/>
      <c r="BE213" s="121"/>
      <c r="BF213" s="121"/>
      <c r="BG213" s="121"/>
      <c r="BH213" s="121"/>
    </row>
    <row r="214" spans="1:60">
      <c r="AK214" s="118"/>
      <c r="AL214" s="118"/>
      <c r="AM214" s="118"/>
      <c r="AN214" s="118"/>
      <c r="AO214" s="118"/>
      <c r="AP214" s="118"/>
      <c r="AQ214" s="121"/>
      <c r="AR214" s="121"/>
      <c r="AS214" s="121"/>
      <c r="AT214" s="121"/>
      <c r="AU214" s="121"/>
      <c r="AV214" s="121"/>
      <c r="AW214" s="121"/>
      <c r="AX214" s="121"/>
      <c r="AY214" s="121"/>
      <c r="AZ214" s="121"/>
      <c r="BA214" s="121"/>
      <c r="BB214" s="121"/>
      <c r="BC214" s="121"/>
      <c r="BD214" s="121"/>
      <c r="BE214" s="121"/>
      <c r="BF214" s="121"/>
      <c r="BG214" s="121"/>
      <c r="BH214" s="121"/>
    </row>
    <row r="215" spans="1:60">
      <c r="AK215" s="118"/>
      <c r="AL215" s="118"/>
      <c r="AM215" s="118"/>
      <c r="AN215" s="118"/>
      <c r="AO215" s="118"/>
      <c r="AP215" s="118"/>
      <c r="AQ215" s="121"/>
      <c r="AR215" s="121"/>
      <c r="AS215" s="121"/>
      <c r="AT215" s="121"/>
      <c r="AU215" s="121"/>
      <c r="AV215" s="121"/>
      <c r="AW215" s="121"/>
      <c r="AX215" s="121"/>
      <c r="AY215" s="121"/>
      <c r="AZ215" s="121"/>
      <c r="BA215" s="121"/>
      <c r="BB215" s="121"/>
      <c r="BC215" s="121"/>
      <c r="BD215" s="121"/>
      <c r="BE215" s="121"/>
      <c r="BF215" s="121"/>
      <c r="BG215" s="121"/>
      <c r="BH215" s="121"/>
    </row>
    <row r="216" spans="1:60">
      <c r="AK216" s="118"/>
      <c r="AL216" s="118"/>
      <c r="AM216" s="118"/>
      <c r="AN216" s="118"/>
      <c r="AO216" s="118"/>
      <c r="AP216" s="118"/>
      <c r="AQ216" s="121"/>
      <c r="AR216" s="121"/>
      <c r="AS216" s="121"/>
      <c r="AT216" s="121"/>
      <c r="AU216" s="121"/>
      <c r="AV216" s="121"/>
      <c r="AW216" s="121"/>
      <c r="AX216" s="121"/>
      <c r="AY216" s="121"/>
      <c r="AZ216" s="121"/>
      <c r="BA216" s="121"/>
      <c r="BB216" s="121"/>
      <c r="BC216" s="121"/>
      <c r="BD216" s="121"/>
      <c r="BE216" s="121"/>
      <c r="BF216" s="121"/>
      <c r="BG216" s="121"/>
      <c r="BH216" s="121"/>
    </row>
    <row r="217" spans="1:60">
      <c r="AK217" s="118"/>
      <c r="AL217" s="118"/>
      <c r="AM217" s="118"/>
      <c r="AN217" s="118"/>
      <c r="AO217" s="118"/>
      <c r="AP217" s="118"/>
      <c r="AQ217" s="121"/>
      <c r="AR217" s="121"/>
      <c r="AS217" s="121"/>
      <c r="AT217" s="121"/>
      <c r="AU217" s="121"/>
      <c r="AV217" s="121"/>
      <c r="AW217" s="121"/>
      <c r="AX217" s="121"/>
      <c r="AY217" s="121"/>
      <c r="AZ217" s="121"/>
      <c r="BA217" s="121"/>
      <c r="BB217" s="121"/>
      <c r="BC217" s="121"/>
      <c r="BD217" s="121"/>
      <c r="BE217" s="121"/>
      <c r="BF217" s="121"/>
      <c r="BG217" s="121"/>
      <c r="BH217" s="121"/>
    </row>
    <row r="218" spans="1:60">
      <c r="AK218" s="118"/>
      <c r="AL218" s="118"/>
      <c r="AM218" s="118"/>
      <c r="AN218" s="118"/>
      <c r="AO218" s="118"/>
      <c r="AP218" s="118"/>
      <c r="AQ218" s="121"/>
      <c r="AR218" s="121"/>
      <c r="AS218" s="121"/>
      <c r="AT218" s="121"/>
      <c r="AU218" s="121"/>
      <c r="AV218" s="121"/>
      <c r="AW218" s="121"/>
      <c r="AX218" s="121"/>
      <c r="AY218" s="121"/>
      <c r="AZ218" s="121"/>
      <c r="BA218" s="121"/>
      <c r="BB218" s="121"/>
      <c r="BC218" s="121"/>
      <c r="BD218" s="121"/>
      <c r="BE218" s="121"/>
      <c r="BF218" s="121"/>
      <c r="BG218" s="121"/>
      <c r="BH218" s="121"/>
    </row>
    <row r="774" spans="44:60" ht="13.9"/>
    <row r="775" spans="44:60" ht="13.9">
      <c r="AR775" s="163"/>
      <c r="AS775" s="164"/>
      <c r="AT775" s="164"/>
      <c r="AU775" s="164"/>
      <c r="AV775" s="164"/>
      <c r="AW775" s="164"/>
      <c r="AX775" s="164"/>
      <c r="AY775" s="164"/>
      <c r="AZ775" s="164"/>
      <c r="BA775" s="164"/>
      <c r="BB775" s="164"/>
      <c r="BC775" s="164"/>
      <c r="BD775" s="164"/>
      <c r="BE775" s="164"/>
      <c r="BF775" s="164"/>
      <c r="BG775" s="164"/>
      <c r="BH775" s="164"/>
    </row>
  </sheetData>
  <mergeCells count="869">
    <mergeCell ref="B2:M2"/>
    <mergeCell ref="B4:M4"/>
    <mergeCell ref="B6:M6"/>
    <mergeCell ref="B8:D8"/>
    <mergeCell ref="F8:M8"/>
    <mergeCell ref="B9:D9"/>
    <mergeCell ref="F9:M9"/>
    <mergeCell ref="B10:D10"/>
    <mergeCell ref="F10:M10"/>
    <mergeCell ref="B11:D11"/>
    <mergeCell ref="F11:M11"/>
    <mergeCell ref="B12:D12"/>
    <mergeCell ref="F12:M12"/>
    <mergeCell ref="B13:D13"/>
    <mergeCell ref="F13:M13"/>
    <mergeCell ref="B14:D14"/>
    <mergeCell ref="F14:M14"/>
    <mergeCell ref="B15:D15"/>
    <mergeCell ref="F15:M15"/>
    <mergeCell ref="B16:D16"/>
    <mergeCell ref="F16:M16"/>
    <mergeCell ref="B17:D17"/>
    <mergeCell ref="F17:M17"/>
    <mergeCell ref="B18:D18"/>
    <mergeCell ref="F18:M18"/>
    <mergeCell ref="B19:D19"/>
    <mergeCell ref="F19:M19"/>
    <mergeCell ref="B20:D20"/>
    <mergeCell ref="F20:M20"/>
    <mergeCell ref="B21:D21"/>
    <mergeCell ref="F21:M21"/>
    <mergeCell ref="B22:D22"/>
    <mergeCell ref="F22:M22"/>
    <mergeCell ref="B23:D23"/>
    <mergeCell ref="F23:M23"/>
    <mergeCell ref="B24:D24"/>
    <mergeCell ref="F24:M24"/>
    <mergeCell ref="B26:F26"/>
    <mergeCell ref="B29:C29"/>
    <mergeCell ref="D29:E29"/>
    <mergeCell ref="F29:G29"/>
    <mergeCell ref="H29:I29"/>
    <mergeCell ref="K29:N29"/>
    <mergeCell ref="B30:C30"/>
    <mergeCell ref="D30:E30"/>
    <mergeCell ref="F30:G30"/>
    <mergeCell ref="H30:I30"/>
    <mergeCell ref="K30:O30"/>
    <mergeCell ref="B31:C31"/>
    <mergeCell ref="D31:E31"/>
    <mergeCell ref="F31:G31"/>
    <mergeCell ref="H31:I31"/>
    <mergeCell ref="K31:O31"/>
    <mergeCell ref="B32:C32"/>
    <mergeCell ref="D32:E32"/>
    <mergeCell ref="F32:G32"/>
    <mergeCell ref="H32:I32"/>
    <mergeCell ref="K32:O32"/>
    <mergeCell ref="B33:C33"/>
    <mergeCell ref="D33:E33"/>
    <mergeCell ref="F33:G33"/>
    <mergeCell ref="H33:I33"/>
    <mergeCell ref="K33:O33"/>
    <mergeCell ref="B34:C34"/>
    <mergeCell ref="D34:E34"/>
    <mergeCell ref="F34:G34"/>
    <mergeCell ref="H34:I34"/>
    <mergeCell ref="K34:O34"/>
    <mergeCell ref="B35:C35"/>
    <mergeCell ref="D35:E35"/>
    <mergeCell ref="F35:G35"/>
    <mergeCell ref="H35:I35"/>
    <mergeCell ref="K35:O35"/>
    <mergeCell ref="B36:C36"/>
    <mergeCell ref="D36:E36"/>
    <mergeCell ref="F36:G36"/>
    <mergeCell ref="H36:I36"/>
    <mergeCell ref="K36:O36"/>
    <mergeCell ref="B37:C37"/>
    <mergeCell ref="D37:E37"/>
    <mergeCell ref="F37:G37"/>
    <mergeCell ref="H37:I37"/>
    <mergeCell ref="K37:O37"/>
    <mergeCell ref="B38:C38"/>
    <mergeCell ref="D38:E38"/>
    <mergeCell ref="F38:G38"/>
    <mergeCell ref="H38:I38"/>
    <mergeCell ref="K38:O38"/>
    <mergeCell ref="B39:C39"/>
    <mergeCell ref="D39:E39"/>
    <mergeCell ref="F39:G39"/>
    <mergeCell ref="H39:I39"/>
    <mergeCell ref="K39:O39"/>
    <mergeCell ref="B40:C40"/>
    <mergeCell ref="D40:E40"/>
    <mergeCell ref="F40:G40"/>
    <mergeCell ref="H40:I40"/>
    <mergeCell ref="K40:O40"/>
    <mergeCell ref="B41:C41"/>
    <mergeCell ref="D41:E41"/>
    <mergeCell ref="F41:G41"/>
    <mergeCell ref="H41:I41"/>
    <mergeCell ref="K41:O41"/>
    <mergeCell ref="B42:C42"/>
    <mergeCell ref="D42:E42"/>
    <mergeCell ref="F42:G42"/>
    <mergeCell ref="H42:I42"/>
    <mergeCell ref="K42:O42"/>
    <mergeCell ref="B43:C43"/>
    <mergeCell ref="D43:E43"/>
    <mergeCell ref="F43:G43"/>
    <mergeCell ref="H43:I43"/>
    <mergeCell ref="K43:O43"/>
    <mergeCell ref="B44:C44"/>
    <mergeCell ref="D44:E44"/>
    <mergeCell ref="F44:G44"/>
    <mergeCell ref="H44:I44"/>
    <mergeCell ref="K44:O44"/>
    <mergeCell ref="B45:C45"/>
    <mergeCell ref="D45:E45"/>
    <mergeCell ref="F45:G45"/>
    <mergeCell ref="H45:I45"/>
    <mergeCell ref="K45:O45"/>
    <mergeCell ref="B46:C46"/>
    <mergeCell ref="D46:E46"/>
    <mergeCell ref="F46:G46"/>
    <mergeCell ref="H46:I46"/>
    <mergeCell ref="K46:O46"/>
    <mergeCell ref="B47:C47"/>
    <mergeCell ref="D47:E47"/>
    <mergeCell ref="F47:G47"/>
    <mergeCell ref="H47:I47"/>
    <mergeCell ref="K47:O47"/>
    <mergeCell ref="B48:C48"/>
    <mergeCell ref="D48:E48"/>
    <mergeCell ref="F48:G48"/>
    <mergeCell ref="H48:I48"/>
    <mergeCell ref="K48:O48"/>
    <mergeCell ref="B49:C49"/>
    <mergeCell ref="D49:E49"/>
    <mergeCell ref="F49:G49"/>
    <mergeCell ref="H49:I49"/>
    <mergeCell ref="K49:O49"/>
    <mergeCell ref="B50:C50"/>
    <mergeCell ref="D50:E50"/>
    <mergeCell ref="F50:G50"/>
    <mergeCell ref="H50:I50"/>
    <mergeCell ref="K50:O50"/>
    <mergeCell ref="B51:C51"/>
    <mergeCell ref="D51:E51"/>
    <mergeCell ref="F51:G51"/>
    <mergeCell ref="H51:I51"/>
    <mergeCell ref="K51:O51"/>
    <mergeCell ref="B52:C52"/>
    <mergeCell ref="D52:E52"/>
    <mergeCell ref="F52:G52"/>
    <mergeCell ref="H52:I52"/>
    <mergeCell ref="K52:O52"/>
    <mergeCell ref="B53:C53"/>
    <mergeCell ref="D53:E53"/>
    <mergeCell ref="F53:G53"/>
    <mergeCell ref="H53:I53"/>
    <mergeCell ref="K53:O53"/>
    <mergeCell ref="B54:C54"/>
    <mergeCell ref="D54:E54"/>
    <mergeCell ref="F54:G54"/>
    <mergeCell ref="H54:I54"/>
    <mergeCell ref="K54:O54"/>
    <mergeCell ref="B55:C55"/>
    <mergeCell ref="D55:E55"/>
    <mergeCell ref="F55:G55"/>
    <mergeCell ref="H55:I55"/>
    <mergeCell ref="K55:O55"/>
    <mergeCell ref="B56:C56"/>
    <mergeCell ref="D56:E56"/>
    <mergeCell ref="F56:G56"/>
    <mergeCell ref="H56:I56"/>
    <mergeCell ref="K56:O56"/>
    <mergeCell ref="B57:C57"/>
    <mergeCell ref="D57:E57"/>
    <mergeCell ref="F57:G57"/>
    <mergeCell ref="H57:I57"/>
    <mergeCell ref="K57:O57"/>
    <mergeCell ref="B58:C58"/>
    <mergeCell ref="D58:E58"/>
    <mergeCell ref="F58:G58"/>
    <mergeCell ref="H58:I58"/>
    <mergeCell ref="K58:O58"/>
    <mergeCell ref="B59:C59"/>
    <mergeCell ref="D59:E59"/>
    <mergeCell ref="F59:G59"/>
    <mergeCell ref="H59:I59"/>
    <mergeCell ref="K59:O59"/>
    <mergeCell ref="B60:C60"/>
    <mergeCell ref="D60:E60"/>
    <mergeCell ref="F60:G60"/>
    <mergeCell ref="H60:I60"/>
    <mergeCell ref="K60:O60"/>
    <mergeCell ref="B61:C61"/>
    <mergeCell ref="D61:E61"/>
    <mergeCell ref="F61:G61"/>
    <mergeCell ref="H61:I61"/>
    <mergeCell ref="K61:O61"/>
    <mergeCell ref="B62:C62"/>
    <mergeCell ref="D62:E62"/>
    <mergeCell ref="F62:G62"/>
    <mergeCell ref="H62:I62"/>
    <mergeCell ref="K62:O62"/>
    <mergeCell ref="B63:C63"/>
    <mergeCell ref="D63:E63"/>
    <mergeCell ref="F63:G63"/>
    <mergeCell ref="H63:I63"/>
    <mergeCell ref="K63:O63"/>
    <mergeCell ref="B64:C64"/>
    <mergeCell ref="D64:E64"/>
    <mergeCell ref="F64:G64"/>
    <mergeCell ref="H64:I64"/>
    <mergeCell ref="K64:O64"/>
    <mergeCell ref="B65:C65"/>
    <mergeCell ref="D65:E65"/>
    <mergeCell ref="F65:G65"/>
    <mergeCell ref="H65:I65"/>
    <mergeCell ref="K65:O65"/>
    <mergeCell ref="B66:C66"/>
    <mergeCell ref="D66:E66"/>
    <mergeCell ref="F66:G66"/>
    <mergeCell ref="H66:I66"/>
    <mergeCell ref="K66:O66"/>
    <mergeCell ref="B67:C67"/>
    <mergeCell ref="D67:E67"/>
    <mergeCell ref="F67:G67"/>
    <mergeCell ref="H67:I67"/>
    <mergeCell ref="K67:O67"/>
    <mergeCell ref="B68:C68"/>
    <mergeCell ref="D68:E68"/>
    <mergeCell ref="F68:G68"/>
    <mergeCell ref="H68:I68"/>
    <mergeCell ref="K68:O68"/>
    <mergeCell ref="B69:C69"/>
    <mergeCell ref="D69:E69"/>
    <mergeCell ref="F69:G69"/>
    <mergeCell ref="H69:I69"/>
    <mergeCell ref="K69:O69"/>
    <mergeCell ref="B70:C70"/>
    <mergeCell ref="D70:E70"/>
    <mergeCell ref="F70:G70"/>
    <mergeCell ref="H70:I70"/>
    <mergeCell ref="K70:O70"/>
    <mergeCell ref="B71:C71"/>
    <mergeCell ref="D71:E71"/>
    <mergeCell ref="F71:G71"/>
    <mergeCell ref="H71:I71"/>
    <mergeCell ref="K71:O71"/>
    <mergeCell ref="B72:C72"/>
    <mergeCell ref="D72:E72"/>
    <mergeCell ref="F72:G72"/>
    <mergeCell ref="H72:I72"/>
    <mergeCell ref="K72:O72"/>
    <mergeCell ref="B73:C73"/>
    <mergeCell ref="D73:E73"/>
    <mergeCell ref="F73:G73"/>
    <mergeCell ref="H73:I73"/>
    <mergeCell ref="K73:O73"/>
    <mergeCell ref="B74:C74"/>
    <mergeCell ref="D74:E74"/>
    <mergeCell ref="F74:G74"/>
    <mergeCell ref="H74:I74"/>
    <mergeCell ref="K74:O74"/>
    <mergeCell ref="B75:C75"/>
    <mergeCell ref="D75:E75"/>
    <mergeCell ref="F75:G75"/>
    <mergeCell ref="H75:I75"/>
    <mergeCell ref="K75:O75"/>
    <mergeCell ref="B76:C76"/>
    <mergeCell ref="D76:E76"/>
    <mergeCell ref="F76:G76"/>
    <mergeCell ref="H76:I76"/>
    <mergeCell ref="K76:O76"/>
    <mergeCell ref="B77:C77"/>
    <mergeCell ref="D77:E77"/>
    <mergeCell ref="F77:G77"/>
    <mergeCell ref="H77:I77"/>
    <mergeCell ref="K77:O77"/>
    <mergeCell ref="B78:C78"/>
    <mergeCell ref="D78:E78"/>
    <mergeCell ref="F78:G78"/>
    <mergeCell ref="H78:I78"/>
    <mergeCell ref="K78:O78"/>
    <mergeCell ref="B79:C79"/>
    <mergeCell ref="D79:E79"/>
    <mergeCell ref="F79:G79"/>
    <mergeCell ref="H79:I79"/>
    <mergeCell ref="K79:O79"/>
    <mergeCell ref="B80:C80"/>
    <mergeCell ref="D80:E80"/>
    <mergeCell ref="F80:G80"/>
    <mergeCell ref="H80:I80"/>
    <mergeCell ref="K80:O80"/>
    <mergeCell ref="B81:C81"/>
    <mergeCell ref="D81:E81"/>
    <mergeCell ref="F81:G81"/>
    <mergeCell ref="H81:I81"/>
    <mergeCell ref="K81:O81"/>
    <mergeCell ref="B82:C82"/>
    <mergeCell ref="D82:E82"/>
    <mergeCell ref="F82:G82"/>
    <mergeCell ref="H82:I82"/>
    <mergeCell ref="K82:O82"/>
    <mergeCell ref="B83:C83"/>
    <mergeCell ref="D83:E83"/>
    <mergeCell ref="F83:G83"/>
    <mergeCell ref="H83:I83"/>
    <mergeCell ref="K83:O83"/>
    <mergeCell ref="B84:C84"/>
    <mergeCell ref="D84:E84"/>
    <mergeCell ref="F84:G84"/>
    <mergeCell ref="H84:I84"/>
    <mergeCell ref="K84:O84"/>
    <mergeCell ref="B85:C85"/>
    <mergeCell ref="D85:E85"/>
    <mergeCell ref="F85:G85"/>
    <mergeCell ref="H85:I85"/>
    <mergeCell ref="K85:O85"/>
    <mergeCell ref="B86:C86"/>
    <mergeCell ref="D86:E86"/>
    <mergeCell ref="F86:G86"/>
    <mergeCell ref="H86:I86"/>
    <mergeCell ref="K86:O86"/>
    <mergeCell ref="B87:C87"/>
    <mergeCell ref="D87:E87"/>
    <mergeCell ref="F87:G87"/>
    <mergeCell ref="H87:I87"/>
    <mergeCell ref="K87:O87"/>
    <mergeCell ref="B88:C88"/>
    <mergeCell ref="D88:E88"/>
    <mergeCell ref="F88:G88"/>
    <mergeCell ref="H88:I88"/>
    <mergeCell ref="K88:O88"/>
    <mergeCell ref="B89:C89"/>
    <mergeCell ref="D89:E89"/>
    <mergeCell ref="F89:G89"/>
    <mergeCell ref="H89:I89"/>
    <mergeCell ref="K89:O89"/>
    <mergeCell ref="B90:C90"/>
    <mergeCell ref="D90:E90"/>
    <mergeCell ref="F90:G90"/>
    <mergeCell ref="H90:I90"/>
    <mergeCell ref="K90:O90"/>
    <mergeCell ref="B91:C91"/>
    <mergeCell ref="D91:E91"/>
    <mergeCell ref="F91:G91"/>
    <mergeCell ref="H91:I91"/>
    <mergeCell ref="K91:O91"/>
    <mergeCell ref="B92:C92"/>
    <mergeCell ref="D92:E92"/>
    <mergeCell ref="F92:G92"/>
    <mergeCell ref="H92:I92"/>
    <mergeCell ref="K92:O92"/>
    <mergeCell ref="B93:C93"/>
    <mergeCell ref="D93:E93"/>
    <mergeCell ref="F93:G93"/>
    <mergeCell ref="H93:I93"/>
    <mergeCell ref="K93:O93"/>
    <mergeCell ref="B94:C94"/>
    <mergeCell ref="D94:E94"/>
    <mergeCell ref="F94:G94"/>
    <mergeCell ref="H94:I94"/>
    <mergeCell ref="K94:O94"/>
    <mergeCell ref="B95:C95"/>
    <mergeCell ref="D95:E95"/>
    <mergeCell ref="F95:G95"/>
    <mergeCell ref="H95:I95"/>
    <mergeCell ref="K95:O95"/>
    <mergeCell ref="B96:C96"/>
    <mergeCell ref="D96:E96"/>
    <mergeCell ref="F96:G96"/>
    <mergeCell ref="H96:I96"/>
    <mergeCell ref="K96:O96"/>
    <mergeCell ref="B97:C97"/>
    <mergeCell ref="D97:E97"/>
    <mergeCell ref="F97:G97"/>
    <mergeCell ref="H97:I97"/>
    <mergeCell ref="K97:O97"/>
    <mergeCell ref="B98:C98"/>
    <mergeCell ref="D98:E98"/>
    <mergeCell ref="F98:G98"/>
    <mergeCell ref="H98:I98"/>
    <mergeCell ref="K98:O98"/>
    <mergeCell ref="B99:C99"/>
    <mergeCell ref="D99:E99"/>
    <mergeCell ref="F99:G99"/>
    <mergeCell ref="H99:I99"/>
    <mergeCell ref="K99:O99"/>
    <mergeCell ref="B100:C100"/>
    <mergeCell ref="D100:E100"/>
    <mergeCell ref="F100:G100"/>
    <mergeCell ref="H100:I100"/>
    <mergeCell ref="K100:O100"/>
    <mergeCell ref="B101:C101"/>
    <mergeCell ref="D101:E101"/>
    <mergeCell ref="F101:G101"/>
    <mergeCell ref="H101:I101"/>
    <mergeCell ref="K101:O101"/>
    <mergeCell ref="B102:C102"/>
    <mergeCell ref="D102:E102"/>
    <mergeCell ref="F102:G102"/>
    <mergeCell ref="H102:I102"/>
    <mergeCell ref="K102:O102"/>
    <mergeCell ref="B103:C103"/>
    <mergeCell ref="D103:E103"/>
    <mergeCell ref="F103:G103"/>
    <mergeCell ref="H103:I103"/>
    <mergeCell ref="K103:O103"/>
    <mergeCell ref="B104:C104"/>
    <mergeCell ref="D104:E104"/>
    <mergeCell ref="F104:G104"/>
    <mergeCell ref="H104:I104"/>
    <mergeCell ref="K104:O104"/>
    <mergeCell ref="B105:C105"/>
    <mergeCell ref="D105:E105"/>
    <mergeCell ref="F105:G105"/>
    <mergeCell ref="H105:I105"/>
    <mergeCell ref="K105:O105"/>
    <mergeCell ref="B106:C106"/>
    <mergeCell ref="D106:E106"/>
    <mergeCell ref="F106:G106"/>
    <mergeCell ref="H106:I106"/>
    <mergeCell ref="K106:O106"/>
    <mergeCell ref="B107:C107"/>
    <mergeCell ref="D107:E107"/>
    <mergeCell ref="F107:G107"/>
    <mergeCell ref="H107:I107"/>
    <mergeCell ref="K107:O107"/>
    <mergeCell ref="B108:C108"/>
    <mergeCell ref="D108:E108"/>
    <mergeCell ref="F108:G108"/>
    <mergeCell ref="H108:I108"/>
    <mergeCell ref="K108:O108"/>
    <mergeCell ref="B109:C109"/>
    <mergeCell ref="D109:E109"/>
    <mergeCell ref="F109:G109"/>
    <mergeCell ref="H109:I109"/>
    <mergeCell ref="K109:O109"/>
    <mergeCell ref="B110:C110"/>
    <mergeCell ref="D110:E110"/>
    <mergeCell ref="F110:G110"/>
    <mergeCell ref="H110:I110"/>
    <mergeCell ref="K110:O110"/>
    <mergeCell ref="B111:C111"/>
    <mergeCell ref="D111:E111"/>
    <mergeCell ref="F111:G111"/>
    <mergeCell ref="H111:I111"/>
    <mergeCell ref="K111:O111"/>
    <mergeCell ref="B112:C112"/>
    <mergeCell ref="D112:E112"/>
    <mergeCell ref="F112:G112"/>
    <mergeCell ref="H112:I112"/>
    <mergeCell ref="K112:O112"/>
    <mergeCell ref="B113:C113"/>
    <mergeCell ref="D113:E113"/>
    <mergeCell ref="F113:G113"/>
    <mergeCell ref="H113:I113"/>
    <mergeCell ref="K113:O113"/>
    <mergeCell ref="B114:C114"/>
    <mergeCell ref="D114:E114"/>
    <mergeCell ref="F114:G114"/>
    <mergeCell ref="H114:I114"/>
    <mergeCell ref="K114:O114"/>
    <mergeCell ref="B115:C115"/>
    <mergeCell ref="D115:E115"/>
    <mergeCell ref="F115:G115"/>
    <mergeCell ref="H115:I115"/>
    <mergeCell ref="K115:O115"/>
    <mergeCell ref="B116:C116"/>
    <mergeCell ref="D116:E116"/>
    <mergeCell ref="F116:G116"/>
    <mergeCell ref="H116:I116"/>
    <mergeCell ref="K116:O116"/>
    <mergeCell ref="B117:C117"/>
    <mergeCell ref="D117:E117"/>
    <mergeCell ref="F117:G117"/>
    <mergeCell ref="H117:I117"/>
    <mergeCell ref="K117:O117"/>
    <mergeCell ref="B118:C118"/>
    <mergeCell ref="D118:E118"/>
    <mergeCell ref="F118:G118"/>
    <mergeCell ref="H118:I118"/>
    <mergeCell ref="K118:O118"/>
    <mergeCell ref="B119:C119"/>
    <mergeCell ref="D119:E119"/>
    <mergeCell ref="F119:G119"/>
    <mergeCell ref="H119:I119"/>
    <mergeCell ref="K119:O119"/>
    <mergeCell ref="B120:C120"/>
    <mergeCell ref="D120:E120"/>
    <mergeCell ref="F120:G120"/>
    <mergeCell ref="H120:I120"/>
    <mergeCell ref="K120:O120"/>
    <mergeCell ref="B121:C121"/>
    <mergeCell ref="D121:E121"/>
    <mergeCell ref="F121:G121"/>
    <mergeCell ref="H121:I121"/>
    <mergeCell ref="K121:O121"/>
    <mergeCell ref="B122:C122"/>
    <mergeCell ref="D122:E122"/>
    <mergeCell ref="F122:G122"/>
    <mergeCell ref="H122:I122"/>
    <mergeCell ref="K122:O122"/>
    <mergeCell ref="B123:C123"/>
    <mergeCell ref="D123:E123"/>
    <mergeCell ref="F123:G123"/>
    <mergeCell ref="H123:I123"/>
    <mergeCell ref="K123:O123"/>
    <mergeCell ref="B124:C124"/>
    <mergeCell ref="D124:E124"/>
    <mergeCell ref="F124:G124"/>
    <mergeCell ref="H124:I124"/>
    <mergeCell ref="K124:O124"/>
    <mergeCell ref="B125:C125"/>
    <mergeCell ref="D125:E125"/>
    <mergeCell ref="F125:G125"/>
    <mergeCell ref="H125:I125"/>
    <mergeCell ref="K125:O125"/>
    <mergeCell ref="B126:C126"/>
    <mergeCell ref="D126:E126"/>
    <mergeCell ref="F126:G126"/>
    <mergeCell ref="H126:I126"/>
    <mergeCell ref="K126:O126"/>
    <mergeCell ref="B127:C127"/>
    <mergeCell ref="D127:E127"/>
    <mergeCell ref="F127:G127"/>
    <mergeCell ref="H127:I127"/>
    <mergeCell ref="K127:O127"/>
    <mergeCell ref="B128:C128"/>
    <mergeCell ref="D128:E128"/>
    <mergeCell ref="F128:G128"/>
    <mergeCell ref="H128:I128"/>
    <mergeCell ref="K128:O128"/>
    <mergeCell ref="B129:C129"/>
    <mergeCell ref="D129:E129"/>
    <mergeCell ref="F129:G129"/>
    <mergeCell ref="H129:I129"/>
    <mergeCell ref="K129:O129"/>
    <mergeCell ref="B130:C130"/>
    <mergeCell ref="D130:E130"/>
    <mergeCell ref="F130:G130"/>
    <mergeCell ref="H130:I130"/>
    <mergeCell ref="K130:O130"/>
    <mergeCell ref="B131:C131"/>
    <mergeCell ref="D131:E131"/>
    <mergeCell ref="F131:G131"/>
    <mergeCell ref="H131:I131"/>
    <mergeCell ref="K131:O131"/>
    <mergeCell ref="B132:C132"/>
    <mergeCell ref="D132:E132"/>
    <mergeCell ref="F132:G132"/>
    <mergeCell ref="H132:I132"/>
    <mergeCell ref="K132:O132"/>
    <mergeCell ref="B133:C133"/>
    <mergeCell ref="D133:E133"/>
    <mergeCell ref="F133:G133"/>
    <mergeCell ref="H133:I133"/>
    <mergeCell ref="K133:O133"/>
    <mergeCell ref="B134:C134"/>
    <mergeCell ref="D134:E134"/>
    <mergeCell ref="F134:G134"/>
    <mergeCell ref="H134:I134"/>
    <mergeCell ref="K134:O134"/>
    <mergeCell ref="B135:C135"/>
    <mergeCell ref="D135:E135"/>
    <mergeCell ref="F135:G135"/>
    <mergeCell ref="H135:I135"/>
    <mergeCell ref="K135:O135"/>
    <mergeCell ref="B136:C136"/>
    <mergeCell ref="D136:E136"/>
    <mergeCell ref="F136:G136"/>
    <mergeCell ref="H136:I136"/>
    <mergeCell ref="K136:O136"/>
    <mergeCell ref="B137:C137"/>
    <mergeCell ref="D137:E137"/>
    <mergeCell ref="F137:G137"/>
    <mergeCell ref="H137:I137"/>
    <mergeCell ref="K137:O137"/>
    <mergeCell ref="B138:C138"/>
    <mergeCell ref="D138:E138"/>
    <mergeCell ref="F138:G138"/>
    <mergeCell ref="H138:I138"/>
    <mergeCell ref="K138:O138"/>
    <mergeCell ref="B139:C139"/>
    <mergeCell ref="D139:E139"/>
    <mergeCell ref="F139:G139"/>
    <mergeCell ref="H139:I139"/>
    <mergeCell ref="K139:O139"/>
    <mergeCell ref="B140:C140"/>
    <mergeCell ref="D140:E140"/>
    <mergeCell ref="F140:G140"/>
    <mergeCell ref="H140:I140"/>
    <mergeCell ref="K140:O140"/>
    <mergeCell ref="B141:C141"/>
    <mergeCell ref="D141:E141"/>
    <mergeCell ref="F141:G141"/>
    <mergeCell ref="H141:I141"/>
    <mergeCell ref="K141:O141"/>
    <mergeCell ref="B142:C142"/>
    <mergeCell ref="D142:E142"/>
    <mergeCell ref="F142:G142"/>
    <mergeCell ref="H142:I142"/>
    <mergeCell ref="K142:O142"/>
    <mergeCell ref="B143:C143"/>
    <mergeCell ref="D143:E143"/>
    <mergeCell ref="F143:G143"/>
    <mergeCell ref="H143:I143"/>
    <mergeCell ref="K143:O143"/>
    <mergeCell ref="B144:C144"/>
    <mergeCell ref="D144:E144"/>
    <mergeCell ref="F144:G144"/>
    <mergeCell ref="H144:I144"/>
    <mergeCell ref="K144:O144"/>
    <mergeCell ref="B145:C145"/>
    <mergeCell ref="D145:E145"/>
    <mergeCell ref="F145:G145"/>
    <mergeCell ref="H145:I145"/>
    <mergeCell ref="K145:O145"/>
    <mergeCell ref="B146:C146"/>
    <mergeCell ref="D146:E146"/>
    <mergeCell ref="F146:G146"/>
    <mergeCell ref="H146:I146"/>
    <mergeCell ref="K146:O146"/>
    <mergeCell ref="B147:C147"/>
    <mergeCell ref="D147:E147"/>
    <mergeCell ref="F147:G147"/>
    <mergeCell ref="H147:I147"/>
    <mergeCell ref="K147:O147"/>
    <mergeCell ref="B148:C148"/>
    <mergeCell ref="D148:E148"/>
    <mergeCell ref="F148:G148"/>
    <mergeCell ref="H148:I148"/>
    <mergeCell ref="K148:O148"/>
    <mergeCell ref="B149:C149"/>
    <mergeCell ref="D149:E149"/>
    <mergeCell ref="F149:G149"/>
    <mergeCell ref="H149:I149"/>
    <mergeCell ref="K149:O149"/>
    <mergeCell ref="B150:C150"/>
    <mergeCell ref="D150:E150"/>
    <mergeCell ref="F150:G150"/>
    <mergeCell ref="H150:I150"/>
    <mergeCell ref="K150:O150"/>
    <mergeCell ref="B151:C151"/>
    <mergeCell ref="D151:E151"/>
    <mergeCell ref="F151:G151"/>
    <mergeCell ref="H151:I151"/>
    <mergeCell ref="K151:O151"/>
    <mergeCell ref="B152:C152"/>
    <mergeCell ref="D152:E152"/>
    <mergeCell ref="F152:G152"/>
    <mergeCell ref="H152:I152"/>
    <mergeCell ref="K152:O152"/>
    <mergeCell ref="B153:C153"/>
    <mergeCell ref="D153:E153"/>
    <mergeCell ref="F153:G153"/>
    <mergeCell ref="H153:I153"/>
    <mergeCell ref="K153:O153"/>
    <mergeCell ref="B154:C154"/>
    <mergeCell ref="D154:E154"/>
    <mergeCell ref="F154:G154"/>
    <mergeCell ref="H154:I154"/>
    <mergeCell ref="K154:O154"/>
    <mergeCell ref="B155:C155"/>
    <mergeCell ref="D155:E155"/>
    <mergeCell ref="F155:G155"/>
    <mergeCell ref="H155:I155"/>
    <mergeCell ref="K155:O155"/>
    <mergeCell ref="B156:C156"/>
    <mergeCell ref="D156:E156"/>
    <mergeCell ref="F156:G156"/>
    <mergeCell ref="H156:I156"/>
    <mergeCell ref="K156:O156"/>
    <mergeCell ref="B157:C157"/>
    <mergeCell ref="D157:E157"/>
    <mergeCell ref="F157:G157"/>
    <mergeCell ref="H157:I157"/>
    <mergeCell ref="K157:O157"/>
    <mergeCell ref="B158:C158"/>
    <mergeCell ref="D158:E158"/>
    <mergeCell ref="F158:G158"/>
    <mergeCell ref="H158:I158"/>
    <mergeCell ref="K158:O158"/>
    <mergeCell ref="B159:C159"/>
    <mergeCell ref="D159:E159"/>
    <mergeCell ref="F159:G159"/>
    <mergeCell ref="H159:I159"/>
    <mergeCell ref="K159:O159"/>
    <mergeCell ref="B160:C160"/>
    <mergeCell ref="D160:E160"/>
    <mergeCell ref="F160:G160"/>
    <mergeCell ref="H160:I160"/>
    <mergeCell ref="K160:O160"/>
    <mergeCell ref="B161:C161"/>
    <mergeCell ref="D161:E161"/>
    <mergeCell ref="F161:G161"/>
    <mergeCell ref="H161:I161"/>
    <mergeCell ref="K161:O161"/>
    <mergeCell ref="B162:C162"/>
    <mergeCell ref="D162:E162"/>
    <mergeCell ref="F162:G162"/>
    <mergeCell ref="H162:I162"/>
    <mergeCell ref="K162:O162"/>
    <mergeCell ref="B163:C163"/>
    <mergeCell ref="D163:E163"/>
    <mergeCell ref="F163:G163"/>
    <mergeCell ref="H163:I163"/>
    <mergeCell ref="K163:O163"/>
    <mergeCell ref="B164:C164"/>
    <mergeCell ref="D164:E164"/>
    <mergeCell ref="F164:G164"/>
    <mergeCell ref="H164:I164"/>
    <mergeCell ref="K164:O164"/>
    <mergeCell ref="B165:C165"/>
    <mergeCell ref="D165:E165"/>
    <mergeCell ref="F165:G165"/>
    <mergeCell ref="H165:I165"/>
    <mergeCell ref="K165:O165"/>
    <mergeCell ref="B166:C166"/>
    <mergeCell ref="D166:E166"/>
    <mergeCell ref="F166:G166"/>
    <mergeCell ref="H166:I166"/>
    <mergeCell ref="K166:O166"/>
    <mergeCell ref="B167:C167"/>
    <mergeCell ref="D167:E167"/>
    <mergeCell ref="F167:G167"/>
    <mergeCell ref="H167:I167"/>
    <mergeCell ref="K167:O167"/>
    <mergeCell ref="B168:C168"/>
    <mergeCell ref="D168:E168"/>
    <mergeCell ref="F168:G168"/>
    <mergeCell ref="H168:I168"/>
    <mergeCell ref="K168:O168"/>
    <mergeCell ref="B169:C169"/>
    <mergeCell ref="D169:E169"/>
    <mergeCell ref="F169:G169"/>
    <mergeCell ref="H169:I169"/>
    <mergeCell ref="K169:O169"/>
    <mergeCell ref="B170:C170"/>
    <mergeCell ref="D170:E170"/>
    <mergeCell ref="F170:G170"/>
    <mergeCell ref="H170:I170"/>
    <mergeCell ref="K170:O170"/>
    <mergeCell ref="B171:C171"/>
    <mergeCell ref="D171:E171"/>
    <mergeCell ref="F171:G171"/>
    <mergeCell ref="H171:I171"/>
    <mergeCell ref="K171:O171"/>
    <mergeCell ref="B172:C172"/>
    <mergeCell ref="D172:E172"/>
    <mergeCell ref="F172:G172"/>
    <mergeCell ref="H172:I172"/>
    <mergeCell ref="K172:O172"/>
    <mergeCell ref="B173:C173"/>
    <mergeCell ref="D173:E173"/>
    <mergeCell ref="F173:G173"/>
    <mergeCell ref="H173:I173"/>
    <mergeCell ref="K173:O173"/>
    <mergeCell ref="B174:C174"/>
    <mergeCell ref="D174:E174"/>
    <mergeCell ref="F174:G174"/>
    <mergeCell ref="H174:I174"/>
    <mergeCell ref="K174:O174"/>
    <mergeCell ref="B175:C175"/>
    <mergeCell ref="D175:E175"/>
    <mergeCell ref="F175:G175"/>
    <mergeCell ref="H175:I175"/>
    <mergeCell ref="K175:O175"/>
    <mergeCell ref="B176:C176"/>
    <mergeCell ref="D176:E176"/>
    <mergeCell ref="F176:G176"/>
    <mergeCell ref="H176:I176"/>
    <mergeCell ref="K176:O176"/>
    <mergeCell ref="B177:C177"/>
    <mergeCell ref="D177:E177"/>
    <mergeCell ref="F177:G177"/>
    <mergeCell ref="H177:I177"/>
    <mergeCell ref="K177:O177"/>
    <mergeCell ref="B178:C178"/>
    <mergeCell ref="D178:E178"/>
    <mergeCell ref="F178:G178"/>
    <mergeCell ref="H178:I178"/>
    <mergeCell ref="K178:O178"/>
    <mergeCell ref="B179:C179"/>
    <mergeCell ref="D179:E179"/>
    <mergeCell ref="F179:G179"/>
    <mergeCell ref="H179:I179"/>
    <mergeCell ref="K179:O179"/>
    <mergeCell ref="B180:C180"/>
    <mergeCell ref="D180:E180"/>
    <mergeCell ref="F180:G180"/>
    <mergeCell ref="H180:I180"/>
    <mergeCell ref="K180:O180"/>
    <mergeCell ref="B181:C181"/>
    <mergeCell ref="D181:E181"/>
    <mergeCell ref="F181:G181"/>
    <mergeCell ref="H181:I181"/>
    <mergeCell ref="K181:O181"/>
    <mergeCell ref="B182:C182"/>
    <mergeCell ref="D182:E182"/>
    <mergeCell ref="F182:G182"/>
    <mergeCell ref="H182:I182"/>
    <mergeCell ref="K182:O182"/>
    <mergeCell ref="B183:C183"/>
    <mergeCell ref="D183:E183"/>
    <mergeCell ref="F183:G183"/>
    <mergeCell ref="H183:I183"/>
    <mergeCell ref="K183:O183"/>
    <mergeCell ref="B184:C184"/>
    <mergeCell ref="D184:E184"/>
    <mergeCell ref="F184:G184"/>
    <mergeCell ref="H184:I184"/>
    <mergeCell ref="K184:O184"/>
    <mergeCell ref="B185:C185"/>
    <mergeCell ref="D185:E185"/>
    <mergeCell ref="F185:G185"/>
    <mergeCell ref="H185:I185"/>
    <mergeCell ref="K185:O185"/>
    <mergeCell ref="B186:C186"/>
    <mergeCell ref="D186:E186"/>
    <mergeCell ref="F186:G186"/>
    <mergeCell ref="H186:I186"/>
    <mergeCell ref="K186:O186"/>
    <mergeCell ref="B187:C187"/>
    <mergeCell ref="D187:E187"/>
    <mergeCell ref="F187:G187"/>
    <mergeCell ref="H187:I187"/>
    <mergeCell ref="K187:O187"/>
    <mergeCell ref="B188:C188"/>
    <mergeCell ref="D188:E188"/>
    <mergeCell ref="F188:G188"/>
    <mergeCell ref="H188:I188"/>
    <mergeCell ref="K188:O188"/>
    <mergeCell ref="B189:C189"/>
    <mergeCell ref="D189:E189"/>
    <mergeCell ref="F189:G189"/>
    <mergeCell ref="H189:I189"/>
    <mergeCell ref="K189:O189"/>
    <mergeCell ref="B190:C190"/>
    <mergeCell ref="D190:E190"/>
    <mergeCell ref="F190:G190"/>
    <mergeCell ref="H190:I190"/>
    <mergeCell ref="K190:O190"/>
    <mergeCell ref="B191:C191"/>
    <mergeCell ref="D191:E191"/>
    <mergeCell ref="F191:G191"/>
    <mergeCell ref="H191:I191"/>
    <mergeCell ref="K191:O191"/>
    <mergeCell ref="B192:C192"/>
    <mergeCell ref="D192:E192"/>
    <mergeCell ref="F192:G192"/>
    <mergeCell ref="H192:I192"/>
    <mergeCell ref="K192:O192"/>
    <mergeCell ref="AR775:BH775"/>
    <mergeCell ref="B193:C193"/>
    <mergeCell ref="D193:E193"/>
    <mergeCell ref="F193:G193"/>
    <mergeCell ref="H193:I193"/>
    <mergeCell ref="K193:O193"/>
    <mergeCell ref="B194:C194"/>
    <mergeCell ref="D194:E194"/>
    <mergeCell ref="F194:G194"/>
    <mergeCell ref="H194:I194"/>
    <mergeCell ref="K194:O194"/>
  </mergeCells>
  <conditionalFormatting sqref="F8:M24">
    <cfRule type="notContainsBlanks" dxfId="21" priority="5">
      <formula>LEN(TRIM(F8))&gt;0</formula>
    </cfRule>
  </conditionalFormatting>
  <conditionalFormatting sqref="B30:AJ194">
    <cfRule type="cellIs" dxfId="20" priority="4" stopIfTrue="1" operator="notEqual">
      <formula>""</formula>
    </cfRule>
  </conditionalFormatting>
  <dataValidations count="11">
    <dataValidation type="list" allowBlank="1" showInputMessage="1" showErrorMessage="1" sqref="F20:M20" xr:uid="{00000000-0002-0000-0000-000000000000}">
      <formula1>"Artifact is ready for a Full normal Inspection,Artifact should be re-submitted after more work"</formula1>
    </dataValidation>
    <dataValidation type="textLength" operator="greaterThan" allowBlank="1" showInputMessage="1" showErrorMessage="1" sqref="E8:F8 E10:M10 E13 E16:E17 E20:E21" xr:uid="{00000000-0002-0000-0000-000001000000}">
      <formula1>0</formula1>
    </dataValidation>
    <dataValidation type="list" allowBlank="1" showInputMessage="1" showErrorMessage="1" sqref="E9:F9" xr:uid="{00000000-0002-0000-0000-000002000000}">
      <formula1>$Q$2:$Q$5</formula1>
    </dataValidation>
    <dataValidation type="list" allowBlank="1" showInputMessage="1" showErrorMessage="1" sqref="E12" xr:uid="{00000000-0002-0000-0000-000003000000}">
      <formula1>$AE$1:$AE$16</formula1>
    </dataValidation>
    <dataValidation type="date" operator="greaterThan" allowBlank="1" showInputMessage="1" showErrorMessage="1" error="&quot;Meeting Date / Time&quot; date should be greater than &quot;Inspection Notice Date&quot;...." sqref="E23:E24" xr:uid="{00000000-0002-0000-0000-000004000000}">
      <formula1>$E$18</formula1>
    </dataValidation>
    <dataValidation type="list" allowBlank="1" showInputMessage="1" showErrorMessage="1" sqref="F12:M12" xr:uid="{00000000-0002-0000-0000-000005000000}">
      <formula1>$AE$1:$AE$15</formula1>
    </dataValidation>
    <dataValidation type="date" operator="greaterThan" allowBlank="1" showInputMessage="1" showErrorMessage="1" error="&quot;Defect logs due&quot; date should be greater than &quot;Inspection Notice Date&quot;...." sqref="E19" xr:uid="{00000000-0002-0000-0000-000006000000}">
      <formula1>$E$18</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7000000}">
      <formula1>TODAY()</formula1>
    </dataValidation>
    <dataValidation type="list" allowBlank="1" showInputMessage="1" showErrorMessage="1" sqref="AJ30:AJ194" xr:uid="{00000000-0002-0000-0000-000008000000}">
      <formula1>"Critical,Non-Critical"</formula1>
    </dataValidation>
    <dataValidation type="decimal" allowBlank="1" showInputMessage="1" showErrorMessage="1" sqref="F14:M15" xr:uid="{00000000-0002-0000-0000-000009000000}">
      <formula1>0</formula1>
      <formula2>99999</formula2>
    </dataValidation>
    <dataValidation type="list" allowBlank="1" showInputMessage="1" showErrorMessage="1" sqref="B30:C194" xr:uid="{00000000-0002-0000-0000-00000A000000}">
      <formula1>$Q$6:$Q$7</formula1>
    </dataValidation>
  </dataValidations>
  <hyperlinks>
    <hyperlink ref="F22" r:id="rId1" xr:uid="{00000000-0004-0000-0000-000000000000}"/>
  </hyperlinks>
  <pageMargins left="0.75" right="0.75" top="1" bottom="1" header="0.5" footer="0.5"/>
  <pageSetup paperSize="9" orientation="portrait"/>
  <headerFooter alignWithMargins="0"/>
  <drawing r:id="rId2"/>
  <legacyDrawing r:id="rId3"/>
  <controls>
    <mc:AlternateContent xmlns:mc="http://schemas.openxmlformats.org/markup-compatibility/2006">
      <mc:Choice Requires="x14">
        <control shapeId="1050" r:id="rId4" name="CommandButton1">
          <controlPr defaultSize="0" r:id="rId5">
            <anchor moveWithCells="1">
              <from>
                <xdr:col>9</xdr:col>
                <xdr:colOff>624840</xdr:colOff>
                <xdr:row>24</xdr:row>
                <xdr:rowOff>129540</xdr:rowOff>
              </from>
              <to>
                <xdr:col>11</xdr:col>
                <xdr:colOff>571500</xdr:colOff>
                <xdr:row>25</xdr:row>
                <xdr:rowOff>198120</xdr:rowOff>
              </to>
            </anchor>
          </controlPr>
        </control>
      </mc:Choice>
      <mc:Fallback>
        <control shapeId="1050" r:id="rId4" name="CommandButton1"/>
      </mc:Fallback>
    </mc:AlternateContent>
    <mc:AlternateContent xmlns:mc="http://schemas.openxmlformats.org/markup-compatibility/2006">
      <mc:Choice Requires="x14">
        <control shapeId="1172" r:id="rId6" name="CommandButton2">
          <controlPr defaultSize="0" r:id="rId7">
            <anchor moveWithCells="1">
              <from>
                <xdr:col>11</xdr:col>
                <xdr:colOff>685800</xdr:colOff>
                <xdr:row>21</xdr:row>
                <xdr:rowOff>0</xdr:rowOff>
              </from>
              <to>
                <xdr:col>35</xdr:col>
                <xdr:colOff>342900</xdr:colOff>
                <xdr:row>22</xdr:row>
                <xdr:rowOff>15240</xdr:rowOff>
              </to>
            </anchor>
          </controlPr>
        </control>
      </mc:Choice>
      <mc:Fallback>
        <control shapeId="1172" r:id="rId6"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4" workbookViewId="0">
      <selection activeCell="E4" sqref="E4:F4"/>
    </sheetView>
  </sheetViews>
  <sheetFormatPr defaultColWidth="9.28515625" defaultRowHeight="13.15"/>
  <cols>
    <col min="1" max="1" width="1" style="60" customWidth="1"/>
    <col min="2" max="2" width="11.7109375" style="84" customWidth="1"/>
    <col min="3" max="3" width="19.5703125" style="84" customWidth="1"/>
    <col min="4" max="4" width="1.5703125" style="84" customWidth="1"/>
    <col min="5" max="5" width="9.7109375" style="84" customWidth="1"/>
    <col min="6" max="6" width="10.7109375" style="84" customWidth="1"/>
    <col min="7" max="7" width="15.28515625" style="84" customWidth="1"/>
    <col min="8" max="8" width="29.7109375" style="84" customWidth="1"/>
    <col min="9" max="9" width="13.5703125" style="85" customWidth="1"/>
    <col min="10" max="10" width="24.7109375" style="86" customWidth="1"/>
    <col min="11" max="11" width="13.7109375" style="84" customWidth="1"/>
    <col min="12" max="12" width="12.7109375" style="60" customWidth="1"/>
    <col min="13" max="13" width="12.7109375" style="87" hidden="1" customWidth="1"/>
    <col min="14" max="14" width="4.42578125" style="87" hidden="1" customWidth="1"/>
    <col min="15" max="17" width="12.7109375" style="87" hidden="1" customWidth="1"/>
    <col min="18" max="27" width="12.7109375" style="84" hidden="1" customWidth="1"/>
    <col min="28" max="30" width="9.28515625" style="84" hidden="1" customWidth="1"/>
    <col min="31" max="36" width="12.7109375" style="60" hidden="1" customWidth="1"/>
    <col min="37" max="57" width="12.7109375" style="60" customWidth="1"/>
    <col min="58" max="16384" width="9.28515625" style="84"/>
  </cols>
  <sheetData>
    <row r="1" spans="2:57" ht="5.25" customHeight="1">
      <c r="B1" s="60"/>
      <c r="C1" s="60"/>
      <c r="D1" s="60"/>
      <c r="E1" s="60"/>
      <c r="F1" s="60"/>
      <c r="G1" s="60"/>
      <c r="H1" s="60"/>
      <c r="I1" s="60"/>
      <c r="J1" s="60"/>
      <c r="K1" s="60"/>
      <c r="M1" s="60"/>
      <c r="N1" s="60"/>
      <c r="O1" s="60" t="s">
        <v>160</v>
      </c>
      <c r="P1" s="60" t="s">
        <v>161</v>
      </c>
      <c r="Q1" s="60">
        <v>1</v>
      </c>
      <c r="R1" s="60"/>
      <c r="S1" s="60"/>
      <c r="T1" s="60"/>
      <c r="U1" s="60"/>
      <c r="V1" s="60"/>
      <c r="W1" s="60"/>
      <c r="X1" s="60"/>
      <c r="Y1" s="60"/>
      <c r="Z1" s="60"/>
      <c r="AA1" s="60" t="s">
        <v>162</v>
      </c>
      <c r="AB1" s="60"/>
      <c r="AC1" s="60"/>
      <c r="AD1" s="60"/>
    </row>
    <row r="2" spans="2:57" ht="31.5" customHeight="1">
      <c r="B2" s="219" t="s">
        <v>163</v>
      </c>
      <c r="C2" s="219"/>
      <c r="D2" s="219"/>
      <c r="E2" s="219"/>
      <c r="F2" s="219"/>
      <c r="G2" s="219"/>
      <c r="H2" s="219"/>
      <c r="I2" s="219"/>
      <c r="J2" s="60"/>
      <c r="K2" s="60"/>
      <c r="M2" s="92"/>
      <c r="N2" s="93"/>
      <c r="O2" s="94" t="s">
        <v>164</v>
      </c>
      <c r="P2" s="94" t="s">
        <v>165</v>
      </c>
      <c r="Q2" s="94"/>
      <c r="R2" s="105"/>
      <c r="S2" s="94"/>
      <c r="T2" s="95"/>
      <c r="X2" s="106"/>
      <c r="Y2" s="85"/>
      <c r="Z2" s="92"/>
      <c r="AA2" s="84" t="s">
        <v>166</v>
      </c>
    </row>
    <row r="3" spans="2:57" ht="15.75" customHeight="1">
      <c r="B3" s="60"/>
      <c r="C3" s="60"/>
      <c r="D3" s="60"/>
      <c r="E3" s="60"/>
      <c r="F3" s="60"/>
      <c r="G3" s="60"/>
      <c r="H3" s="60"/>
      <c r="I3" s="92"/>
      <c r="J3" s="93"/>
      <c r="K3" s="94"/>
      <c r="L3" s="94"/>
      <c r="M3" s="95"/>
      <c r="N3" s="95"/>
      <c r="O3" s="95"/>
      <c r="P3" s="84"/>
      <c r="Q3" s="84"/>
      <c r="S3" s="106"/>
      <c r="T3" s="85"/>
      <c r="U3" s="92"/>
      <c r="V3" s="84" t="s">
        <v>167</v>
      </c>
      <c r="Z3" s="60"/>
      <c r="AA3" s="60"/>
      <c r="AB3" s="60"/>
      <c r="AC3" s="60"/>
      <c r="AD3" s="60"/>
      <c r="BA3" s="84"/>
      <c r="BB3" s="84"/>
      <c r="BC3" s="84"/>
      <c r="BD3" s="84"/>
      <c r="BE3" s="84"/>
    </row>
    <row r="4" spans="2:57">
      <c r="B4" s="220" t="s">
        <v>168</v>
      </c>
      <c r="C4" s="220"/>
      <c r="D4" s="63"/>
      <c r="E4" s="221" t="s">
        <v>169</v>
      </c>
      <c r="F4" s="221"/>
      <c r="G4" s="60"/>
      <c r="H4" s="60"/>
      <c r="I4" s="92"/>
      <c r="J4" s="93"/>
      <c r="K4" s="94"/>
      <c r="L4" s="94"/>
      <c r="M4" s="95"/>
      <c r="N4" s="95"/>
      <c r="O4" s="95"/>
      <c r="P4" s="84"/>
      <c r="Q4" s="84"/>
      <c r="S4" s="106"/>
      <c r="T4" s="85"/>
      <c r="U4" s="92"/>
      <c r="V4" s="84" t="s">
        <v>170</v>
      </c>
      <c r="Z4" s="60"/>
      <c r="AA4" s="60"/>
      <c r="AB4" s="60"/>
      <c r="AC4" s="60"/>
      <c r="AD4" s="60"/>
      <c r="BA4" s="84"/>
      <c r="BB4" s="84"/>
      <c r="BC4" s="84"/>
      <c r="BD4" s="84"/>
      <c r="BE4" s="84"/>
    </row>
    <row r="5" spans="2:57" ht="15.75" customHeight="1">
      <c r="B5" s="215" t="s">
        <v>171</v>
      </c>
      <c r="C5" s="215"/>
      <c r="D5" s="63"/>
      <c r="E5" s="221" t="s">
        <v>12</v>
      </c>
      <c r="F5" s="221"/>
      <c r="G5" s="60"/>
      <c r="H5" s="60"/>
      <c r="I5" s="92"/>
      <c r="J5" s="93"/>
      <c r="K5" s="94"/>
      <c r="L5" s="94"/>
      <c r="M5" s="95"/>
      <c r="N5" s="95"/>
      <c r="O5" s="95"/>
      <c r="P5" s="84"/>
      <c r="Q5" s="84"/>
      <c r="S5" s="106"/>
      <c r="T5" s="85"/>
      <c r="U5" s="92"/>
      <c r="V5" s="84" t="s">
        <v>172</v>
      </c>
      <c r="Z5" s="60"/>
      <c r="AA5" s="60"/>
      <c r="AB5" s="60"/>
      <c r="AC5" s="60"/>
      <c r="AD5" s="60"/>
      <c r="BA5" s="84"/>
      <c r="BB5" s="84"/>
      <c r="BC5" s="84"/>
      <c r="BD5" s="84"/>
      <c r="BE5" s="84"/>
    </row>
    <row r="6" spans="2:57" ht="15" customHeight="1">
      <c r="B6" s="215" t="s">
        <v>173</v>
      </c>
      <c r="C6" s="215"/>
      <c r="D6" s="63"/>
      <c r="E6" s="221" t="s">
        <v>12</v>
      </c>
      <c r="F6" s="221"/>
      <c r="G6" s="60"/>
      <c r="H6" s="60"/>
      <c r="I6" s="92"/>
      <c r="J6" s="93"/>
      <c r="K6" s="87"/>
      <c r="L6" s="94"/>
      <c r="M6" s="95"/>
      <c r="N6" s="95"/>
      <c r="O6" s="95"/>
      <c r="P6" s="84"/>
      <c r="Q6" s="84"/>
      <c r="S6" s="106"/>
      <c r="T6" s="85"/>
      <c r="U6" s="92"/>
      <c r="V6" s="84" t="s">
        <v>174</v>
      </c>
      <c r="Z6" s="60"/>
      <c r="AA6" s="60"/>
      <c r="AB6" s="60"/>
      <c r="AC6" s="60"/>
      <c r="AD6" s="60"/>
      <c r="BA6" s="84"/>
      <c r="BB6" s="84"/>
      <c r="BC6" s="84"/>
      <c r="BD6" s="84"/>
      <c r="BE6" s="84"/>
    </row>
    <row r="7" spans="2:57" ht="16.5" customHeight="1">
      <c r="B7" s="215" t="s">
        <v>175</v>
      </c>
      <c r="C7" s="215"/>
      <c r="D7" s="63"/>
      <c r="E7" s="216" t="s">
        <v>176</v>
      </c>
      <c r="F7" s="216"/>
      <c r="G7" s="60"/>
      <c r="H7" s="60"/>
      <c r="I7" s="92"/>
      <c r="J7" s="93"/>
      <c r="K7" s="87"/>
      <c r="L7" s="94"/>
      <c r="M7" s="95"/>
      <c r="N7" s="95"/>
      <c r="O7" s="95"/>
      <c r="P7" s="84"/>
      <c r="Q7" s="84"/>
      <c r="S7" s="106"/>
      <c r="T7" s="85"/>
      <c r="U7" s="92"/>
      <c r="Z7" s="60"/>
      <c r="AA7" s="60"/>
      <c r="AB7" s="60"/>
      <c r="AC7" s="60"/>
      <c r="AD7" s="60"/>
      <c r="BA7" s="84"/>
      <c r="BB7" s="84"/>
      <c r="BC7" s="84"/>
      <c r="BD7" s="84"/>
      <c r="BE7" s="84"/>
    </row>
    <row r="8" spans="2:57" ht="14.65">
      <c r="B8" s="215" t="s">
        <v>177</v>
      </c>
      <c r="C8" s="215"/>
      <c r="D8" s="63"/>
      <c r="E8" s="216" t="s">
        <v>178</v>
      </c>
      <c r="F8" s="216"/>
      <c r="G8" s="60"/>
      <c r="H8" s="60"/>
      <c r="I8" s="92"/>
      <c r="J8" s="93"/>
      <c r="K8" s="96"/>
      <c r="L8" s="94"/>
      <c r="M8" s="97">
        <f>COUNTA(H22:H71)</f>
        <v>0</v>
      </c>
      <c r="N8" s="98">
        <f>COUNTA(#REF!)</f>
        <v>1</v>
      </c>
      <c r="O8" s="96"/>
      <c r="P8" s="96"/>
      <c r="Q8" s="84"/>
      <c r="S8" s="106"/>
      <c r="T8" s="85"/>
      <c r="U8" s="92"/>
      <c r="V8" s="84" t="s">
        <v>179</v>
      </c>
      <c r="Z8" s="60"/>
      <c r="AA8" s="60"/>
      <c r="AB8" s="60"/>
      <c r="AC8" s="60"/>
      <c r="AD8" s="60"/>
      <c r="BA8" s="84"/>
      <c r="BB8" s="84"/>
      <c r="BC8" s="84"/>
      <c r="BD8" s="84"/>
      <c r="BE8" s="84"/>
    </row>
    <row r="9" spans="2:57" ht="13.9">
      <c r="B9" s="215" t="s">
        <v>180</v>
      </c>
      <c r="C9" s="215"/>
      <c r="D9" s="63"/>
      <c r="E9" s="216"/>
      <c r="F9" s="216"/>
      <c r="G9" s="60"/>
      <c r="H9" s="60"/>
      <c r="I9" s="92"/>
      <c r="J9" s="93"/>
      <c r="K9" s="99"/>
      <c r="L9" s="96"/>
      <c r="M9" s="96"/>
      <c r="N9" s="96" t="str">
        <f>'Inspection Details'!T12</f>
        <v>Code_Inspection Summary_Code.xlsm</v>
      </c>
      <c r="O9" s="95"/>
      <c r="P9" s="84"/>
      <c r="Q9" s="84"/>
      <c r="S9" s="106"/>
      <c r="T9" s="85"/>
      <c r="U9" s="92"/>
      <c r="V9" s="84" t="s">
        <v>181</v>
      </c>
      <c r="Z9" s="60"/>
      <c r="AA9" s="60"/>
      <c r="AB9" s="60"/>
      <c r="AC9" s="60"/>
      <c r="AD9" s="60"/>
      <c r="BA9" s="84"/>
      <c r="BB9" s="84"/>
      <c r="BC9" s="84"/>
      <c r="BD9" s="84"/>
      <c r="BE9" s="84"/>
    </row>
    <row r="10" spans="2:57" ht="13.9">
      <c r="B10" s="215" t="str">
        <f>IF(E6="Code","No.of Lines Reviewed(KSLOC) :","No.of Pages Reviewed")</f>
        <v>No.of Lines Reviewed(KSLOC) :</v>
      </c>
      <c r="C10" s="215"/>
      <c r="D10" s="63"/>
      <c r="E10" s="217"/>
      <c r="F10" s="217"/>
      <c r="G10" s="60"/>
      <c r="H10" s="60"/>
      <c r="I10" s="87"/>
      <c r="J10" s="87"/>
      <c r="K10" s="99"/>
      <c r="L10" s="96"/>
      <c r="M10" s="96"/>
      <c r="N10" s="96" t="str">
        <f>'Inspection Details'!T13</f>
        <v>Code_Inspection Summary</v>
      </c>
      <c r="O10" s="95"/>
      <c r="P10" s="84"/>
      <c r="Q10" s="84"/>
      <c r="S10" s="106"/>
      <c r="T10" s="85"/>
      <c r="U10" s="92"/>
      <c r="Z10" s="60"/>
      <c r="AA10" s="60"/>
      <c r="AB10" s="60"/>
      <c r="AC10" s="60"/>
      <c r="AD10" s="60"/>
      <c r="BA10" s="84"/>
      <c r="BB10" s="84"/>
      <c r="BC10" s="84"/>
      <c r="BD10" s="84"/>
      <c r="BE10" s="84"/>
    </row>
    <row r="11" spans="2:57" ht="15.4">
      <c r="B11" s="60"/>
      <c r="C11" s="60"/>
      <c r="D11" s="60"/>
      <c r="E11" s="60"/>
      <c r="F11" s="60"/>
      <c r="G11" s="60"/>
      <c r="H11" s="60"/>
      <c r="I11" s="60"/>
      <c r="J11" s="60"/>
      <c r="K11" s="60"/>
      <c r="M11" s="100" t="e">
        <f>#REF!*1</f>
        <v>#REF!</v>
      </c>
      <c r="N11" s="84"/>
      <c r="O11" s="101" t="s">
        <v>182</v>
      </c>
      <c r="P11" s="93" t="e">
        <f t="array" ref="P11">SUM(IF($E$22:$E$71=#REF!,1,0))</f>
        <v>#REF!</v>
      </c>
      <c r="Q11" s="84"/>
      <c r="X11" s="106"/>
      <c r="Y11" s="85"/>
      <c r="Z11" s="85"/>
    </row>
    <row r="12" spans="2:57" ht="16.5" customHeight="1">
      <c r="B12" s="218" t="s">
        <v>183</v>
      </c>
      <c r="C12" s="218"/>
      <c r="D12" s="60"/>
      <c r="E12" s="218" t="s">
        <v>183</v>
      </c>
      <c r="F12" s="218"/>
      <c r="G12" s="218"/>
      <c r="H12" s="218" t="s">
        <v>184</v>
      </c>
      <c r="I12" s="218"/>
      <c r="J12" s="218"/>
      <c r="K12" s="60"/>
      <c r="N12" s="84"/>
      <c r="O12" s="84"/>
      <c r="P12" s="84"/>
      <c r="Q12" s="84"/>
      <c r="X12" s="101"/>
      <c r="Y12" s="85"/>
      <c r="Z12" s="85"/>
    </row>
    <row r="13" spans="2:57" ht="30" customHeight="1">
      <c r="B13" s="207" t="s">
        <v>185</v>
      </c>
      <c r="C13" s="208"/>
      <c r="D13" s="60"/>
      <c r="E13" s="209" t="s">
        <v>186</v>
      </c>
      <c r="F13" s="210"/>
      <c r="G13" s="211"/>
      <c r="H13" s="209" t="s">
        <v>187</v>
      </c>
      <c r="I13" s="210"/>
      <c r="J13" s="211"/>
      <c r="K13" s="60"/>
      <c r="M13" s="102" t="s">
        <v>188</v>
      </c>
      <c r="N13" s="84"/>
      <c r="O13" s="84"/>
      <c r="P13" s="84"/>
      <c r="Q13" s="84"/>
    </row>
    <row r="14" spans="2:57" ht="33.75" customHeight="1">
      <c r="B14" s="212" t="s">
        <v>189</v>
      </c>
      <c r="C14" s="213"/>
      <c r="D14" s="60"/>
      <c r="E14" s="212" t="s">
        <v>190</v>
      </c>
      <c r="F14" s="214"/>
      <c r="G14" s="213"/>
      <c r="H14" s="212" t="s">
        <v>191</v>
      </c>
      <c r="I14" s="214"/>
      <c r="J14" s="213"/>
      <c r="K14" s="60"/>
      <c r="N14" s="84"/>
      <c r="O14" s="84"/>
      <c r="P14" s="84"/>
      <c r="Q14" s="84"/>
    </row>
    <row r="15" spans="2:57" ht="27.75" customHeight="1">
      <c r="B15" s="204" t="s">
        <v>192</v>
      </c>
      <c r="C15" s="205"/>
      <c r="D15" s="60"/>
      <c r="E15" s="204" t="s">
        <v>193</v>
      </c>
      <c r="F15" s="206"/>
      <c r="G15" s="205"/>
      <c r="H15" s="204" t="s">
        <v>194</v>
      </c>
      <c r="I15" s="206"/>
      <c r="J15" s="205"/>
      <c r="K15" s="60"/>
      <c r="N15" s="84"/>
      <c r="O15" s="84"/>
      <c r="P15" s="84"/>
      <c r="Q15" s="84"/>
    </row>
    <row r="16" spans="2:57" ht="36.75" customHeight="1">
      <c r="B16" s="204" t="s">
        <v>195</v>
      </c>
      <c r="C16" s="205"/>
      <c r="D16" s="60"/>
      <c r="E16" s="204" t="s">
        <v>196</v>
      </c>
      <c r="F16" s="206"/>
      <c r="G16" s="205"/>
      <c r="H16" s="204" t="s">
        <v>197</v>
      </c>
      <c r="I16" s="206"/>
      <c r="J16" s="205"/>
      <c r="K16" s="60"/>
      <c r="N16" s="84"/>
      <c r="O16" s="84"/>
      <c r="P16" s="84"/>
      <c r="Q16" s="84"/>
    </row>
    <row r="17" spans="2:30" ht="35.25" customHeight="1">
      <c r="B17" s="204" t="s">
        <v>198</v>
      </c>
      <c r="C17" s="205"/>
      <c r="D17" s="60"/>
      <c r="E17" s="204" t="s">
        <v>199</v>
      </c>
      <c r="F17" s="206"/>
      <c r="G17" s="205"/>
      <c r="H17" s="204"/>
      <c r="I17" s="206"/>
      <c r="J17" s="205"/>
      <c r="K17" s="60"/>
      <c r="M17" s="103"/>
    </row>
    <row r="18" spans="2:30" ht="27.75" customHeight="1">
      <c r="B18" s="204" t="s">
        <v>200</v>
      </c>
      <c r="C18" s="205"/>
      <c r="D18" s="60"/>
      <c r="E18" s="204" t="s">
        <v>201</v>
      </c>
      <c r="F18" s="206"/>
      <c r="G18" s="205"/>
      <c r="H18" s="204"/>
      <c r="I18" s="206"/>
      <c r="J18" s="205"/>
      <c r="K18" s="60"/>
      <c r="M18" s="60"/>
      <c r="N18" s="60"/>
      <c r="O18" s="60"/>
      <c r="P18" s="60"/>
      <c r="Q18" s="60"/>
      <c r="R18" s="60"/>
      <c r="S18" s="60"/>
      <c r="T18" s="60"/>
      <c r="U18" s="60"/>
      <c r="V18" s="60"/>
      <c r="W18" s="60"/>
      <c r="X18" s="60"/>
      <c r="Y18" s="60"/>
      <c r="Z18" s="60"/>
      <c r="AA18" s="60"/>
      <c r="AB18" s="60"/>
      <c r="AC18" s="60"/>
      <c r="AD18" s="60"/>
    </row>
    <row r="19" spans="2:30">
      <c r="B19" s="60"/>
      <c r="C19" s="60"/>
      <c r="D19" s="60"/>
      <c r="E19" s="60"/>
      <c r="F19" s="60"/>
      <c r="G19" s="60"/>
      <c r="H19" s="60"/>
      <c r="I19" s="60"/>
      <c r="J19" s="60"/>
      <c r="K19" s="60"/>
    </row>
    <row r="20" spans="2:30" ht="20.100000000000001" customHeight="1">
      <c r="B20" s="199" t="s">
        <v>202</v>
      </c>
      <c r="C20" s="196" t="s">
        <v>203</v>
      </c>
      <c r="D20" s="196"/>
      <c r="E20" s="196" t="s">
        <v>204</v>
      </c>
      <c r="F20" s="201" t="s">
        <v>205</v>
      </c>
      <c r="G20" s="201" t="s">
        <v>206</v>
      </c>
      <c r="H20" s="201" t="s">
        <v>207</v>
      </c>
      <c r="I20" s="201" t="s">
        <v>208</v>
      </c>
      <c r="J20" s="194" t="s">
        <v>209</v>
      </c>
      <c r="K20" s="194" t="s">
        <v>210</v>
      </c>
      <c r="M20" s="84"/>
      <c r="N20" s="84"/>
      <c r="O20" s="84"/>
      <c r="P20" s="84"/>
      <c r="Q20" s="84"/>
    </row>
    <row r="21" spans="2:30" ht="20.100000000000001" customHeight="1">
      <c r="B21" s="200"/>
      <c r="C21" s="197"/>
      <c r="D21" s="197"/>
      <c r="E21" s="197"/>
      <c r="F21" s="202"/>
      <c r="G21" s="202"/>
      <c r="H21" s="202"/>
      <c r="I21" s="202"/>
      <c r="J21" s="195"/>
      <c r="K21" s="195"/>
      <c r="M21" s="84"/>
      <c r="N21" s="84"/>
      <c r="O21" s="84"/>
      <c r="P21" s="84"/>
      <c r="Q21" s="84"/>
      <c r="S21" s="87">
        <v>1</v>
      </c>
    </row>
    <row r="22" spans="2:30">
      <c r="B22" s="88"/>
      <c r="C22" s="203"/>
      <c r="D22" s="203"/>
      <c r="E22" s="89"/>
      <c r="F22" s="89"/>
      <c r="G22" s="90"/>
      <c r="H22" s="91"/>
      <c r="I22" s="91"/>
      <c r="J22" s="104"/>
      <c r="K22" s="89"/>
      <c r="M22" s="84"/>
      <c r="N22" s="84"/>
      <c r="O22" s="84"/>
      <c r="P22" s="84"/>
      <c r="Q22" s="84"/>
      <c r="S22" s="87">
        <v>2</v>
      </c>
    </row>
    <row r="23" spans="2:30">
      <c r="B23" s="88"/>
      <c r="C23" s="203"/>
      <c r="D23" s="203"/>
      <c r="E23" s="89"/>
      <c r="F23" s="89"/>
      <c r="G23" s="90"/>
      <c r="H23" s="91"/>
      <c r="I23" s="91"/>
      <c r="J23" s="104"/>
      <c r="K23" s="89"/>
      <c r="M23" s="84"/>
      <c r="N23" s="84"/>
      <c r="O23" s="84"/>
      <c r="P23" s="84"/>
      <c r="Q23" s="84"/>
      <c r="S23" s="87">
        <v>3</v>
      </c>
    </row>
    <row r="24" spans="2:30">
      <c r="B24" s="88"/>
      <c r="C24" s="203"/>
      <c r="D24" s="203"/>
      <c r="E24" s="89"/>
      <c r="F24" s="89"/>
      <c r="G24" s="90"/>
      <c r="H24" s="91"/>
      <c r="I24" s="91"/>
      <c r="J24" s="104"/>
      <c r="K24" s="89"/>
      <c r="M24" s="84"/>
      <c r="N24" s="84"/>
      <c r="O24" s="84"/>
      <c r="P24" s="84"/>
      <c r="Q24" s="84"/>
      <c r="S24" s="87">
        <v>4</v>
      </c>
      <c r="AA24" s="107"/>
    </row>
    <row r="25" spans="2:30">
      <c r="B25" s="88"/>
      <c r="C25" s="203"/>
      <c r="D25" s="203"/>
      <c r="E25" s="89"/>
      <c r="F25" s="89"/>
      <c r="G25" s="90"/>
      <c r="H25" s="91"/>
      <c r="I25" s="91"/>
      <c r="J25" s="104"/>
      <c r="K25" s="89"/>
      <c r="M25" s="84"/>
      <c r="N25" s="84"/>
      <c r="O25" s="84"/>
      <c r="P25" s="84"/>
      <c r="Q25" s="84"/>
      <c r="S25" s="87">
        <v>5</v>
      </c>
    </row>
    <row r="26" spans="2:30">
      <c r="B26" s="88"/>
      <c r="C26" s="203"/>
      <c r="D26" s="203"/>
      <c r="E26" s="89"/>
      <c r="F26" s="89"/>
      <c r="G26" s="90"/>
      <c r="H26" s="91"/>
      <c r="I26" s="91"/>
      <c r="J26" s="104"/>
      <c r="K26" s="89"/>
      <c r="M26" s="84"/>
      <c r="N26" s="84"/>
      <c r="O26" s="84"/>
      <c r="P26" s="84"/>
      <c r="Q26" s="84"/>
      <c r="S26" s="87">
        <v>6</v>
      </c>
    </row>
    <row r="27" spans="2:30">
      <c r="B27" s="88" t="e">
        <f>#REF!&amp;"_"&amp;#REF!</f>
        <v>#REF!</v>
      </c>
      <c r="C27" s="198"/>
      <c r="D27" s="198"/>
      <c r="E27" s="89"/>
      <c r="F27" s="89"/>
      <c r="G27" s="90"/>
      <c r="H27" s="91"/>
      <c r="I27" s="91"/>
      <c r="J27" s="104"/>
      <c r="K27" s="89" t="str">
        <f t="shared" ref="K27:K75" si="0">IF(H27="","",$E$6)</f>
        <v/>
      </c>
      <c r="M27" s="84"/>
      <c r="N27" s="84"/>
      <c r="O27" s="84"/>
      <c r="P27" s="84"/>
      <c r="Q27" s="84"/>
      <c r="S27" s="87">
        <v>466</v>
      </c>
    </row>
    <row r="28" spans="2:30">
      <c r="B28" s="88" t="e">
        <f>#REF!&amp;"_"&amp;S27</f>
        <v>#REF!</v>
      </c>
      <c r="C28" s="198"/>
      <c r="D28" s="198"/>
      <c r="E28" s="89"/>
      <c r="F28" s="89"/>
      <c r="G28" s="90"/>
      <c r="H28" s="91"/>
      <c r="I28" s="91"/>
      <c r="J28" s="104"/>
      <c r="K28" s="89" t="str">
        <f t="shared" si="0"/>
        <v/>
      </c>
      <c r="M28" s="84"/>
      <c r="N28" s="84"/>
      <c r="O28" s="84"/>
      <c r="P28" s="84"/>
      <c r="Q28" s="84"/>
      <c r="S28" s="87">
        <v>467</v>
      </c>
    </row>
    <row r="29" spans="2:30">
      <c r="B29" s="88" t="e">
        <f>#REF!&amp;"_"&amp;S28</f>
        <v>#REF!</v>
      </c>
      <c r="C29" s="198"/>
      <c r="D29" s="198"/>
      <c r="E29" s="89"/>
      <c r="F29" s="89"/>
      <c r="G29" s="90"/>
      <c r="H29" s="91"/>
      <c r="I29" s="91"/>
      <c r="J29" s="104"/>
      <c r="K29" s="89" t="str">
        <f t="shared" si="0"/>
        <v/>
      </c>
      <c r="M29" s="84"/>
      <c r="N29" s="84"/>
      <c r="O29" s="84"/>
      <c r="P29" s="84"/>
      <c r="Q29" s="84"/>
      <c r="S29" s="87">
        <v>468</v>
      </c>
    </row>
    <row r="30" spans="2:30">
      <c r="B30" s="88" t="e">
        <f>#REF!&amp;"_"&amp;S29</f>
        <v>#REF!</v>
      </c>
      <c r="C30" s="198"/>
      <c r="D30" s="198"/>
      <c r="E30" s="89"/>
      <c r="F30" s="89"/>
      <c r="G30" s="90"/>
      <c r="H30" s="91"/>
      <c r="I30" s="91"/>
      <c r="J30" s="104"/>
      <c r="K30" s="89" t="str">
        <f t="shared" si="0"/>
        <v/>
      </c>
      <c r="M30" s="84"/>
      <c r="N30" s="84"/>
      <c r="O30" s="84"/>
      <c r="P30" s="84"/>
      <c r="Q30" s="84"/>
      <c r="S30" s="87">
        <v>469</v>
      </c>
    </row>
    <row r="31" spans="2:30">
      <c r="B31" s="88" t="e">
        <f>#REF!&amp;"_"&amp;S30</f>
        <v>#REF!</v>
      </c>
      <c r="C31" s="198"/>
      <c r="D31" s="198"/>
      <c r="E31" s="89"/>
      <c r="F31" s="89"/>
      <c r="G31" s="90"/>
      <c r="H31" s="91"/>
      <c r="I31" s="91"/>
      <c r="J31" s="104"/>
      <c r="K31" s="89" t="str">
        <f t="shared" si="0"/>
        <v/>
      </c>
      <c r="M31" s="84"/>
      <c r="N31" s="84"/>
      <c r="O31" s="84"/>
      <c r="P31" s="84"/>
      <c r="Q31" s="84"/>
      <c r="S31" s="87">
        <v>470</v>
      </c>
    </row>
    <row r="32" spans="2:30">
      <c r="B32" s="88" t="e">
        <f>#REF!&amp;"_"&amp;S31</f>
        <v>#REF!</v>
      </c>
      <c r="C32" s="198"/>
      <c r="D32" s="198"/>
      <c r="E32" s="89"/>
      <c r="F32" s="89"/>
      <c r="G32" s="90"/>
      <c r="H32" s="91"/>
      <c r="I32" s="91"/>
      <c r="J32" s="104"/>
      <c r="K32" s="89" t="str">
        <f t="shared" si="0"/>
        <v/>
      </c>
      <c r="M32" s="84"/>
      <c r="N32" s="84"/>
      <c r="O32" s="84"/>
      <c r="P32" s="84"/>
      <c r="Q32" s="84"/>
      <c r="S32" s="87">
        <v>471</v>
      </c>
    </row>
    <row r="33" spans="2:19">
      <c r="B33" s="88" t="e">
        <f>#REF!&amp;"_"&amp;S32</f>
        <v>#REF!</v>
      </c>
      <c r="C33" s="198"/>
      <c r="D33" s="198"/>
      <c r="E33" s="89"/>
      <c r="F33" s="89"/>
      <c r="G33" s="90"/>
      <c r="H33" s="91"/>
      <c r="I33" s="91"/>
      <c r="J33" s="104"/>
      <c r="K33" s="89" t="str">
        <f t="shared" si="0"/>
        <v/>
      </c>
      <c r="M33" s="84"/>
      <c r="N33" s="84"/>
      <c r="O33" s="84"/>
      <c r="P33" s="84"/>
      <c r="Q33" s="84"/>
      <c r="S33" s="87">
        <v>472</v>
      </c>
    </row>
    <row r="34" spans="2:19">
      <c r="B34" s="88" t="e">
        <f>#REF!&amp;"_"&amp;S33</f>
        <v>#REF!</v>
      </c>
      <c r="C34" s="198"/>
      <c r="D34" s="198"/>
      <c r="E34" s="89"/>
      <c r="F34" s="89"/>
      <c r="G34" s="90"/>
      <c r="H34" s="91"/>
      <c r="I34" s="91"/>
      <c r="J34" s="104"/>
      <c r="K34" s="89" t="str">
        <f t="shared" si="0"/>
        <v/>
      </c>
      <c r="M34" s="84"/>
      <c r="N34" s="84"/>
      <c r="O34" s="84"/>
      <c r="P34" s="84"/>
      <c r="Q34" s="84"/>
      <c r="S34" s="87">
        <v>473</v>
      </c>
    </row>
    <row r="35" spans="2:19">
      <c r="B35" s="88" t="e">
        <f>#REF!&amp;"_"&amp;S34</f>
        <v>#REF!</v>
      </c>
      <c r="C35" s="198"/>
      <c r="D35" s="198"/>
      <c r="E35" s="89"/>
      <c r="F35" s="89"/>
      <c r="G35" s="90"/>
      <c r="H35" s="91"/>
      <c r="I35" s="91"/>
      <c r="J35" s="104"/>
      <c r="K35" s="89" t="str">
        <f t="shared" si="0"/>
        <v/>
      </c>
      <c r="M35" s="84"/>
      <c r="N35" s="84"/>
      <c r="O35" s="84"/>
      <c r="P35" s="84"/>
      <c r="Q35" s="84"/>
      <c r="S35" s="87">
        <v>474</v>
      </c>
    </row>
    <row r="36" spans="2:19">
      <c r="B36" s="88" t="e">
        <f>#REF!&amp;"_"&amp;S35</f>
        <v>#REF!</v>
      </c>
      <c r="C36" s="198"/>
      <c r="D36" s="198"/>
      <c r="E36" s="89"/>
      <c r="F36" s="89"/>
      <c r="G36" s="90"/>
      <c r="H36" s="91"/>
      <c r="I36" s="91"/>
      <c r="J36" s="104"/>
      <c r="K36" s="89" t="str">
        <f t="shared" si="0"/>
        <v/>
      </c>
      <c r="M36" s="84"/>
      <c r="N36" s="84"/>
      <c r="O36" s="84"/>
      <c r="P36" s="84"/>
      <c r="Q36" s="84"/>
      <c r="S36" s="87">
        <v>475</v>
      </c>
    </row>
    <row r="37" spans="2:19">
      <c r="B37" s="88" t="e">
        <f>#REF!&amp;"_"&amp;S36</f>
        <v>#REF!</v>
      </c>
      <c r="C37" s="198"/>
      <c r="D37" s="198"/>
      <c r="E37" s="89"/>
      <c r="F37" s="89"/>
      <c r="G37" s="90"/>
      <c r="H37" s="91"/>
      <c r="I37" s="91"/>
      <c r="J37" s="104"/>
      <c r="K37" s="89" t="str">
        <f t="shared" si="0"/>
        <v/>
      </c>
      <c r="M37" s="84"/>
      <c r="N37" s="84"/>
      <c r="O37" s="84"/>
      <c r="P37" s="84"/>
      <c r="Q37" s="84"/>
      <c r="S37" s="87">
        <v>476</v>
      </c>
    </row>
    <row r="38" spans="2:19">
      <c r="B38" s="88" t="e">
        <f>#REF!&amp;"_"&amp;S37</f>
        <v>#REF!</v>
      </c>
      <c r="C38" s="198"/>
      <c r="D38" s="198"/>
      <c r="E38" s="89"/>
      <c r="F38" s="89"/>
      <c r="G38" s="90"/>
      <c r="H38" s="91"/>
      <c r="I38" s="91"/>
      <c r="J38" s="104"/>
      <c r="K38" s="89" t="str">
        <f t="shared" si="0"/>
        <v/>
      </c>
      <c r="M38" s="84"/>
      <c r="N38" s="84"/>
      <c r="O38" s="84"/>
      <c r="P38" s="84"/>
      <c r="Q38" s="84"/>
      <c r="S38" s="87">
        <v>477</v>
      </c>
    </row>
    <row r="39" spans="2:19">
      <c r="B39" s="88" t="e">
        <f>#REF!&amp;"_"&amp;S38</f>
        <v>#REF!</v>
      </c>
      <c r="C39" s="198"/>
      <c r="D39" s="198"/>
      <c r="E39" s="89"/>
      <c r="F39" s="89"/>
      <c r="G39" s="90"/>
      <c r="H39" s="91"/>
      <c r="I39" s="91"/>
      <c r="J39" s="104"/>
      <c r="K39" s="89" t="str">
        <f t="shared" si="0"/>
        <v/>
      </c>
      <c r="M39" s="84"/>
      <c r="N39" s="84"/>
      <c r="O39" s="84"/>
      <c r="P39" s="84"/>
      <c r="Q39" s="84"/>
      <c r="S39" s="87">
        <v>478</v>
      </c>
    </row>
    <row r="40" spans="2:19">
      <c r="B40" s="88" t="e">
        <f>#REF!&amp;"_"&amp;S39</f>
        <v>#REF!</v>
      </c>
      <c r="C40" s="198"/>
      <c r="D40" s="198"/>
      <c r="E40" s="89"/>
      <c r="F40" s="89"/>
      <c r="G40" s="90"/>
      <c r="H40" s="91"/>
      <c r="I40" s="91"/>
      <c r="J40" s="104"/>
      <c r="K40" s="89" t="str">
        <f t="shared" si="0"/>
        <v/>
      </c>
      <c r="M40" s="84"/>
      <c r="N40" s="84"/>
      <c r="O40" s="84"/>
      <c r="P40" s="84"/>
      <c r="Q40" s="84"/>
      <c r="S40" s="87">
        <v>479</v>
      </c>
    </row>
    <row r="41" spans="2:19">
      <c r="B41" s="88" t="e">
        <f>#REF!&amp;"_"&amp;S40</f>
        <v>#REF!</v>
      </c>
      <c r="C41" s="198"/>
      <c r="D41" s="198"/>
      <c r="E41" s="89"/>
      <c r="F41" s="89"/>
      <c r="G41" s="90"/>
      <c r="H41" s="91"/>
      <c r="I41" s="91"/>
      <c r="J41" s="104"/>
      <c r="K41" s="89" t="str">
        <f t="shared" si="0"/>
        <v/>
      </c>
      <c r="M41" s="84"/>
      <c r="N41" s="84"/>
      <c r="O41" s="84"/>
      <c r="P41" s="84"/>
      <c r="Q41" s="84"/>
      <c r="S41" s="87">
        <v>480</v>
      </c>
    </row>
    <row r="42" spans="2:19">
      <c r="B42" s="88" t="e">
        <f>#REF!&amp;"_"&amp;S41</f>
        <v>#REF!</v>
      </c>
      <c r="C42" s="198"/>
      <c r="D42" s="198"/>
      <c r="E42" s="89"/>
      <c r="F42" s="89"/>
      <c r="G42" s="90"/>
      <c r="H42" s="91"/>
      <c r="I42" s="91"/>
      <c r="J42" s="104"/>
      <c r="K42" s="89" t="str">
        <f t="shared" si="0"/>
        <v/>
      </c>
      <c r="M42" s="84"/>
      <c r="N42" s="84"/>
      <c r="O42" s="84"/>
      <c r="P42" s="84"/>
      <c r="Q42" s="84"/>
      <c r="S42" s="87">
        <v>481</v>
      </c>
    </row>
    <row r="43" spans="2:19">
      <c r="B43" s="88" t="e">
        <f>#REF!&amp;"_"&amp;S42</f>
        <v>#REF!</v>
      </c>
      <c r="C43" s="198"/>
      <c r="D43" s="198"/>
      <c r="E43" s="89"/>
      <c r="F43" s="89"/>
      <c r="G43" s="90"/>
      <c r="H43" s="91"/>
      <c r="I43" s="91"/>
      <c r="J43" s="104"/>
      <c r="K43" s="89" t="str">
        <f t="shared" si="0"/>
        <v/>
      </c>
      <c r="M43" s="84"/>
      <c r="N43" s="84"/>
      <c r="O43" s="84"/>
      <c r="P43" s="84"/>
      <c r="Q43" s="84"/>
      <c r="S43" s="87">
        <v>482</v>
      </c>
    </row>
    <row r="44" spans="2:19">
      <c r="B44" s="88" t="e">
        <f>#REF!&amp;"_"&amp;S43</f>
        <v>#REF!</v>
      </c>
      <c r="C44" s="198"/>
      <c r="D44" s="198"/>
      <c r="E44" s="89"/>
      <c r="F44" s="89"/>
      <c r="G44" s="90"/>
      <c r="H44" s="91"/>
      <c r="I44" s="91"/>
      <c r="J44" s="104"/>
      <c r="K44" s="89" t="str">
        <f t="shared" si="0"/>
        <v/>
      </c>
      <c r="M44" s="84"/>
      <c r="N44" s="84"/>
      <c r="O44" s="84"/>
      <c r="P44" s="84"/>
      <c r="Q44" s="84"/>
      <c r="S44" s="87">
        <v>483</v>
      </c>
    </row>
    <row r="45" spans="2:19">
      <c r="B45" s="88" t="e">
        <f>#REF!&amp;"_"&amp;S44</f>
        <v>#REF!</v>
      </c>
      <c r="C45" s="198"/>
      <c r="D45" s="198"/>
      <c r="E45" s="89"/>
      <c r="F45" s="89"/>
      <c r="G45" s="90"/>
      <c r="H45" s="91"/>
      <c r="I45" s="91"/>
      <c r="J45" s="104"/>
      <c r="K45" s="89" t="str">
        <f t="shared" si="0"/>
        <v/>
      </c>
      <c r="M45" s="84"/>
      <c r="N45" s="84"/>
      <c r="O45" s="84"/>
      <c r="P45" s="84"/>
      <c r="Q45" s="84"/>
      <c r="S45" s="87">
        <v>484</v>
      </c>
    </row>
    <row r="46" spans="2:19">
      <c r="B46" s="88" t="e">
        <f>#REF!&amp;"_"&amp;S45</f>
        <v>#REF!</v>
      </c>
      <c r="C46" s="198"/>
      <c r="D46" s="198"/>
      <c r="E46" s="89"/>
      <c r="F46" s="89"/>
      <c r="G46" s="90"/>
      <c r="H46" s="91"/>
      <c r="I46" s="91"/>
      <c r="J46" s="104"/>
      <c r="K46" s="89" t="str">
        <f t="shared" si="0"/>
        <v/>
      </c>
      <c r="M46" s="84"/>
      <c r="N46" s="84"/>
      <c r="O46" s="84"/>
      <c r="P46" s="84"/>
      <c r="Q46" s="84"/>
      <c r="S46" s="87">
        <v>485</v>
      </c>
    </row>
    <row r="47" spans="2:19">
      <c r="B47" s="88" t="e">
        <f>#REF!&amp;"_"&amp;S46</f>
        <v>#REF!</v>
      </c>
      <c r="C47" s="198"/>
      <c r="D47" s="198"/>
      <c r="E47" s="89"/>
      <c r="F47" s="89"/>
      <c r="G47" s="90"/>
      <c r="H47" s="91"/>
      <c r="I47" s="91"/>
      <c r="J47" s="104"/>
      <c r="K47" s="89" t="str">
        <f t="shared" si="0"/>
        <v/>
      </c>
      <c r="M47" s="84"/>
      <c r="N47" s="84"/>
      <c r="O47" s="84"/>
      <c r="P47" s="84"/>
      <c r="Q47" s="84"/>
      <c r="S47" s="87">
        <v>486</v>
      </c>
    </row>
    <row r="48" spans="2:19">
      <c r="B48" s="88" t="e">
        <f>#REF!&amp;"_"&amp;S47</f>
        <v>#REF!</v>
      </c>
      <c r="C48" s="198"/>
      <c r="D48" s="198"/>
      <c r="E48" s="89"/>
      <c r="F48" s="89"/>
      <c r="G48" s="90"/>
      <c r="H48" s="91"/>
      <c r="I48" s="91"/>
      <c r="J48" s="104"/>
      <c r="K48" s="89" t="str">
        <f t="shared" si="0"/>
        <v/>
      </c>
      <c r="M48" s="84"/>
      <c r="N48" s="84"/>
      <c r="O48" s="84"/>
      <c r="P48" s="84"/>
      <c r="Q48" s="84"/>
      <c r="S48" s="87">
        <v>487</v>
      </c>
    </row>
    <row r="49" spans="2:19">
      <c r="B49" s="88" t="e">
        <f>#REF!&amp;"_"&amp;S48</f>
        <v>#REF!</v>
      </c>
      <c r="C49" s="198"/>
      <c r="D49" s="198"/>
      <c r="E49" s="89"/>
      <c r="F49" s="89"/>
      <c r="G49" s="90"/>
      <c r="H49" s="91"/>
      <c r="I49" s="91"/>
      <c r="J49" s="104"/>
      <c r="K49" s="89" t="str">
        <f t="shared" si="0"/>
        <v/>
      </c>
      <c r="M49" s="84"/>
      <c r="N49" s="84"/>
      <c r="O49" s="84"/>
      <c r="P49" s="84"/>
      <c r="Q49" s="84"/>
      <c r="S49" s="87">
        <v>488</v>
      </c>
    </row>
    <row r="50" spans="2:19">
      <c r="B50" s="88" t="e">
        <f>#REF!&amp;"_"&amp;S49</f>
        <v>#REF!</v>
      </c>
      <c r="C50" s="198"/>
      <c r="D50" s="198"/>
      <c r="E50" s="89"/>
      <c r="F50" s="89"/>
      <c r="G50" s="90"/>
      <c r="H50" s="91"/>
      <c r="I50" s="91"/>
      <c r="J50" s="104"/>
      <c r="K50" s="89" t="str">
        <f t="shared" si="0"/>
        <v/>
      </c>
      <c r="M50" s="84"/>
      <c r="N50" s="84"/>
      <c r="O50" s="84"/>
      <c r="P50" s="84"/>
      <c r="Q50" s="84"/>
      <c r="S50" s="87">
        <v>489</v>
      </c>
    </row>
    <row r="51" spans="2:19">
      <c r="B51" s="88" t="e">
        <f>#REF!&amp;"_"&amp;S50</f>
        <v>#REF!</v>
      </c>
      <c r="C51" s="198"/>
      <c r="D51" s="198"/>
      <c r="E51" s="89"/>
      <c r="F51" s="89"/>
      <c r="G51" s="90"/>
      <c r="H51" s="91"/>
      <c r="I51" s="91"/>
      <c r="J51" s="104"/>
      <c r="K51" s="89" t="str">
        <f t="shared" si="0"/>
        <v/>
      </c>
      <c r="M51" s="84"/>
      <c r="N51" s="84"/>
      <c r="O51" s="84"/>
      <c r="P51" s="84"/>
      <c r="Q51" s="84"/>
      <c r="S51" s="87">
        <v>490</v>
      </c>
    </row>
    <row r="52" spans="2:19">
      <c r="B52" s="88" t="e">
        <f>#REF!&amp;"_"&amp;S51</f>
        <v>#REF!</v>
      </c>
      <c r="C52" s="198"/>
      <c r="D52" s="198"/>
      <c r="E52" s="89"/>
      <c r="F52" s="89"/>
      <c r="G52" s="90"/>
      <c r="H52" s="91"/>
      <c r="I52" s="91"/>
      <c r="J52" s="104"/>
      <c r="K52" s="89" t="str">
        <f t="shared" si="0"/>
        <v/>
      </c>
      <c r="M52" s="84"/>
      <c r="N52" s="84"/>
      <c r="O52" s="84"/>
      <c r="P52" s="84"/>
      <c r="Q52" s="84"/>
      <c r="S52" s="87">
        <v>491</v>
      </c>
    </row>
    <row r="53" spans="2:19">
      <c r="B53" s="88" t="e">
        <f>#REF!&amp;"_"&amp;S52</f>
        <v>#REF!</v>
      </c>
      <c r="C53" s="198"/>
      <c r="D53" s="198"/>
      <c r="E53" s="89"/>
      <c r="F53" s="89"/>
      <c r="G53" s="90"/>
      <c r="H53" s="91"/>
      <c r="I53" s="91"/>
      <c r="J53" s="104"/>
      <c r="K53" s="89" t="str">
        <f t="shared" si="0"/>
        <v/>
      </c>
      <c r="M53" s="84"/>
      <c r="N53" s="84"/>
      <c r="O53" s="84"/>
      <c r="P53" s="84"/>
      <c r="Q53" s="84"/>
      <c r="S53" s="87">
        <v>492</v>
      </c>
    </row>
    <row r="54" spans="2:19">
      <c r="B54" s="88" t="e">
        <f>#REF!&amp;"_"&amp;S53</f>
        <v>#REF!</v>
      </c>
      <c r="C54" s="198"/>
      <c r="D54" s="198"/>
      <c r="E54" s="89"/>
      <c r="F54" s="89"/>
      <c r="G54" s="90"/>
      <c r="H54" s="91"/>
      <c r="I54" s="91"/>
      <c r="J54" s="104"/>
      <c r="K54" s="89" t="str">
        <f t="shared" si="0"/>
        <v/>
      </c>
      <c r="M54" s="84"/>
      <c r="N54" s="84"/>
      <c r="O54" s="84"/>
      <c r="P54" s="84"/>
      <c r="Q54" s="84"/>
      <c r="S54" s="87">
        <v>493</v>
      </c>
    </row>
    <row r="55" spans="2:19">
      <c r="B55" s="88" t="e">
        <f>#REF!&amp;"_"&amp;S54</f>
        <v>#REF!</v>
      </c>
      <c r="C55" s="198"/>
      <c r="D55" s="198"/>
      <c r="E55" s="89"/>
      <c r="F55" s="89"/>
      <c r="G55" s="90"/>
      <c r="H55" s="91"/>
      <c r="I55" s="91"/>
      <c r="J55" s="104"/>
      <c r="K55" s="89" t="str">
        <f t="shared" si="0"/>
        <v/>
      </c>
      <c r="M55" s="84"/>
      <c r="N55" s="84"/>
      <c r="O55" s="84"/>
      <c r="P55" s="84"/>
      <c r="Q55" s="84"/>
      <c r="S55" s="87">
        <v>494</v>
      </c>
    </row>
    <row r="56" spans="2:19">
      <c r="B56" s="88" t="e">
        <f>#REF!&amp;"_"&amp;S55</f>
        <v>#REF!</v>
      </c>
      <c r="C56" s="198"/>
      <c r="D56" s="198"/>
      <c r="E56" s="89"/>
      <c r="F56" s="89"/>
      <c r="G56" s="90"/>
      <c r="H56" s="91"/>
      <c r="I56" s="91"/>
      <c r="J56" s="104"/>
      <c r="K56" s="89" t="str">
        <f t="shared" si="0"/>
        <v/>
      </c>
      <c r="M56" s="84"/>
      <c r="N56" s="84"/>
      <c r="O56" s="84"/>
      <c r="P56" s="84"/>
      <c r="Q56" s="84"/>
      <c r="S56" s="87">
        <v>495</v>
      </c>
    </row>
    <row r="57" spans="2:19">
      <c r="B57" s="88" t="e">
        <f>#REF!&amp;"_"&amp;S56</f>
        <v>#REF!</v>
      </c>
      <c r="C57" s="198"/>
      <c r="D57" s="198"/>
      <c r="E57" s="89"/>
      <c r="F57" s="89"/>
      <c r="G57" s="90"/>
      <c r="H57" s="91"/>
      <c r="I57" s="91"/>
      <c r="J57" s="104"/>
      <c r="K57" s="89" t="str">
        <f t="shared" si="0"/>
        <v/>
      </c>
      <c r="M57" s="84"/>
      <c r="N57" s="84"/>
      <c r="O57" s="84"/>
      <c r="P57" s="84"/>
      <c r="Q57" s="84"/>
      <c r="S57" s="87">
        <v>496</v>
      </c>
    </row>
    <row r="58" spans="2:19">
      <c r="B58" s="88" t="e">
        <f>#REF!&amp;"_"&amp;S57</f>
        <v>#REF!</v>
      </c>
      <c r="C58" s="198"/>
      <c r="D58" s="198"/>
      <c r="E58" s="89"/>
      <c r="F58" s="89"/>
      <c r="G58" s="90"/>
      <c r="H58" s="91"/>
      <c r="I58" s="91"/>
      <c r="J58" s="104"/>
      <c r="K58" s="89" t="str">
        <f t="shared" si="0"/>
        <v/>
      </c>
      <c r="M58" s="84"/>
      <c r="N58" s="84"/>
      <c r="O58" s="84"/>
      <c r="P58" s="84"/>
      <c r="Q58" s="84"/>
      <c r="S58" s="87">
        <v>497</v>
      </c>
    </row>
    <row r="59" spans="2:19">
      <c r="B59" s="88" t="e">
        <f>#REF!&amp;"_"&amp;S58</f>
        <v>#REF!</v>
      </c>
      <c r="C59" s="198"/>
      <c r="D59" s="198"/>
      <c r="E59" s="89"/>
      <c r="F59" s="89"/>
      <c r="G59" s="90"/>
      <c r="H59" s="91"/>
      <c r="I59" s="91"/>
      <c r="J59" s="104"/>
      <c r="K59" s="89" t="str">
        <f t="shared" si="0"/>
        <v/>
      </c>
      <c r="M59" s="84"/>
      <c r="N59" s="84"/>
      <c r="O59" s="84"/>
      <c r="P59" s="84"/>
      <c r="Q59" s="84"/>
      <c r="S59" s="87">
        <v>498</v>
      </c>
    </row>
    <row r="60" spans="2:19">
      <c r="B60" s="88" t="e">
        <f>#REF!&amp;"_"&amp;S59</f>
        <v>#REF!</v>
      </c>
      <c r="C60" s="198"/>
      <c r="D60" s="198"/>
      <c r="E60" s="89"/>
      <c r="F60" s="89"/>
      <c r="G60" s="90"/>
      <c r="H60" s="91"/>
      <c r="I60" s="91"/>
      <c r="J60" s="104"/>
      <c r="K60" s="89" t="str">
        <f t="shared" si="0"/>
        <v/>
      </c>
      <c r="M60" s="84"/>
      <c r="N60" s="84"/>
      <c r="O60" s="84"/>
      <c r="P60" s="84"/>
      <c r="Q60" s="84"/>
      <c r="S60" s="87">
        <v>499</v>
      </c>
    </row>
    <row r="61" spans="2:19">
      <c r="B61" s="88" t="e">
        <f>#REF!&amp;"_"&amp;S60</f>
        <v>#REF!</v>
      </c>
      <c r="C61" s="198"/>
      <c r="D61" s="198"/>
      <c r="E61" s="89"/>
      <c r="F61" s="89"/>
      <c r="G61" s="90"/>
      <c r="H61" s="91"/>
      <c r="I61" s="91"/>
      <c r="J61" s="104"/>
      <c r="K61" s="89" t="str">
        <f t="shared" si="0"/>
        <v/>
      </c>
      <c r="M61" s="84"/>
      <c r="N61" s="84"/>
      <c r="O61" s="84"/>
      <c r="P61" s="84"/>
      <c r="Q61" s="84"/>
      <c r="S61" s="87">
        <v>500</v>
      </c>
    </row>
    <row r="62" spans="2:19">
      <c r="B62" s="88" t="e">
        <f>#REF!&amp;"_"&amp;S61</f>
        <v>#REF!</v>
      </c>
      <c r="C62" s="198"/>
      <c r="D62" s="198"/>
      <c r="E62" s="89"/>
      <c r="F62" s="89"/>
      <c r="G62" s="90"/>
      <c r="H62" s="91"/>
      <c r="I62" s="91"/>
      <c r="J62" s="104"/>
      <c r="K62" s="89" t="str">
        <f t="shared" si="0"/>
        <v/>
      </c>
      <c r="M62" s="84"/>
      <c r="N62" s="84"/>
      <c r="O62" s="84"/>
      <c r="P62" s="84"/>
      <c r="Q62" s="84"/>
      <c r="S62" s="87">
        <v>501</v>
      </c>
    </row>
    <row r="63" spans="2:19">
      <c r="B63" s="88" t="e">
        <f>#REF!&amp;"_"&amp;S62</f>
        <v>#REF!</v>
      </c>
      <c r="C63" s="198"/>
      <c r="D63" s="198"/>
      <c r="E63" s="89"/>
      <c r="F63" s="89"/>
      <c r="G63" s="90"/>
      <c r="H63" s="91"/>
      <c r="I63" s="91"/>
      <c r="J63" s="104"/>
      <c r="K63" s="89" t="str">
        <f t="shared" si="0"/>
        <v/>
      </c>
      <c r="M63" s="84"/>
      <c r="N63" s="84"/>
      <c r="O63" s="84"/>
      <c r="P63" s="84"/>
      <c r="Q63" s="84"/>
      <c r="S63" s="87">
        <v>502</v>
      </c>
    </row>
    <row r="64" spans="2:19">
      <c r="B64" s="88" t="e">
        <f>#REF!&amp;"_"&amp;S63</f>
        <v>#REF!</v>
      </c>
      <c r="C64" s="198"/>
      <c r="D64" s="198"/>
      <c r="E64" s="89"/>
      <c r="F64" s="89"/>
      <c r="G64" s="90"/>
      <c r="H64" s="91"/>
      <c r="I64" s="91"/>
      <c r="J64" s="104"/>
      <c r="K64" s="89" t="str">
        <f t="shared" si="0"/>
        <v/>
      </c>
      <c r="M64" s="84"/>
      <c r="N64" s="84"/>
      <c r="O64" s="84"/>
      <c r="P64" s="84"/>
      <c r="Q64" s="84"/>
      <c r="S64" s="87">
        <v>503</v>
      </c>
    </row>
    <row r="65" spans="2:19">
      <c r="B65" s="88" t="e">
        <f>#REF!&amp;"_"&amp;S64</f>
        <v>#REF!</v>
      </c>
      <c r="C65" s="198"/>
      <c r="D65" s="198"/>
      <c r="E65" s="89"/>
      <c r="F65" s="89"/>
      <c r="G65" s="90"/>
      <c r="H65" s="91"/>
      <c r="I65" s="91"/>
      <c r="J65" s="104"/>
      <c r="K65" s="89" t="str">
        <f t="shared" si="0"/>
        <v/>
      </c>
      <c r="M65" s="84"/>
      <c r="N65" s="84"/>
      <c r="O65" s="84"/>
      <c r="P65" s="84"/>
      <c r="Q65" s="84"/>
      <c r="S65" s="87">
        <v>504</v>
      </c>
    </row>
    <row r="66" spans="2:19">
      <c r="B66" s="88" t="e">
        <f>#REF!&amp;"_"&amp;S65</f>
        <v>#REF!</v>
      </c>
      <c r="C66" s="198"/>
      <c r="D66" s="198"/>
      <c r="E66" s="89"/>
      <c r="F66" s="89"/>
      <c r="G66" s="90"/>
      <c r="H66" s="91"/>
      <c r="I66" s="91"/>
      <c r="J66" s="104"/>
      <c r="K66" s="89" t="str">
        <f t="shared" si="0"/>
        <v/>
      </c>
      <c r="M66" s="84"/>
      <c r="N66" s="84"/>
      <c r="O66" s="84"/>
      <c r="P66" s="84"/>
      <c r="Q66" s="84"/>
      <c r="S66" s="87">
        <v>505</v>
      </c>
    </row>
    <row r="67" spans="2:19">
      <c r="B67" s="88" t="e">
        <f>#REF!&amp;"_"&amp;S66</f>
        <v>#REF!</v>
      </c>
      <c r="C67" s="198"/>
      <c r="D67" s="198"/>
      <c r="E67" s="89"/>
      <c r="F67" s="89"/>
      <c r="G67" s="90"/>
      <c r="H67" s="91"/>
      <c r="I67" s="91"/>
      <c r="J67" s="104"/>
      <c r="K67" s="89" t="str">
        <f t="shared" si="0"/>
        <v/>
      </c>
      <c r="M67" s="84"/>
      <c r="N67" s="84"/>
      <c r="O67" s="84"/>
      <c r="P67" s="84"/>
      <c r="Q67" s="84"/>
      <c r="S67" s="87">
        <v>506</v>
      </c>
    </row>
    <row r="68" spans="2:19">
      <c r="B68" s="88" t="e">
        <f>#REF!&amp;"_"&amp;S67</f>
        <v>#REF!</v>
      </c>
      <c r="C68" s="198"/>
      <c r="D68" s="198"/>
      <c r="E68" s="89"/>
      <c r="F68" s="89"/>
      <c r="G68" s="90"/>
      <c r="H68" s="91"/>
      <c r="I68" s="91"/>
      <c r="J68" s="104"/>
      <c r="K68" s="89" t="str">
        <f t="shared" si="0"/>
        <v/>
      </c>
      <c r="M68" s="84"/>
      <c r="N68" s="84"/>
      <c r="O68" s="84"/>
      <c r="P68" s="84"/>
      <c r="Q68" s="84"/>
      <c r="S68" s="87">
        <v>507</v>
      </c>
    </row>
    <row r="69" spans="2:19">
      <c r="B69" s="88" t="e">
        <f>#REF!&amp;"_"&amp;S68</f>
        <v>#REF!</v>
      </c>
      <c r="C69" s="198"/>
      <c r="D69" s="198"/>
      <c r="E69" s="89"/>
      <c r="F69" s="89"/>
      <c r="G69" s="90"/>
      <c r="H69" s="91"/>
      <c r="I69" s="91"/>
      <c r="J69" s="104"/>
      <c r="K69" s="89" t="str">
        <f t="shared" si="0"/>
        <v/>
      </c>
      <c r="M69" s="84"/>
      <c r="N69" s="84"/>
      <c r="O69" s="84"/>
      <c r="P69" s="84"/>
      <c r="Q69" s="84"/>
      <c r="S69" s="87">
        <v>508</v>
      </c>
    </row>
    <row r="70" spans="2:19">
      <c r="B70" s="88" t="e">
        <f>#REF!&amp;"_"&amp;S69</f>
        <v>#REF!</v>
      </c>
      <c r="C70" s="198"/>
      <c r="D70" s="198"/>
      <c r="E70" s="89"/>
      <c r="F70" s="89"/>
      <c r="G70" s="90"/>
      <c r="H70" s="91"/>
      <c r="I70" s="91"/>
      <c r="J70" s="104"/>
      <c r="K70" s="89" t="str">
        <f t="shared" si="0"/>
        <v/>
      </c>
      <c r="M70" s="84"/>
      <c r="N70" s="84"/>
      <c r="O70" s="84"/>
      <c r="P70" s="84"/>
      <c r="Q70" s="84"/>
      <c r="S70" s="87">
        <v>509</v>
      </c>
    </row>
    <row r="71" spans="2:19">
      <c r="B71" s="88" t="e">
        <f>#REF!&amp;"_"&amp;S70</f>
        <v>#REF!</v>
      </c>
      <c r="C71" s="198"/>
      <c r="D71" s="198"/>
      <c r="E71" s="89"/>
      <c r="F71" s="89"/>
      <c r="G71" s="90"/>
      <c r="H71" s="91"/>
      <c r="I71" s="91"/>
      <c r="J71" s="104"/>
      <c r="K71" s="89" t="str">
        <f t="shared" si="0"/>
        <v/>
      </c>
      <c r="M71" s="84"/>
      <c r="N71" s="84"/>
      <c r="O71" s="84"/>
      <c r="P71" s="84"/>
      <c r="Q71" s="84"/>
      <c r="S71" s="87">
        <v>510</v>
      </c>
    </row>
    <row r="72" spans="2:19">
      <c r="B72" s="88" t="e">
        <f>#REF!&amp;"_"&amp;S71</f>
        <v>#REF!</v>
      </c>
      <c r="C72" s="198"/>
      <c r="D72" s="198"/>
      <c r="E72" s="89"/>
      <c r="F72" s="89"/>
      <c r="G72" s="90"/>
      <c r="H72" s="91"/>
      <c r="I72" s="91"/>
      <c r="J72" s="104"/>
      <c r="K72" s="89" t="str">
        <f t="shared" si="0"/>
        <v/>
      </c>
      <c r="M72" s="84"/>
      <c r="N72" s="84"/>
      <c r="O72" s="84"/>
      <c r="P72" s="84"/>
      <c r="Q72" s="84"/>
      <c r="S72" s="87">
        <v>511</v>
      </c>
    </row>
    <row r="73" spans="2:19">
      <c r="B73" s="88" t="e">
        <f>#REF!&amp;"_"&amp;S72</f>
        <v>#REF!</v>
      </c>
      <c r="C73" s="198"/>
      <c r="D73" s="198"/>
      <c r="E73" s="89"/>
      <c r="F73" s="89"/>
      <c r="G73" s="90"/>
      <c r="H73" s="91"/>
      <c r="I73" s="91"/>
      <c r="J73" s="104"/>
      <c r="K73" s="89" t="str">
        <f t="shared" si="0"/>
        <v/>
      </c>
      <c r="M73" s="84"/>
      <c r="N73" s="84"/>
      <c r="O73" s="84"/>
      <c r="P73" s="84"/>
      <c r="Q73" s="84"/>
      <c r="S73" s="87">
        <v>512</v>
      </c>
    </row>
    <row r="74" spans="2:19">
      <c r="B74" s="88" t="e">
        <f>#REF!&amp;"_"&amp;S73</f>
        <v>#REF!</v>
      </c>
      <c r="C74" s="198"/>
      <c r="D74" s="198"/>
      <c r="E74" s="89"/>
      <c r="F74" s="89"/>
      <c r="G74" s="90"/>
      <c r="H74" s="91"/>
      <c r="I74" s="91"/>
      <c r="J74" s="104"/>
      <c r="K74" s="89" t="str">
        <f t="shared" si="0"/>
        <v/>
      </c>
      <c r="M74" s="84"/>
      <c r="N74" s="84"/>
      <c r="O74" s="84"/>
      <c r="P74" s="84"/>
      <c r="Q74" s="84"/>
      <c r="S74" s="87">
        <v>513</v>
      </c>
    </row>
    <row r="75" spans="2:19">
      <c r="B75" s="88" t="e">
        <f>#REF!&amp;"_"&amp;S74</f>
        <v>#REF!</v>
      </c>
      <c r="C75" s="198"/>
      <c r="D75" s="198"/>
      <c r="E75" s="89"/>
      <c r="F75" s="89"/>
      <c r="G75" s="90"/>
      <c r="H75" s="91"/>
      <c r="I75" s="91"/>
      <c r="J75" s="104"/>
      <c r="K75" s="89" t="str">
        <f t="shared" si="0"/>
        <v/>
      </c>
      <c r="M75" s="84"/>
      <c r="N75" s="84"/>
      <c r="O75" s="84"/>
      <c r="P75" s="84"/>
      <c r="Q75" s="84"/>
      <c r="S75" s="87">
        <v>514</v>
      </c>
    </row>
    <row r="76" spans="2:19">
      <c r="B76" s="88" t="e">
        <f>#REF!&amp;"_"&amp;S75</f>
        <v>#REF!</v>
      </c>
      <c r="C76" s="198"/>
      <c r="D76" s="198"/>
      <c r="E76" s="89"/>
      <c r="F76" s="89"/>
      <c r="G76" s="90"/>
      <c r="H76" s="91"/>
      <c r="I76" s="91"/>
      <c r="J76" s="104"/>
      <c r="K76" s="89" t="str">
        <f t="shared" ref="K76:K139" si="1">IF(H76="","",$E$6)</f>
        <v/>
      </c>
      <c r="M76" s="84"/>
      <c r="N76" s="84"/>
      <c r="O76" s="84"/>
      <c r="P76" s="84"/>
      <c r="Q76" s="84"/>
      <c r="S76" s="87">
        <v>515</v>
      </c>
    </row>
    <row r="77" spans="2:19">
      <c r="B77" s="88" t="e">
        <f>#REF!&amp;"_"&amp;S76</f>
        <v>#REF!</v>
      </c>
      <c r="C77" s="198"/>
      <c r="D77" s="198"/>
      <c r="E77" s="89"/>
      <c r="F77" s="89"/>
      <c r="G77" s="90"/>
      <c r="H77" s="91"/>
      <c r="I77" s="91"/>
      <c r="J77" s="104"/>
      <c r="K77" s="89" t="str">
        <f t="shared" si="1"/>
        <v/>
      </c>
      <c r="M77" s="84"/>
      <c r="N77" s="84"/>
      <c r="O77" s="84"/>
      <c r="P77" s="84"/>
      <c r="Q77" s="84"/>
      <c r="S77" s="87">
        <v>516</v>
      </c>
    </row>
    <row r="78" spans="2:19">
      <c r="B78" s="88" t="e">
        <f>#REF!&amp;"_"&amp;S77</f>
        <v>#REF!</v>
      </c>
      <c r="C78" s="198"/>
      <c r="D78" s="198"/>
      <c r="E78" s="89"/>
      <c r="F78" s="89"/>
      <c r="G78" s="90"/>
      <c r="H78" s="91"/>
      <c r="I78" s="91"/>
      <c r="J78" s="104"/>
      <c r="K78" s="89" t="str">
        <f t="shared" si="1"/>
        <v/>
      </c>
      <c r="M78" s="84"/>
      <c r="N78" s="84"/>
      <c r="O78" s="84"/>
      <c r="P78" s="84"/>
      <c r="Q78" s="84"/>
      <c r="S78" s="87">
        <v>517</v>
      </c>
    </row>
    <row r="79" spans="2:19">
      <c r="B79" s="88" t="e">
        <f>#REF!&amp;"_"&amp;S78</f>
        <v>#REF!</v>
      </c>
      <c r="C79" s="198"/>
      <c r="D79" s="198"/>
      <c r="E79" s="89"/>
      <c r="F79" s="89"/>
      <c r="G79" s="90"/>
      <c r="H79" s="91"/>
      <c r="I79" s="91"/>
      <c r="J79" s="104"/>
      <c r="K79" s="89" t="str">
        <f t="shared" si="1"/>
        <v/>
      </c>
      <c r="M79" s="84"/>
      <c r="N79" s="84"/>
      <c r="O79" s="84"/>
      <c r="P79" s="84"/>
      <c r="Q79" s="84"/>
      <c r="S79" s="87">
        <v>518</v>
      </c>
    </row>
    <row r="80" spans="2:19">
      <c r="B80" s="88" t="e">
        <f>#REF!&amp;"_"&amp;S79</f>
        <v>#REF!</v>
      </c>
      <c r="C80" s="198"/>
      <c r="D80" s="198"/>
      <c r="E80" s="89"/>
      <c r="F80" s="89"/>
      <c r="G80" s="90"/>
      <c r="H80" s="91"/>
      <c r="I80" s="91"/>
      <c r="J80" s="104"/>
      <c r="K80" s="89" t="str">
        <f t="shared" si="1"/>
        <v/>
      </c>
      <c r="M80" s="84"/>
      <c r="N80" s="84"/>
      <c r="O80" s="84"/>
      <c r="P80" s="84"/>
      <c r="Q80" s="84"/>
      <c r="S80" s="87">
        <v>519</v>
      </c>
    </row>
    <row r="81" spans="2:19">
      <c r="B81" s="88" t="e">
        <f>#REF!&amp;"_"&amp;S80</f>
        <v>#REF!</v>
      </c>
      <c r="C81" s="198"/>
      <c r="D81" s="198"/>
      <c r="E81" s="89"/>
      <c r="F81" s="89"/>
      <c r="G81" s="90"/>
      <c r="H81" s="91"/>
      <c r="I81" s="91"/>
      <c r="J81" s="104"/>
      <c r="K81" s="89" t="str">
        <f t="shared" si="1"/>
        <v/>
      </c>
      <c r="M81" s="84"/>
      <c r="N81" s="84"/>
      <c r="O81" s="84"/>
      <c r="P81" s="84"/>
      <c r="Q81" s="84"/>
      <c r="S81" s="87">
        <v>520</v>
      </c>
    </row>
    <row r="82" spans="2:19">
      <c r="B82" s="88" t="e">
        <f>#REF!&amp;"_"&amp;S81</f>
        <v>#REF!</v>
      </c>
      <c r="C82" s="198"/>
      <c r="D82" s="198"/>
      <c r="E82" s="89"/>
      <c r="F82" s="89"/>
      <c r="G82" s="90"/>
      <c r="H82" s="91"/>
      <c r="I82" s="91"/>
      <c r="J82" s="104"/>
      <c r="K82" s="89" t="str">
        <f t="shared" si="1"/>
        <v/>
      </c>
      <c r="M82" s="84"/>
      <c r="N82" s="84"/>
      <c r="O82" s="84"/>
      <c r="P82" s="84"/>
      <c r="Q82" s="84"/>
      <c r="S82" s="87">
        <v>521</v>
      </c>
    </row>
    <row r="83" spans="2:19">
      <c r="B83" s="88" t="e">
        <f>#REF!&amp;"_"&amp;S82</f>
        <v>#REF!</v>
      </c>
      <c r="C83" s="198"/>
      <c r="D83" s="198"/>
      <c r="E83" s="89"/>
      <c r="F83" s="89"/>
      <c r="G83" s="90"/>
      <c r="H83" s="91"/>
      <c r="I83" s="91"/>
      <c r="J83" s="104"/>
      <c r="K83" s="89" t="str">
        <f t="shared" si="1"/>
        <v/>
      </c>
      <c r="M83" s="84"/>
      <c r="N83" s="84"/>
      <c r="O83" s="84"/>
      <c r="P83" s="84"/>
      <c r="Q83" s="84"/>
      <c r="S83" s="87">
        <v>522</v>
      </c>
    </row>
    <row r="84" spans="2:19">
      <c r="B84" s="88" t="e">
        <f>#REF!&amp;"_"&amp;S83</f>
        <v>#REF!</v>
      </c>
      <c r="C84" s="198"/>
      <c r="D84" s="198"/>
      <c r="E84" s="89"/>
      <c r="F84" s="89"/>
      <c r="G84" s="90"/>
      <c r="H84" s="91"/>
      <c r="I84" s="91"/>
      <c r="J84" s="104"/>
      <c r="K84" s="89" t="str">
        <f t="shared" si="1"/>
        <v/>
      </c>
      <c r="M84" s="84"/>
      <c r="N84" s="84"/>
      <c r="O84" s="84"/>
      <c r="P84" s="84"/>
      <c r="Q84" s="84"/>
      <c r="S84" s="87">
        <v>523</v>
      </c>
    </row>
    <row r="85" spans="2:19">
      <c r="B85" s="88" t="e">
        <f>#REF!&amp;"_"&amp;S84</f>
        <v>#REF!</v>
      </c>
      <c r="C85" s="198"/>
      <c r="D85" s="198"/>
      <c r="E85" s="89"/>
      <c r="F85" s="89"/>
      <c r="G85" s="90"/>
      <c r="H85" s="91"/>
      <c r="I85" s="91"/>
      <c r="J85" s="104"/>
      <c r="K85" s="89" t="str">
        <f t="shared" si="1"/>
        <v/>
      </c>
      <c r="M85" s="84"/>
      <c r="N85" s="84"/>
      <c r="O85" s="84"/>
      <c r="P85" s="84"/>
      <c r="Q85" s="84"/>
      <c r="S85" s="87">
        <v>524</v>
      </c>
    </row>
    <row r="86" spans="2:19">
      <c r="B86" s="88" t="e">
        <f>#REF!&amp;"_"&amp;S85</f>
        <v>#REF!</v>
      </c>
      <c r="C86" s="198"/>
      <c r="D86" s="198"/>
      <c r="E86" s="89"/>
      <c r="F86" s="89"/>
      <c r="G86" s="90"/>
      <c r="H86" s="91"/>
      <c r="I86" s="91"/>
      <c r="J86" s="104"/>
      <c r="K86" s="89" t="str">
        <f t="shared" si="1"/>
        <v/>
      </c>
      <c r="M86" s="84"/>
      <c r="N86" s="84"/>
      <c r="O86" s="84"/>
      <c r="P86" s="84"/>
      <c r="Q86" s="84"/>
      <c r="S86" s="87">
        <v>525</v>
      </c>
    </row>
    <row r="87" spans="2:19">
      <c r="B87" s="88" t="e">
        <f>#REF!&amp;"_"&amp;S86</f>
        <v>#REF!</v>
      </c>
      <c r="C87" s="198"/>
      <c r="D87" s="198"/>
      <c r="E87" s="89"/>
      <c r="F87" s="89"/>
      <c r="G87" s="90"/>
      <c r="H87" s="91"/>
      <c r="I87" s="91"/>
      <c r="J87" s="104"/>
      <c r="K87" s="89" t="str">
        <f t="shared" si="1"/>
        <v/>
      </c>
      <c r="M87" s="84"/>
      <c r="N87" s="84"/>
      <c r="O87" s="84"/>
      <c r="P87" s="84"/>
      <c r="Q87" s="84"/>
      <c r="S87" s="87">
        <v>526</v>
      </c>
    </row>
    <row r="88" spans="2:19">
      <c r="B88" s="88" t="e">
        <f>#REF!&amp;"_"&amp;S87</f>
        <v>#REF!</v>
      </c>
      <c r="C88" s="198"/>
      <c r="D88" s="198"/>
      <c r="E88" s="89"/>
      <c r="F88" s="89"/>
      <c r="G88" s="90"/>
      <c r="H88" s="91"/>
      <c r="I88" s="91"/>
      <c r="J88" s="104"/>
      <c r="K88" s="89" t="str">
        <f t="shared" si="1"/>
        <v/>
      </c>
      <c r="M88" s="84"/>
      <c r="N88" s="84"/>
      <c r="O88" s="84"/>
      <c r="P88" s="84"/>
      <c r="Q88" s="84"/>
      <c r="S88" s="87">
        <v>527</v>
      </c>
    </row>
    <row r="89" spans="2:19">
      <c r="B89" s="88" t="e">
        <f>#REF!&amp;"_"&amp;S88</f>
        <v>#REF!</v>
      </c>
      <c r="C89" s="198"/>
      <c r="D89" s="198"/>
      <c r="E89" s="89"/>
      <c r="F89" s="89"/>
      <c r="G89" s="90"/>
      <c r="H89" s="91"/>
      <c r="I89" s="91"/>
      <c r="J89" s="104"/>
      <c r="K89" s="89" t="str">
        <f t="shared" si="1"/>
        <v/>
      </c>
      <c r="M89" s="84"/>
      <c r="N89" s="84"/>
      <c r="O89" s="84"/>
      <c r="P89" s="84"/>
      <c r="Q89" s="84"/>
      <c r="S89" s="87">
        <v>528</v>
      </c>
    </row>
    <row r="90" spans="2:19">
      <c r="B90" s="88" t="e">
        <f>#REF!&amp;"_"&amp;S89</f>
        <v>#REF!</v>
      </c>
      <c r="C90" s="198"/>
      <c r="D90" s="198"/>
      <c r="E90" s="89"/>
      <c r="F90" s="89"/>
      <c r="G90" s="90"/>
      <c r="H90" s="91"/>
      <c r="I90" s="91"/>
      <c r="J90" s="104"/>
      <c r="K90" s="89" t="str">
        <f t="shared" si="1"/>
        <v/>
      </c>
      <c r="M90" s="84"/>
      <c r="N90" s="84"/>
      <c r="O90" s="84"/>
      <c r="P90" s="84"/>
      <c r="Q90" s="84"/>
      <c r="S90" s="87">
        <v>529</v>
      </c>
    </row>
    <row r="91" spans="2:19">
      <c r="B91" s="88" t="e">
        <f>#REF!&amp;"_"&amp;S90</f>
        <v>#REF!</v>
      </c>
      <c r="C91" s="198"/>
      <c r="D91" s="198"/>
      <c r="E91" s="89"/>
      <c r="F91" s="89"/>
      <c r="G91" s="90"/>
      <c r="H91" s="91"/>
      <c r="I91" s="91"/>
      <c r="J91" s="104"/>
      <c r="K91" s="89" t="str">
        <f t="shared" si="1"/>
        <v/>
      </c>
      <c r="M91" s="84"/>
      <c r="N91" s="84"/>
      <c r="O91" s="84"/>
      <c r="P91" s="84"/>
      <c r="Q91" s="84"/>
      <c r="S91" s="87">
        <v>530</v>
      </c>
    </row>
    <row r="92" spans="2:19">
      <c r="B92" s="88" t="e">
        <f>#REF!&amp;"_"&amp;S91</f>
        <v>#REF!</v>
      </c>
      <c r="C92" s="198"/>
      <c r="D92" s="198"/>
      <c r="E92" s="89"/>
      <c r="F92" s="89"/>
      <c r="G92" s="90"/>
      <c r="H92" s="91"/>
      <c r="I92" s="91"/>
      <c r="J92" s="104"/>
      <c r="K92" s="89" t="str">
        <f t="shared" si="1"/>
        <v/>
      </c>
      <c r="M92" s="84"/>
      <c r="N92" s="84"/>
      <c r="O92" s="84"/>
      <c r="P92" s="84"/>
      <c r="Q92" s="84"/>
      <c r="S92" s="87">
        <v>531</v>
      </c>
    </row>
    <row r="93" spans="2:19">
      <c r="B93" s="88" t="e">
        <f>#REF!&amp;"_"&amp;S92</f>
        <v>#REF!</v>
      </c>
      <c r="C93" s="198"/>
      <c r="D93" s="198"/>
      <c r="E93" s="89"/>
      <c r="F93" s="89"/>
      <c r="G93" s="90"/>
      <c r="H93" s="91"/>
      <c r="I93" s="91"/>
      <c r="J93" s="104"/>
      <c r="K93" s="89" t="str">
        <f t="shared" si="1"/>
        <v/>
      </c>
      <c r="M93" s="84"/>
      <c r="N93" s="84"/>
      <c r="O93" s="84"/>
      <c r="P93" s="84"/>
      <c r="Q93" s="84"/>
      <c r="S93" s="87">
        <v>532</v>
      </c>
    </row>
    <row r="94" spans="2:19">
      <c r="B94" s="88" t="e">
        <f>#REF!&amp;"_"&amp;S93</f>
        <v>#REF!</v>
      </c>
      <c r="C94" s="198"/>
      <c r="D94" s="198"/>
      <c r="E94" s="89"/>
      <c r="F94" s="89"/>
      <c r="G94" s="90"/>
      <c r="H94" s="91"/>
      <c r="I94" s="91"/>
      <c r="J94" s="104"/>
      <c r="K94" s="89" t="str">
        <f t="shared" si="1"/>
        <v/>
      </c>
      <c r="M94" s="84"/>
      <c r="N94" s="84"/>
      <c r="O94" s="84"/>
      <c r="P94" s="84"/>
      <c r="Q94" s="84"/>
      <c r="S94" s="87">
        <v>533</v>
      </c>
    </row>
    <row r="95" spans="2:19">
      <c r="B95" s="88" t="e">
        <f>#REF!&amp;"_"&amp;S94</f>
        <v>#REF!</v>
      </c>
      <c r="C95" s="198"/>
      <c r="D95" s="198"/>
      <c r="E95" s="89"/>
      <c r="F95" s="89"/>
      <c r="G95" s="90"/>
      <c r="H95" s="91"/>
      <c r="I95" s="91"/>
      <c r="J95" s="104"/>
      <c r="K95" s="89" t="str">
        <f t="shared" si="1"/>
        <v/>
      </c>
      <c r="M95" s="84"/>
      <c r="N95" s="84"/>
      <c r="O95" s="84"/>
      <c r="P95" s="84"/>
      <c r="Q95" s="84"/>
      <c r="S95" s="87">
        <v>534</v>
      </c>
    </row>
    <row r="96" spans="2:19">
      <c r="B96" s="88" t="e">
        <f>#REF!&amp;"_"&amp;S95</f>
        <v>#REF!</v>
      </c>
      <c r="C96" s="198"/>
      <c r="D96" s="198"/>
      <c r="E96" s="89"/>
      <c r="F96" s="89"/>
      <c r="G96" s="90"/>
      <c r="H96" s="91"/>
      <c r="I96" s="91"/>
      <c r="J96" s="104"/>
      <c r="K96" s="89" t="str">
        <f t="shared" si="1"/>
        <v/>
      </c>
      <c r="M96" s="84"/>
      <c r="N96" s="84"/>
      <c r="O96" s="84"/>
      <c r="P96" s="84"/>
      <c r="Q96" s="84"/>
      <c r="S96" s="87">
        <v>535</v>
      </c>
    </row>
    <row r="97" spans="2:19">
      <c r="B97" s="88" t="e">
        <f>#REF!&amp;"_"&amp;S96</f>
        <v>#REF!</v>
      </c>
      <c r="C97" s="198"/>
      <c r="D97" s="198"/>
      <c r="E97" s="89"/>
      <c r="F97" s="89"/>
      <c r="G97" s="90"/>
      <c r="H97" s="91"/>
      <c r="I97" s="91"/>
      <c r="J97" s="104"/>
      <c r="K97" s="89" t="str">
        <f t="shared" si="1"/>
        <v/>
      </c>
      <c r="M97" s="84"/>
      <c r="N97" s="84"/>
      <c r="O97" s="84"/>
      <c r="P97" s="84"/>
      <c r="Q97" s="84"/>
      <c r="S97" s="87">
        <v>536</v>
      </c>
    </row>
    <row r="98" spans="2:19">
      <c r="B98" s="88" t="e">
        <f>#REF!&amp;"_"&amp;S97</f>
        <v>#REF!</v>
      </c>
      <c r="C98" s="198"/>
      <c r="D98" s="198"/>
      <c r="E98" s="89"/>
      <c r="F98" s="89"/>
      <c r="G98" s="90"/>
      <c r="H98" s="91"/>
      <c r="I98" s="91"/>
      <c r="J98" s="104"/>
      <c r="K98" s="89" t="str">
        <f t="shared" si="1"/>
        <v/>
      </c>
      <c r="M98" s="84"/>
      <c r="N98" s="84"/>
      <c r="O98" s="84"/>
      <c r="P98" s="84"/>
      <c r="Q98" s="84"/>
      <c r="S98" s="87">
        <v>537</v>
      </c>
    </row>
    <row r="99" spans="2:19">
      <c r="B99" s="88" t="e">
        <f>#REF!&amp;"_"&amp;S98</f>
        <v>#REF!</v>
      </c>
      <c r="C99" s="198"/>
      <c r="D99" s="198"/>
      <c r="E99" s="89"/>
      <c r="F99" s="89"/>
      <c r="G99" s="90"/>
      <c r="H99" s="91"/>
      <c r="I99" s="91"/>
      <c r="J99" s="104"/>
      <c r="K99" s="89" t="str">
        <f t="shared" si="1"/>
        <v/>
      </c>
      <c r="M99" s="84"/>
      <c r="N99" s="84"/>
      <c r="O99" s="84"/>
      <c r="P99" s="84"/>
      <c r="Q99" s="84"/>
      <c r="S99" s="87">
        <v>538</v>
      </c>
    </row>
    <row r="100" spans="2:19">
      <c r="B100" s="88" t="e">
        <f>#REF!&amp;"_"&amp;S99</f>
        <v>#REF!</v>
      </c>
      <c r="C100" s="198"/>
      <c r="D100" s="198"/>
      <c r="E100" s="89"/>
      <c r="F100" s="89"/>
      <c r="G100" s="90"/>
      <c r="H100" s="91"/>
      <c r="I100" s="91"/>
      <c r="J100" s="104"/>
      <c r="K100" s="89" t="str">
        <f t="shared" si="1"/>
        <v/>
      </c>
      <c r="M100" s="84"/>
      <c r="N100" s="84"/>
      <c r="O100" s="84"/>
      <c r="P100" s="84"/>
      <c r="Q100" s="84"/>
      <c r="S100" s="87">
        <v>539</v>
      </c>
    </row>
    <row r="101" spans="2:19">
      <c r="B101" s="88" t="e">
        <f>#REF!&amp;"_"&amp;S100</f>
        <v>#REF!</v>
      </c>
      <c r="C101" s="198"/>
      <c r="D101" s="198"/>
      <c r="E101" s="89"/>
      <c r="F101" s="89"/>
      <c r="G101" s="90"/>
      <c r="H101" s="91"/>
      <c r="I101" s="91"/>
      <c r="J101" s="104"/>
      <c r="K101" s="89" t="str">
        <f t="shared" si="1"/>
        <v/>
      </c>
      <c r="M101" s="84"/>
      <c r="N101" s="84"/>
      <c r="O101" s="84"/>
      <c r="P101" s="84"/>
      <c r="Q101" s="84"/>
      <c r="S101" s="87">
        <v>540</v>
      </c>
    </row>
    <row r="102" spans="2:19">
      <c r="B102" s="88" t="e">
        <f>#REF!&amp;"_"&amp;S101</f>
        <v>#REF!</v>
      </c>
      <c r="C102" s="198"/>
      <c r="D102" s="198"/>
      <c r="E102" s="89"/>
      <c r="F102" s="89"/>
      <c r="G102" s="90"/>
      <c r="H102" s="91"/>
      <c r="I102" s="91"/>
      <c r="J102" s="104"/>
      <c r="K102" s="89" t="str">
        <f t="shared" si="1"/>
        <v/>
      </c>
      <c r="M102" s="84"/>
      <c r="N102" s="84"/>
      <c r="O102" s="84"/>
      <c r="P102" s="84"/>
      <c r="Q102" s="84"/>
      <c r="S102" s="87">
        <v>541</v>
      </c>
    </row>
    <row r="103" spans="2:19">
      <c r="B103" s="88" t="e">
        <f>#REF!&amp;"_"&amp;S102</f>
        <v>#REF!</v>
      </c>
      <c r="C103" s="198"/>
      <c r="D103" s="198"/>
      <c r="E103" s="89"/>
      <c r="F103" s="89"/>
      <c r="G103" s="90"/>
      <c r="H103" s="91"/>
      <c r="I103" s="91"/>
      <c r="J103" s="104"/>
      <c r="K103" s="89" t="str">
        <f t="shared" si="1"/>
        <v/>
      </c>
      <c r="M103" s="84"/>
      <c r="N103" s="84"/>
      <c r="O103" s="84"/>
      <c r="P103" s="84"/>
      <c r="Q103" s="84"/>
      <c r="S103" s="87">
        <v>542</v>
      </c>
    </row>
    <row r="104" spans="2:19">
      <c r="B104" s="88" t="e">
        <f>#REF!&amp;"_"&amp;S103</f>
        <v>#REF!</v>
      </c>
      <c r="C104" s="198"/>
      <c r="D104" s="198"/>
      <c r="E104" s="89"/>
      <c r="F104" s="89"/>
      <c r="G104" s="90"/>
      <c r="H104" s="91"/>
      <c r="I104" s="91"/>
      <c r="J104" s="104"/>
      <c r="K104" s="89" t="str">
        <f t="shared" si="1"/>
        <v/>
      </c>
      <c r="M104" s="84"/>
      <c r="N104" s="84"/>
      <c r="O104" s="84"/>
      <c r="P104" s="84"/>
      <c r="Q104" s="84"/>
      <c r="S104" s="87">
        <v>543</v>
      </c>
    </row>
    <row r="105" spans="2:19">
      <c r="B105" s="88" t="e">
        <f>#REF!&amp;"_"&amp;S104</f>
        <v>#REF!</v>
      </c>
      <c r="C105" s="198"/>
      <c r="D105" s="198"/>
      <c r="E105" s="89"/>
      <c r="F105" s="89"/>
      <c r="G105" s="90"/>
      <c r="H105" s="91"/>
      <c r="I105" s="91"/>
      <c r="J105" s="104"/>
      <c r="K105" s="89" t="str">
        <f t="shared" si="1"/>
        <v/>
      </c>
      <c r="M105" s="84"/>
      <c r="N105" s="84"/>
      <c r="O105" s="84"/>
      <c r="P105" s="84"/>
      <c r="Q105" s="84"/>
      <c r="S105" s="87">
        <v>544</v>
      </c>
    </row>
    <row r="106" spans="2:19">
      <c r="B106" s="88" t="e">
        <f>#REF!&amp;"_"&amp;S105</f>
        <v>#REF!</v>
      </c>
      <c r="C106" s="198"/>
      <c r="D106" s="198"/>
      <c r="E106" s="89"/>
      <c r="F106" s="89"/>
      <c r="G106" s="90"/>
      <c r="H106" s="91"/>
      <c r="I106" s="91"/>
      <c r="J106" s="104"/>
      <c r="K106" s="89" t="str">
        <f t="shared" si="1"/>
        <v/>
      </c>
      <c r="M106" s="84"/>
      <c r="N106" s="84"/>
      <c r="O106" s="84"/>
      <c r="P106" s="84"/>
      <c r="Q106" s="84"/>
      <c r="S106" s="87">
        <v>545</v>
      </c>
    </row>
    <row r="107" spans="2:19">
      <c r="B107" s="88" t="e">
        <f>#REF!&amp;"_"&amp;S106</f>
        <v>#REF!</v>
      </c>
      <c r="C107" s="198"/>
      <c r="D107" s="198"/>
      <c r="E107" s="89"/>
      <c r="F107" s="89"/>
      <c r="G107" s="90"/>
      <c r="H107" s="91"/>
      <c r="I107" s="91"/>
      <c r="J107" s="104"/>
      <c r="K107" s="89" t="str">
        <f t="shared" si="1"/>
        <v/>
      </c>
      <c r="M107" s="84"/>
      <c r="N107" s="84"/>
      <c r="O107" s="84"/>
      <c r="P107" s="84"/>
      <c r="Q107" s="84"/>
      <c r="S107" s="87">
        <v>546</v>
      </c>
    </row>
    <row r="108" spans="2:19">
      <c r="B108" s="88" t="e">
        <f>#REF!&amp;"_"&amp;S107</f>
        <v>#REF!</v>
      </c>
      <c r="C108" s="198"/>
      <c r="D108" s="198"/>
      <c r="E108" s="89"/>
      <c r="F108" s="89"/>
      <c r="G108" s="90"/>
      <c r="H108" s="91"/>
      <c r="I108" s="91"/>
      <c r="J108" s="104"/>
      <c r="K108" s="89" t="str">
        <f t="shared" si="1"/>
        <v/>
      </c>
      <c r="M108" s="84"/>
      <c r="N108" s="84"/>
      <c r="O108" s="84"/>
      <c r="P108" s="84"/>
      <c r="Q108" s="84"/>
      <c r="S108" s="87">
        <v>547</v>
      </c>
    </row>
    <row r="109" spans="2:19">
      <c r="B109" s="88" t="e">
        <f>#REF!&amp;"_"&amp;S108</f>
        <v>#REF!</v>
      </c>
      <c r="C109" s="198"/>
      <c r="D109" s="198"/>
      <c r="E109" s="89"/>
      <c r="F109" s="89"/>
      <c r="G109" s="90"/>
      <c r="H109" s="91"/>
      <c r="I109" s="91"/>
      <c r="J109" s="104"/>
      <c r="K109" s="89" t="str">
        <f t="shared" si="1"/>
        <v/>
      </c>
      <c r="M109" s="84"/>
      <c r="N109" s="84"/>
      <c r="O109" s="84"/>
      <c r="P109" s="84"/>
      <c r="Q109" s="84"/>
      <c r="S109" s="87">
        <v>548</v>
      </c>
    </row>
    <row r="110" spans="2:19">
      <c r="B110" s="88" t="e">
        <f>#REF!&amp;"_"&amp;S109</f>
        <v>#REF!</v>
      </c>
      <c r="C110" s="198"/>
      <c r="D110" s="198"/>
      <c r="E110" s="89"/>
      <c r="F110" s="89"/>
      <c r="G110" s="90"/>
      <c r="H110" s="91"/>
      <c r="I110" s="91"/>
      <c r="J110" s="104"/>
      <c r="K110" s="89" t="str">
        <f t="shared" si="1"/>
        <v/>
      </c>
      <c r="M110" s="84"/>
      <c r="N110" s="84"/>
      <c r="O110" s="84"/>
      <c r="P110" s="84"/>
      <c r="Q110" s="84"/>
      <c r="S110" s="87">
        <v>549</v>
      </c>
    </row>
    <row r="111" spans="2:19">
      <c r="B111" s="88" t="e">
        <f>#REF!&amp;"_"&amp;S110</f>
        <v>#REF!</v>
      </c>
      <c r="C111" s="198"/>
      <c r="D111" s="198"/>
      <c r="E111" s="89"/>
      <c r="F111" s="89"/>
      <c r="G111" s="90"/>
      <c r="H111" s="91"/>
      <c r="I111" s="91"/>
      <c r="J111" s="104"/>
      <c r="K111" s="89" t="str">
        <f t="shared" si="1"/>
        <v/>
      </c>
      <c r="M111" s="84"/>
      <c r="N111" s="84"/>
      <c r="O111" s="84"/>
      <c r="P111" s="84"/>
      <c r="Q111" s="84"/>
      <c r="S111" s="87">
        <v>550</v>
      </c>
    </row>
    <row r="112" spans="2:19">
      <c r="B112" s="88" t="e">
        <f>#REF!&amp;"_"&amp;S111</f>
        <v>#REF!</v>
      </c>
      <c r="C112" s="198"/>
      <c r="D112" s="198"/>
      <c r="E112" s="89"/>
      <c r="F112" s="89"/>
      <c r="G112" s="90"/>
      <c r="H112" s="91"/>
      <c r="I112" s="91"/>
      <c r="J112" s="104"/>
      <c r="K112" s="89" t="str">
        <f t="shared" si="1"/>
        <v/>
      </c>
      <c r="M112" s="84"/>
      <c r="N112" s="84"/>
      <c r="O112" s="84"/>
      <c r="P112" s="84"/>
      <c r="Q112" s="84"/>
      <c r="S112" s="87">
        <v>551</v>
      </c>
    </row>
    <row r="113" spans="2:19">
      <c r="B113" s="88" t="e">
        <f>#REF!&amp;"_"&amp;S112</f>
        <v>#REF!</v>
      </c>
      <c r="C113" s="198"/>
      <c r="D113" s="198"/>
      <c r="E113" s="89"/>
      <c r="F113" s="89"/>
      <c r="G113" s="90"/>
      <c r="H113" s="91"/>
      <c r="I113" s="91"/>
      <c r="J113" s="104"/>
      <c r="K113" s="89" t="str">
        <f t="shared" si="1"/>
        <v/>
      </c>
      <c r="M113" s="84"/>
      <c r="N113" s="84"/>
      <c r="O113" s="84"/>
      <c r="P113" s="84"/>
      <c r="Q113" s="84"/>
      <c r="S113" s="87">
        <v>552</v>
      </c>
    </row>
    <row r="114" spans="2:19">
      <c r="B114" s="88" t="e">
        <f>#REF!&amp;"_"&amp;S113</f>
        <v>#REF!</v>
      </c>
      <c r="C114" s="198"/>
      <c r="D114" s="198"/>
      <c r="E114" s="89"/>
      <c r="F114" s="89"/>
      <c r="G114" s="90"/>
      <c r="H114" s="91"/>
      <c r="I114" s="91"/>
      <c r="J114" s="104"/>
      <c r="K114" s="89" t="str">
        <f t="shared" si="1"/>
        <v/>
      </c>
      <c r="M114" s="84"/>
      <c r="N114" s="84"/>
      <c r="O114" s="84"/>
      <c r="P114" s="84"/>
      <c r="Q114" s="84"/>
      <c r="S114" s="87">
        <v>553</v>
      </c>
    </row>
    <row r="115" spans="2:19">
      <c r="B115" s="88" t="e">
        <f>#REF!&amp;"_"&amp;S114</f>
        <v>#REF!</v>
      </c>
      <c r="C115" s="198"/>
      <c r="D115" s="198"/>
      <c r="E115" s="89"/>
      <c r="F115" s="89"/>
      <c r="G115" s="90"/>
      <c r="H115" s="91"/>
      <c r="I115" s="91"/>
      <c r="J115" s="104"/>
      <c r="K115" s="89" t="str">
        <f t="shared" si="1"/>
        <v/>
      </c>
      <c r="M115" s="84"/>
      <c r="N115" s="84"/>
      <c r="O115" s="84"/>
      <c r="P115" s="84"/>
      <c r="Q115" s="84"/>
      <c r="S115" s="87">
        <v>554</v>
      </c>
    </row>
    <row r="116" spans="2:19">
      <c r="B116" s="88" t="e">
        <f>#REF!&amp;"_"&amp;S115</f>
        <v>#REF!</v>
      </c>
      <c r="C116" s="198"/>
      <c r="D116" s="198"/>
      <c r="E116" s="89"/>
      <c r="F116" s="89"/>
      <c r="G116" s="90"/>
      <c r="H116" s="91"/>
      <c r="I116" s="91"/>
      <c r="J116" s="104"/>
      <c r="K116" s="89" t="str">
        <f t="shared" si="1"/>
        <v/>
      </c>
      <c r="M116" s="84"/>
      <c r="N116" s="84"/>
      <c r="O116" s="84"/>
      <c r="P116" s="84"/>
      <c r="Q116" s="84"/>
      <c r="S116" s="87">
        <v>555</v>
      </c>
    </row>
    <row r="117" spans="2:19">
      <c r="B117" s="88" t="e">
        <f>#REF!&amp;"_"&amp;S116</f>
        <v>#REF!</v>
      </c>
      <c r="C117" s="198"/>
      <c r="D117" s="198"/>
      <c r="E117" s="89"/>
      <c r="F117" s="89"/>
      <c r="G117" s="90"/>
      <c r="H117" s="91"/>
      <c r="I117" s="91"/>
      <c r="J117" s="104"/>
      <c r="K117" s="89" t="str">
        <f t="shared" si="1"/>
        <v/>
      </c>
      <c r="M117" s="84"/>
      <c r="N117" s="84"/>
      <c r="O117" s="84"/>
      <c r="P117" s="84"/>
      <c r="Q117" s="84"/>
      <c r="S117" s="87">
        <v>556</v>
      </c>
    </row>
    <row r="118" spans="2:19">
      <c r="B118" s="88" t="e">
        <f>#REF!&amp;"_"&amp;S117</f>
        <v>#REF!</v>
      </c>
      <c r="C118" s="198"/>
      <c r="D118" s="198"/>
      <c r="E118" s="89"/>
      <c r="F118" s="89"/>
      <c r="G118" s="90"/>
      <c r="H118" s="91"/>
      <c r="I118" s="91"/>
      <c r="J118" s="104"/>
      <c r="K118" s="89" t="str">
        <f t="shared" si="1"/>
        <v/>
      </c>
      <c r="M118" s="84"/>
      <c r="N118" s="84"/>
      <c r="O118" s="84"/>
      <c r="P118" s="84"/>
      <c r="Q118" s="84"/>
      <c r="S118" s="87">
        <v>557</v>
      </c>
    </row>
    <row r="119" spans="2:19">
      <c r="B119" s="88" t="e">
        <f>#REF!&amp;"_"&amp;S118</f>
        <v>#REF!</v>
      </c>
      <c r="C119" s="198"/>
      <c r="D119" s="198"/>
      <c r="E119" s="89"/>
      <c r="F119" s="89"/>
      <c r="G119" s="90"/>
      <c r="H119" s="91"/>
      <c r="I119" s="91"/>
      <c r="J119" s="104"/>
      <c r="K119" s="89" t="str">
        <f t="shared" si="1"/>
        <v/>
      </c>
      <c r="M119" s="84"/>
      <c r="N119" s="84"/>
      <c r="O119" s="84"/>
      <c r="P119" s="84"/>
      <c r="Q119" s="84"/>
      <c r="S119" s="87">
        <v>558</v>
      </c>
    </row>
    <row r="120" spans="2:19">
      <c r="B120" s="88" t="e">
        <f>#REF!&amp;"_"&amp;S119</f>
        <v>#REF!</v>
      </c>
      <c r="C120" s="198"/>
      <c r="D120" s="198"/>
      <c r="E120" s="89"/>
      <c r="F120" s="89"/>
      <c r="G120" s="90"/>
      <c r="H120" s="91"/>
      <c r="I120" s="91"/>
      <c r="J120" s="104"/>
      <c r="K120" s="89" t="str">
        <f t="shared" si="1"/>
        <v/>
      </c>
      <c r="M120" s="84"/>
      <c r="N120" s="84"/>
      <c r="O120" s="84"/>
      <c r="P120" s="84"/>
      <c r="Q120" s="84"/>
      <c r="S120" s="87">
        <v>559</v>
      </c>
    </row>
    <row r="121" spans="2:19">
      <c r="B121" s="88" t="e">
        <f>#REF!&amp;"_"&amp;S120</f>
        <v>#REF!</v>
      </c>
      <c r="C121" s="198"/>
      <c r="D121" s="198"/>
      <c r="E121" s="89"/>
      <c r="F121" s="89"/>
      <c r="G121" s="90"/>
      <c r="H121" s="91"/>
      <c r="I121" s="91"/>
      <c r="J121" s="104"/>
      <c r="K121" s="89" t="str">
        <f t="shared" si="1"/>
        <v/>
      </c>
      <c r="M121" s="84"/>
      <c r="N121" s="84"/>
      <c r="O121" s="84"/>
      <c r="P121" s="84"/>
      <c r="Q121" s="84"/>
      <c r="S121" s="87">
        <v>560</v>
      </c>
    </row>
    <row r="122" spans="2:19">
      <c r="B122" s="88" t="e">
        <f>#REF!&amp;"_"&amp;S121</f>
        <v>#REF!</v>
      </c>
      <c r="C122" s="198"/>
      <c r="D122" s="198"/>
      <c r="E122" s="89"/>
      <c r="F122" s="89"/>
      <c r="G122" s="90"/>
      <c r="H122" s="91"/>
      <c r="I122" s="91"/>
      <c r="J122" s="104"/>
      <c r="K122" s="89" t="str">
        <f t="shared" si="1"/>
        <v/>
      </c>
      <c r="M122" s="84"/>
      <c r="N122" s="84"/>
      <c r="O122" s="84"/>
      <c r="P122" s="84"/>
      <c r="Q122" s="84"/>
      <c r="S122" s="87">
        <v>561</v>
      </c>
    </row>
    <row r="123" spans="2:19">
      <c r="B123" s="88" t="e">
        <f>#REF!&amp;"_"&amp;S122</f>
        <v>#REF!</v>
      </c>
      <c r="C123" s="198"/>
      <c r="D123" s="198"/>
      <c r="E123" s="89"/>
      <c r="F123" s="89"/>
      <c r="G123" s="90"/>
      <c r="H123" s="91"/>
      <c r="I123" s="91"/>
      <c r="J123" s="104"/>
      <c r="K123" s="89" t="str">
        <f t="shared" si="1"/>
        <v/>
      </c>
      <c r="M123" s="84"/>
      <c r="N123" s="84"/>
      <c r="O123" s="84"/>
      <c r="P123" s="84"/>
      <c r="Q123" s="84"/>
      <c r="S123" s="87">
        <v>562</v>
      </c>
    </row>
    <row r="124" spans="2:19">
      <c r="B124" s="88" t="e">
        <f>#REF!&amp;"_"&amp;S123</f>
        <v>#REF!</v>
      </c>
      <c r="C124" s="198"/>
      <c r="D124" s="198"/>
      <c r="E124" s="89"/>
      <c r="F124" s="89"/>
      <c r="G124" s="90"/>
      <c r="H124" s="91"/>
      <c r="I124" s="91"/>
      <c r="J124" s="104"/>
      <c r="K124" s="89" t="str">
        <f t="shared" si="1"/>
        <v/>
      </c>
      <c r="M124" s="84"/>
      <c r="N124" s="84"/>
      <c r="O124" s="84"/>
      <c r="P124" s="84"/>
      <c r="Q124" s="84"/>
      <c r="S124" s="87">
        <v>563</v>
      </c>
    </row>
    <row r="125" spans="2:19">
      <c r="B125" s="88" t="e">
        <f>#REF!&amp;"_"&amp;S124</f>
        <v>#REF!</v>
      </c>
      <c r="C125" s="198"/>
      <c r="D125" s="198"/>
      <c r="E125" s="89"/>
      <c r="F125" s="89"/>
      <c r="G125" s="90"/>
      <c r="H125" s="91"/>
      <c r="I125" s="91"/>
      <c r="J125" s="104"/>
      <c r="K125" s="89" t="str">
        <f t="shared" si="1"/>
        <v/>
      </c>
      <c r="M125" s="84"/>
      <c r="N125" s="84"/>
      <c r="O125" s="84"/>
      <c r="P125" s="84"/>
      <c r="Q125" s="84"/>
      <c r="S125" s="87">
        <v>564</v>
      </c>
    </row>
    <row r="126" spans="2:19">
      <c r="B126" s="88" t="e">
        <f>#REF!&amp;"_"&amp;S125</f>
        <v>#REF!</v>
      </c>
      <c r="C126" s="198"/>
      <c r="D126" s="198"/>
      <c r="E126" s="89"/>
      <c r="F126" s="89"/>
      <c r="G126" s="90"/>
      <c r="H126" s="91"/>
      <c r="I126" s="91"/>
      <c r="J126" s="104"/>
      <c r="K126" s="89" t="str">
        <f t="shared" si="1"/>
        <v/>
      </c>
      <c r="M126" s="84"/>
      <c r="N126" s="84"/>
      <c r="O126" s="84"/>
      <c r="P126" s="84"/>
      <c r="Q126" s="84"/>
      <c r="S126" s="87">
        <v>565</v>
      </c>
    </row>
    <row r="127" spans="2:19">
      <c r="B127" s="88" t="e">
        <f>#REF!&amp;"_"&amp;S126</f>
        <v>#REF!</v>
      </c>
      <c r="C127" s="198"/>
      <c r="D127" s="198"/>
      <c r="E127" s="89"/>
      <c r="F127" s="89"/>
      <c r="G127" s="90"/>
      <c r="H127" s="91"/>
      <c r="I127" s="91"/>
      <c r="J127" s="104"/>
      <c r="K127" s="89" t="str">
        <f t="shared" si="1"/>
        <v/>
      </c>
      <c r="M127" s="84"/>
      <c r="N127" s="84"/>
      <c r="O127" s="84"/>
      <c r="P127" s="84"/>
      <c r="Q127" s="84"/>
      <c r="S127" s="87">
        <v>566</v>
      </c>
    </row>
    <row r="128" spans="2:19">
      <c r="B128" s="88" t="e">
        <f>#REF!&amp;"_"&amp;S127</f>
        <v>#REF!</v>
      </c>
      <c r="C128" s="198"/>
      <c r="D128" s="198"/>
      <c r="E128" s="89"/>
      <c r="F128" s="89"/>
      <c r="G128" s="90"/>
      <c r="H128" s="91"/>
      <c r="I128" s="91"/>
      <c r="J128" s="104"/>
      <c r="K128" s="89" t="str">
        <f t="shared" si="1"/>
        <v/>
      </c>
      <c r="M128" s="84"/>
      <c r="N128" s="84"/>
      <c r="O128" s="84"/>
      <c r="P128" s="84"/>
      <c r="Q128" s="84"/>
      <c r="S128" s="87">
        <v>567</v>
      </c>
    </row>
    <row r="129" spans="2:19">
      <c r="B129" s="88" t="e">
        <f>#REF!&amp;"_"&amp;S128</f>
        <v>#REF!</v>
      </c>
      <c r="C129" s="198"/>
      <c r="D129" s="198"/>
      <c r="E129" s="89"/>
      <c r="F129" s="89"/>
      <c r="G129" s="90"/>
      <c r="H129" s="91"/>
      <c r="I129" s="91"/>
      <c r="J129" s="104"/>
      <c r="K129" s="89" t="str">
        <f t="shared" si="1"/>
        <v/>
      </c>
      <c r="M129" s="84"/>
      <c r="N129" s="84"/>
      <c r="O129" s="84"/>
      <c r="P129" s="84"/>
      <c r="Q129" s="84"/>
      <c r="S129" s="87">
        <v>568</v>
      </c>
    </row>
    <row r="130" spans="2:19">
      <c r="B130" s="88" t="e">
        <f>#REF!&amp;"_"&amp;S129</f>
        <v>#REF!</v>
      </c>
      <c r="C130" s="198"/>
      <c r="D130" s="198"/>
      <c r="E130" s="89"/>
      <c r="F130" s="89"/>
      <c r="G130" s="90"/>
      <c r="H130" s="91"/>
      <c r="I130" s="91"/>
      <c r="J130" s="104"/>
      <c r="K130" s="89" t="str">
        <f t="shared" si="1"/>
        <v/>
      </c>
      <c r="M130" s="84"/>
      <c r="N130" s="84"/>
      <c r="O130" s="84"/>
      <c r="P130" s="84"/>
      <c r="Q130" s="84"/>
      <c r="S130" s="87">
        <v>569</v>
      </c>
    </row>
    <row r="131" spans="2:19">
      <c r="B131" s="88" t="e">
        <f>#REF!&amp;"_"&amp;S130</f>
        <v>#REF!</v>
      </c>
      <c r="C131" s="198"/>
      <c r="D131" s="198"/>
      <c r="E131" s="89"/>
      <c r="F131" s="89"/>
      <c r="G131" s="90"/>
      <c r="H131" s="91"/>
      <c r="I131" s="91"/>
      <c r="J131" s="104"/>
      <c r="K131" s="89" t="str">
        <f t="shared" si="1"/>
        <v/>
      </c>
      <c r="M131" s="84"/>
      <c r="N131" s="84"/>
      <c r="O131" s="84"/>
      <c r="P131" s="84"/>
      <c r="Q131" s="84"/>
      <c r="S131" s="87">
        <v>570</v>
      </c>
    </row>
    <row r="132" spans="2:19">
      <c r="B132" s="88" t="e">
        <f>#REF!&amp;"_"&amp;S131</f>
        <v>#REF!</v>
      </c>
      <c r="C132" s="198"/>
      <c r="D132" s="198"/>
      <c r="E132" s="89"/>
      <c r="F132" s="89"/>
      <c r="G132" s="90"/>
      <c r="H132" s="91"/>
      <c r="I132" s="91"/>
      <c r="J132" s="104"/>
      <c r="K132" s="89" t="str">
        <f t="shared" si="1"/>
        <v/>
      </c>
      <c r="M132" s="84"/>
      <c r="N132" s="84"/>
      <c r="O132" s="84"/>
      <c r="P132" s="84"/>
      <c r="Q132" s="84"/>
      <c r="S132" s="87">
        <v>571</v>
      </c>
    </row>
    <row r="133" spans="2:19">
      <c r="B133" s="88" t="e">
        <f>#REF!&amp;"_"&amp;S132</f>
        <v>#REF!</v>
      </c>
      <c r="C133" s="198"/>
      <c r="D133" s="198"/>
      <c r="E133" s="89"/>
      <c r="F133" s="89"/>
      <c r="G133" s="90"/>
      <c r="H133" s="91"/>
      <c r="I133" s="91"/>
      <c r="J133" s="104"/>
      <c r="K133" s="89" t="str">
        <f t="shared" si="1"/>
        <v/>
      </c>
      <c r="M133" s="84"/>
      <c r="N133" s="84"/>
      <c r="O133" s="84"/>
      <c r="P133" s="84"/>
      <c r="Q133" s="84"/>
      <c r="S133" s="87">
        <v>572</v>
      </c>
    </row>
    <row r="134" spans="2:19">
      <c r="B134" s="88" t="e">
        <f>#REF!&amp;"_"&amp;S133</f>
        <v>#REF!</v>
      </c>
      <c r="C134" s="198"/>
      <c r="D134" s="198"/>
      <c r="E134" s="89"/>
      <c r="F134" s="89"/>
      <c r="G134" s="90"/>
      <c r="H134" s="91"/>
      <c r="I134" s="91"/>
      <c r="J134" s="104"/>
      <c r="K134" s="89" t="str">
        <f t="shared" si="1"/>
        <v/>
      </c>
      <c r="M134" s="84"/>
      <c r="N134" s="84"/>
      <c r="O134" s="84"/>
      <c r="P134" s="84"/>
      <c r="Q134" s="84"/>
      <c r="S134" s="87">
        <v>573</v>
      </c>
    </row>
    <row r="135" spans="2:19">
      <c r="B135" s="88" t="e">
        <f>#REF!&amp;"_"&amp;S134</f>
        <v>#REF!</v>
      </c>
      <c r="C135" s="198"/>
      <c r="D135" s="198"/>
      <c r="E135" s="89"/>
      <c r="F135" s="89"/>
      <c r="G135" s="90"/>
      <c r="H135" s="91"/>
      <c r="I135" s="91"/>
      <c r="J135" s="104"/>
      <c r="K135" s="89" t="str">
        <f t="shared" si="1"/>
        <v/>
      </c>
      <c r="M135" s="84"/>
      <c r="N135" s="84"/>
      <c r="O135" s="84"/>
      <c r="P135" s="84"/>
      <c r="Q135" s="84"/>
      <c r="S135" s="87">
        <v>574</v>
      </c>
    </row>
    <row r="136" spans="2:19">
      <c r="B136" s="88" t="e">
        <f>#REF!&amp;"_"&amp;S135</f>
        <v>#REF!</v>
      </c>
      <c r="C136" s="198"/>
      <c r="D136" s="198"/>
      <c r="E136" s="89"/>
      <c r="F136" s="89"/>
      <c r="G136" s="90"/>
      <c r="H136" s="91"/>
      <c r="I136" s="91"/>
      <c r="J136" s="104"/>
      <c r="K136" s="89" t="str">
        <f t="shared" si="1"/>
        <v/>
      </c>
      <c r="M136" s="84"/>
      <c r="N136" s="84"/>
      <c r="O136" s="84"/>
      <c r="P136" s="84"/>
      <c r="Q136" s="84"/>
      <c r="S136" s="87">
        <v>575</v>
      </c>
    </row>
    <row r="137" spans="2:19">
      <c r="B137" s="88" t="e">
        <f>#REF!&amp;"_"&amp;S136</f>
        <v>#REF!</v>
      </c>
      <c r="C137" s="198"/>
      <c r="D137" s="198"/>
      <c r="E137" s="89"/>
      <c r="F137" s="89"/>
      <c r="G137" s="90"/>
      <c r="H137" s="91"/>
      <c r="I137" s="91"/>
      <c r="J137" s="104"/>
      <c r="K137" s="89" t="str">
        <f t="shared" si="1"/>
        <v/>
      </c>
      <c r="M137" s="84"/>
      <c r="N137" s="84"/>
      <c r="O137" s="84"/>
      <c r="P137" s="84"/>
      <c r="Q137" s="84"/>
      <c r="S137" s="87">
        <v>576</v>
      </c>
    </row>
    <row r="138" spans="2:19">
      <c r="B138" s="88" t="e">
        <f>#REF!&amp;"_"&amp;S137</f>
        <v>#REF!</v>
      </c>
      <c r="C138" s="198"/>
      <c r="D138" s="198"/>
      <c r="E138" s="89"/>
      <c r="F138" s="89"/>
      <c r="G138" s="90"/>
      <c r="H138" s="91"/>
      <c r="I138" s="91"/>
      <c r="J138" s="104"/>
      <c r="K138" s="89" t="str">
        <f t="shared" si="1"/>
        <v/>
      </c>
      <c r="M138" s="84"/>
      <c r="N138" s="84"/>
      <c r="O138" s="84"/>
      <c r="P138" s="84"/>
      <c r="Q138" s="84"/>
      <c r="S138" s="87">
        <v>577</v>
      </c>
    </row>
    <row r="139" spans="2:19">
      <c r="B139" s="88" t="e">
        <f>#REF!&amp;"_"&amp;S138</f>
        <v>#REF!</v>
      </c>
      <c r="C139" s="198"/>
      <c r="D139" s="198"/>
      <c r="E139" s="89"/>
      <c r="F139" s="89"/>
      <c r="G139" s="90"/>
      <c r="H139" s="91"/>
      <c r="I139" s="91"/>
      <c r="J139" s="104"/>
      <c r="K139" s="89" t="str">
        <f t="shared" si="1"/>
        <v/>
      </c>
      <c r="M139" s="84"/>
      <c r="N139" s="84"/>
      <c r="O139" s="84"/>
      <c r="P139" s="84"/>
      <c r="Q139" s="84"/>
      <c r="S139" s="87">
        <v>578</v>
      </c>
    </row>
    <row r="140" spans="2:19">
      <c r="B140" s="88" t="e">
        <f>#REF!&amp;"_"&amp;S139</f>
        <v>#REF!</v>
      </c>
      <c r="C140" s="198"/>
      <c r="D140" s="198"/>
      <c r="E140" s="89"/>
      <c r="F140" s="89"/>
      <c r="G140" s="90"/>
      <c r="H140" s="91"/>
      <c r="I140" s="91"/>
      <c r="J140" s="104"/>
      <c r="K140" s="89" t="str">
        <f t="shared" ref="K140:K203" si="2">IF(H140="","",$E$6)</f>
        <v/>
      </c>
      <c r="M140" s="84"/>
      <c r="N140" s="84"/>
      <c r="O140" s="84"/>
      <c r="P140" s="84"/>
      <c r="Q140" s="84"/>
      <c r="S140" s="87">
        <v>579</v>
      </c>
    </row>
    <row r="141" spans="2:19">
      <c r="B141" s="88" t="e">
        <f>#REF!&amp;"_"&amp;S140</f>
        <v>#REF!</v>
      </c>
      <c r="C141" s="198"/>
      <c r="D141" s="198"/>
      <c r="E141" s="89"/>
      <c r="F141" s="89"/>
      <c r="G141" s="90"/>
      <c r="H141" s="91"/>
      <c r="I141" s="91"/>
      <c r="J141" s="104"/>
      <c r="K141" s="89" t="str">
        <f t="shared" si="2"/>
        <v/>
      </c>
      <c r="M141" s="84"/>
      <c r="N141" s="84"/>
      <c r="O141" s="84"/>
      <c r="P141" s="84"/>
      <c r="Q141" s="84"/>
      <c r="S141" s="87">
        <v>580</v>
      </c>
    </row>
    <row r="142" spans="2:19">
      <c r="B142" s="88" t="e">
        <f>#REF!&amp;"_"&amp;S141</f>
        <v>#REF!</v>
      </c>
      <c r="C142" s="198"/>
      <c r="D142" s="198"/>
      <c r="E142" s="89"/>
      <c r="F142" s="89"/>
      <c r="G142" s="90"/>
      <c r="H142" s="91"/>
      <c r="I142" s="91"/>
      <c r="J142" s="104"/>
      <c r="K142" s="89" t="str">
        <f t="shared" si="2"/>
        <v/>
      </c>
      <c r="M142" s="84"/>
      <c r="N142" s="84"/>
      <c r="O142" s="84"/>
      <c r="P142" s="84"/>
      <c r="Q142" s="84"/>
      <c r="S142" s="87">
        <v>581</v>
      </c>
    </row>
    <row r="143" spans="2:19">
      <c r="B143" s="88" t="e">
        <f>#REF!&amp;"_"&amp;S142</f>
        <v>#REF!</v>
      </c>
      <c r="C143" s="198"/>
      <c r="D143" s="198"/>
      <c r="E143" s="89"/>
      <c r="F143" s="89"/>
      <c r="G143" s="90"/>
      <c r="H143" s="91"/>
      <c r="I143" s="91"/>
      <c r="J143" s="104"/>
      <c r="K143" s="89" t="str">
        <f t="shared" si="2"/>
        <v/>
      </c>
      <c r="M143" s="84"/>
      <c r="N143" s="84"/>
      <c r="O143" s="84"/>
      <c r="P143" s="84"/>
      <c r="Q143" s="84"/>
      <c r="S143" s="87">
        <v>582</v>
      </c>
    </row>
    <row r="144" spans="2:19">
      <c r="B144" s="88" t="e">
        <f>#REF!&amp;"_"&amp;S143</f>
        <v>#REF!</v>
      </c>
      <c r="C144" s="198"/>
      <c r="D144" s="198"/>
      <c r="E144" s="89"/>
      <c r="F144" s="89"/>
      <c r="G144" s="90"/>
      <c r="H144" s="91"/>
      <c r="I144" s="91"/>
      <c r="J144" s="104"/>
      <c r="K144" s="89" t="str">
        <f t="shared" si="2"/>
        <v/>
      </c>
      <c r="M144" s="84"/>
      <c r="N144" s="84"/>
      <c r="O144" s="84"/>
      <c r="P144" s="84"/>
      <c r="Q144" s="84"/>
      <c r="S144" s="87">
        <v>583</v>
      </c>
    </row>
    <row r="145" spans="2:19">
      <c r="B145" s="88" t="e">
        <f>#REF!&amp;"_"&amp;S144</f>
        <v>#REF!</v>
      </c>
      <c r="C145" s="198"/>
      <c r="D145" s="198"/>
      <c r="E145" s="89"/>
      <c r="F145" s="89"/>
      <c r="G145" s="90"/>
      <c r="H145" s="91"/>
      <c r="I145" s="91"/>
      <c r="J145" s="104"/>
      <c r="K145" s="89" t="str">
        <f t="shared" si="2"/>
        <v/>
      </c>
      <c r="M145" s="84"/>
      <c r="N145" s="84"/>
      <c r="O145" s="84"/>
      <c r="P145" s="84"/>
      <c r="Q145" s="84"/>
      <c r="S145" s="87">
        <v>584</v>
      </c>
    </row>
    <row r="146" spans="2:19">
      <c r="B146" s="88" t="e">
        <f>#REF!&amp;"_"&amp;S145</f>
        <v>#REF!</v>
      </c>
      <c r="C146" s="198"/>
      <c r="D146" s="198"/>
      <c r="E146" s="89"/>
      <c r="F146" s="89"/>
      <c r="G146" s="90"/>
      <c r="H146" s="91"/>
      <c r="I146" s="91"/>
      <c r="J146" s="104"/>
      <c r="K146" s="89" t="str">
        <f t="shared" si="2"/>
        <v/>
      </c>
      <c r="M146" s="84"/>
      <c r="N146" s="84"/>
      <c r="O146" s="84"/>
      <c r="P146" s="84"/>
      <c r="Q146" s="84"/>
      <c r="S146" s="87">
        <v>585</v>
      </c>
    </row>
    <row r="147" spans="2:19">
      <c r="B147" s="88" t="e">
        <f>#REF!&amp;"_"&amp;S146</f>
        <v>#REF!</v>
      </c>
      <c r="C147" s="198"/>
      <c r="D147" s="198"/>
      <c r="E147" s="89"/>
      <c r="F147" s="89"/>
      <c r="G147" s="90"/>
      <c r="H147" s="91"/>
      <c r="I147" s="91"/>
      <c r="J147" s="104"/>
      <c r="K147" s="89" t="str">
        <f t="shared" si="2"/>
        <v/>
      </c>
      <c r="M147" s="84"/>
      <c r="N147" s="84"/>
      <c r="O147" s="84"/>
      <c r="P147" s="84"/>
      <c r="Q147" s="84"/>
      <c r="S147" s="87">
        <v>586</v>
      </c>
    </row>
    <row r="148" spans="2:19">
      <c r="B148" s="88" t="e">
        <f>#REF!&amp;"_"&amp;S147</f>
        <v>#REF!</v>
      </c>
      <c r="C148" s="198"/>
      <c r="D148" s="198"/>
      <c r="E148" s="89"/>
      <c r="F148" s="89"/>
      <c r="G148" s="90"/>
      <c r="H148" s="91"/>
      <c r="I148" s="91"/>
      <c r="J148" s="104"/>
      <c r="K148" s="89" t="str">
        <f t="shared" si="2"/>
        <v/>
      </c>
      <c r="M148" s="84"/>
      <c r="N148" s="84"/>
      <c r="O148" s="84"/>
      <c r="P148" s="84"/>
      <c r="Q148" s="84"/>
      <c r="S148" s="87">
        <v>587</v>
      </c>
    </row>
    <row r="149" spans="2:19">
      <c r="B149" s="88" t="e">
        <f>#REF!&amp;"_"&amp;S148</f>
        <v>#REF!</v>
      </c>
      <c r="C149" s="198"/>
      <c r="D149" s="198"/>
      <c r="E149" s="89"/>
      <c r="F149" s="89"/>
      <c r="G149" s="90"/>
      <c r="H149" s="91"/>
      <c r="I149" s="91"/>
      <c r="J149" s="104"/>
      <c r="K149" s="89" t="str">
        <f t="shared" si="2"/>
        <v/>
      </c>
      <c r="M149" s="84"/>
      <c r="N149" s="84"/>
      <c r="O149" s="84"/>
      <c r="P149" s="84"/>
      <c r="Q149" s="84"/>
      <c r="S149" s="87">
        <v>588</v>
      </c>
    </row>
    <row r="150" spans="2:19">
      <c r="B150" s="88" t="e">
        <f>#REF!&amp;"_"&amp;S149</f>
        <v>#REF!</v>
      </c>
      <c r="C150" s="198"/>
      <c r="D150" s="198"/>
      <c r="E150" s="89"/>
      <c r="F150" s="89"/>
      <c r="G150" s="90"/>
      <c r="H150" s="91"/>
      <c r="I150" s="91"/>
      <c r="J150" s="104"/>
      <c r="K150" s="89" t="str">
        <f t="shared" si="2"/>
        <v/>
      </c>
      <c r="M150" s="84"/>
      <c r="N150" s="84"/>
      <c r="O150" s="84"/>
      <c r="P150" s="84"/>
      <c r="Q150" s="84"/>
      <c r="S150" s="87">
        <v>589</v>
      </c>
    </row>
    <row r="151" spans="2:19">
      <c r="B151" s="88" t="e">
        <f>#REF!&amp;"_"&amp;S150</f>
        <v>#REF!</v>
      </c>
      <c r="C151" s="198"/>
      <c r="D151" s="198"/>
      <c r="E151" s="89"/>
      <c r="F151" s="89"/>
      <c r="G151" s="90"/>
      <c r="H151" s="91"/>
      <c r="I151" s="91"/>
      <c r="J151" s="104"/>
      <c r="K151" s="89" t="str">
        <f t="shared" si="2"/>
        <v/>
      </c>
      <c r="M151" s="84"/>
      <c r="N151" s="84"/>
      <c r="O151" s="84"/>
      <c r="P151" s="84"/>
      <c r="Q151" s="84"/>
      <c r="S151" s="87">
        <v>590</v>
      </c>
    </row>
    <row r="152" spans="2:19">
      <c r="B152" s="88" t="e">
        <f>#REF!&amp;"_"&amp;S151</f>
        <v>#REF!</v>
      </c>
      <c r="C152" s="198"/>
      <c r="D152" s="198"/>
      <c r="E152" s="89"/>
      <c r="F152" s="89"/>
      <c r="G152" s="90"/>
      <c r="H152" s="91"/>
      <c r="I152" s="91"/>
      <c r="J152" s="104"/>
      <c r="K152" s="89" t="str">
        <f t="shared" si="2"/>
        <v/>
      </c>
      <c r="M152" s="84"/>
      <c r="N152" s="84"/>
      <c r="O152" s="84"/>
      <c r="P152" s="84"/>
      <c r="Q152" s="84"/>
      <c r="S152" s="87">
        <v>591</v>
      </c>
    </row>
    <row r="153" spans="2:19">
      <c r="B153" s="88" t="e">
        <f>#REF!&amp;"_"&amp;S152</f>
        <v>#REF!</v>
      </c>
      <c r="C153" s="198"/>
      <c r="D153" s="198"/>
      <c r="E153" s="89"/>
      <c r="F153" s="89"/>
      <c r="G153" s="90"/>
      <c r="H153" s="91"/>
      <c r="I153" s="91"/>
      <c r="J153" s="104"/>
      <c r="K153" s="89" t="str">
        <f t="shared" si="2"/>
        <v/>
      </c>
      <c r="M153" s="84"/>
      <c r="N153" s="84"/>
      <c r="O153" s="84"/>
      <c r="P153" s="84"/>
      <c r="Q153" s="84"/>
      <c r="S153" s="87">
        <v>592</v>
      </c>
    </row>
    <row r="154" spans="2:19">
      <c r="B154" s="88" t="e">
        <f>#REF!&amp;"_"&amp;S153</f>
        <v>#REF!</v>
      </c>
      <c r="C154" s="198"/>
      <c r="D154" s="198"/>
      <c r="E154" s="89"/>
      <c r="F154" s="89"/>
      <c r="G154" s="90"/>
      <c r="H154" s="91"/>
      <c r="I154" s="91"/>
      <c r="J154" s="104"/>
      <c r="K154" s="89" t="str">
        <f t="shared" si="2"/>
        <v/>
      </c>
      <c r="M154" s="84"/>
      <c r="N154" s="84"/>
      <c r="O154" s="84"/>
      <c r="P154" s="84"/>
      <c r="Q154" s="84"/>
      <c r="S154" s="87">
        <v>593</v>
      </c>
    </row>
    <row r="155" spans="2:19">
      <c r="B155" s="88" t="e">
        <f>#REF!&amp;"_"&amp;S154</f>
        <v>#REF!</v>
      </c>
      <c r="C155" s="198"/>
      <c r="D155" s="198"/>
      <c r="E155" s="89"/>
      <c r="F155" s="89"/>
      <c r="G155" s="90"/>
      <c r="H155" s="91"/>
      <c r="I155" s="91"/>
      <c r="J155" s="104"/>
      <c r="K155" s="89" t="str">
        <f t="shared" si="2"/>
        <v/>
      </c>
      <c r="M155" s="84"/>
      <c r="N155" s="84"/>
      <c r="O155" s="84"/>
      <c r="P155" s="84"/>
      <c r="Q155" s="84"/>
      <c r="S155" s="87">
        <v>594</v>
      </c>
    </row>
    <row r="156" spans="2:19">
      <c r="B156" s="88" t="e">
        <f>#REF!&amp;"_"&amp;S155</f>
        <v>#REF!</v>
      </c>
      <c r="C156" s="198"/>
      <c r="D156" s="198"/>
      <c r="E156" s="89"/>
      <c r="F156" s="89"/>
      <c r="G156" s="90"/>
      <c r="H156" s="91"/>
      <c r="I156" s="91"/>
      <c r="J156" s="104"/>
      <c r="K156" s="89" t="str">
        <f t="shared" si="2"/>
        <v/>
      </c>
      <c r="M156" s="84"/>
      <c r="N156" s="84"/>
      <c r="O156" s="84"/>
      <c r="P156" s="84"/>
      <c r="Q156" s="84"/>
      <c r="S156" s="87">
        <v>595</v>
      </c>
    </row>
    <row r="157" spans="2:19">
      <c r="B157" s="88" t="e">
        <f>#REF!&amp;"_"&amp;S156</f>
        <v>#REF!</v>
      </c>
      <c r="C157" s="198"/>
      <c r="D157" s="198"/>
      <c r="E157" s="89"/>
      <c r="F157" s="89"/>
      <c r="G157" s="90"/>
      <c r="H157" s="91"/>
      <c r="I157" s="91"/>
      <c r="J157" s="104"/>
      <c r="K157" s="89" t="str">
        <f t="shared" si="2"/>
        <v/>
      </c>
      <c r="M157" s="84"/>
      <c r="N157" s="84"/>
      <c r="O157" s="84"/>
      <c r="P157" s="84"/>
      <c r="Q157" s="84"/>
      <c r="S157" s="87">
        <v>596</v>
      </c>
    </row>
    <row r="158" spans="2:19">
      <c r="B158" s="88" t="e">
        <f>#REF!&amp;"_"&amp;S157</f>
        <v>#REF!</v>
      </c>
      <c r="C158" s="198"/>
      <c r="D158" s="198"/>
      <c r="E158" s="89"/>
      <c r="F158" s="89"/>
      <c r="G158" s="90"/>
      <c r="H158" s="91"/>
      <c r="I158" s="91"/>
      <c r="J158" s="104"/>
      <c r="K158" s="89" t="str">
        <f t="shared" si="2"/>
        <v/>
      </c>
      <c r="M158" s="84"/>
      <c r="N158" s="84"/>
      <c r="O158" s="84"/>
      <c r="P158" s="84"/>
      <c r="Q158" s="84"/>
      <c r="S158" s="87">
        <v>597</v>
      </c>
    </row>
    <row r="159" spans="2:19">
      <c r="B159" s="88" t="e">
        <f>#REF!&amp;"_"&amp;S158</f>
        <v>#REF!</v>
      </c>
      <c r="C159" s="198"/>
      <c r="D159" s="198"/>
      <c r="E159" s="89"/>
      <c r="F159" s="89"/>
      <c r="G159" s="90"/>
      <c r="H159" s="91"/>
      <c r="I159" s="91"/>
      <c r="J159" s="104"/>
      <c r="K159" s="89" t="str">
        <f t="shared" si="2"/>
        <v/>
      </c>
      <c r="M159" s="84"/>
      <c r="N159" s="84"/>
      <c r="O159" s="84"/>
      <c r="P159" s="84"/>
      <c r="Q159" s="84"/>
      <c r="S159" s="87">
        <v>598</v>
      </c>
    </row>
    <row r="160" spans="2:19">
      <c r="B160" s="88" t="e">
        <f>#REF!&amp;"_"&amp;S159</f>
        <v>#REF!</v>
      </c>
      <c r="C160" s="198"/>
      <c r="D160" s="198"/>
      <c r="E160" s="89"/>
      <c r="F160" s="89"/>
      <c r="G160" s="90"/>
      <c r="H160" s="91"/>
      <c r="I160" s="91"/>
      <c r="J160" s="104"/>
      <c r="K160" s="89" t="str">
        <f t="shared" si="2"/>
        <v/>
      </c>
      <c r="M160" s="84"/>
      <c r="N160" s="84"/>
      <c r="O160" s="84"/>
      <c r="P160" s="84"/>
      <c r="Q160" s="84"/>
      <c r="S160" s="87">
        <v>599</v>
      </c>
    </row>
    <row r="161" spans="2:19">
      <c r="B161" s="88" t="e">
        <f>#REF!&amp;"_"&amp;S160</f>
        <v>#REF!</v>
      </c>
      <c r="C161" s="198"/>
      <c r="D161" s="198"/>
      <c r="E161" s="89"/>
      <c r="F161" s="89"/>
      <c r="G161" s="90"/>
      <c r="H161" s="91"/>
      <c r="I161" s="91"/>
      <c r="J161" s="104"/>
      <c r="K161" s="89" t="str">
        <f t="shared" si="2"/>
        <v/>
      </c>
      <c r="M161" s="84"/>
      <c r="N161" s="84"/>
      <c r="O161" s="84"/>
      <c r="P161" s="84"/>
      <c r="Q161" s="84"/>
      <c r="S161" s="87">
        <v>600</v>
      </c>
    </row>
    <row r="162" spans="2:19">
      <c r="B162" s="88" t="e">
        <f>#REF!&amp;"_"&amp;S161</f>
        <v>#REF!</v>
      </c>
      <c r="C162" s="198"/>
      <c r="D162" s="198"/>
      <c r="E162" s="89"/>
      <c r="F162" s="89"/>
      <c r="G162" s="90"/>
      <c r="H162" s="91"/>
      <c r="I162" s="91"/>
      <c r="J162" s="104"/>
      <c r="K162" s="89" t="str">
        <f t="shared" si="2"/>
        <v/>
      </c>
      <c r="M162" s="84"/>
      <c r="N162" s="84"/>
      <c r="O162" s="84"/>
      <c r="P162" s="84"/>
      <c r="Q162" s="84"/>
      <c r="S162" s="87">
        <v>601</v>
      </c>
    </row>
    <row r="163" spans="2:19">
      <c r="B163" s="88" t="e">
        <f>#REF!&amp;"_"&amp;S162</f>
        <v>#REF!</v>
      </c>
      <c r="C163" s="198"/>
      <c r="D163" s="198"/>
      <c r="E163" s="89"/>
      <c r="F163" s="89"/>
      <c r="G163" s="90"/>
      <c r="H163" s="91"/>
      <c r="I163" s="91"/>
      <c r="J163" s="104"/>
      <c r="K163" s="89" t="str">
        <f t="shared" si="2"/>
        <v/>
      </c>
      <c r="M163" s="84"/>
      <c r="N163" s="84"/>
      <c r="O163" s="84"/>
      <c r="P163" s="84"/>
      <c r="Q163" s="84"/>
      <c r="S163" s="87">
        <v>602</v>
      </c>
    </row>
    <row r="164" spans="2:19">
      <c r="B164" s="88" t="e">
        <f>#REF!&amp;"_"&amp;S163</f>
        <v>#REF!</v>
      </c>
      <c r="C164" s="198"/>
      <c r="D164" s="198"/>
      <c r="E164" s="89"/>
      <c r="F164" s="89"/>
      <c r="G164" s="90"/>
      <c r="H164" s="91"/>
      <c r="I164" s="91"/>
      <c r="J164" s="104"/>
      <c r="K164" s="89" t="str">
        <f t="shared" si="2"/>
        <v/>
      </c>
      <c r="M164" s="84"/>
      <c r="N164" s="84"/>
      <c r="O164" s="84"/>
      <c r="P164" s="84"/>
      <c r="Q164" s="84"/>
      <c r="S164" s="87">
        <v>603</v>
      </c>
    </row>
    <row r="165" spans="2:19">
      <c r="B165" s="88" t="e">
        <f>#REF!&amp;"_"&amp;S164</f>
        <v>#REF!</v>
      </c>
      <c r="C165" s="198"/>
      <c r="D165" s="198"/>
      <c r="E165" s="89"/>
      <c r="F165" s="89"/>
      <c r="G165" s="90"/>
      <c r="H165" s="91"/>
      <c r="I165" s="91"/>
      <c r="J165" s="104"/>
      <c r="K165" s="89" t="str">
        <f t="shared" si="2"/>
        <v/>
      </c>
      <c r="M165" s="84"/>
      <c r="N165" s="84"/>
      <c r="O165" s="84"/>
      <c r="P165" s="84"/>
      <c r="Q165" s="84"/>
      <c r="S165" s="87">
        <v>604</v>
      </c>
    </row>
    <row r="166" spans="2:19">
      <c r="B166" s="88" t="e">
        <f>#REF!&amp;"_"&amp;S165</f>
        <v>#REF!</v>
      </c>
      <c r="C166" s="198"/>
      <c r="D166" s="198"/>
      <c r="E166" s="89"/>
      <c r="F166" s="89"/>
      <c r="G166" s="90"/>
      <c r="H166" s="91"/>
      <c r="I166" s="91"/>
      <c r="J166" s="104"/>
      <c r="K166" s="89" t="str">
        <f t="shared" si="2"/>
        <v/>
      </c>
      <c r="M166" s="84"/>
      <c r="N166" s="84"/>
      <c r="O166" s="84"/>
      <c r="P166" s="84"/>
      <c r="Q166" s="84"/>
      <c r="S166" s="87">
        <v>605</v>
      </c>
    </row>
    <row r="167" spans="2:19">
      <c r="B167" s="88" t="e">
        <f>#REF!&amp;"_"&amp;S166</f>
        <v>#REF!</v>
      </c>
      <c r="C167" s="198"/>
      <c r="D167" s="198"/>
      <c r="E167" s="89"/>
      <c r="F167" s="89"/>
      <c r="G167" s="90"/>
      <c r="H167" s="91"/>
      <c r="I167" s="91"/>
      <c r="J167" s="104"/>
      <c r="K167" s="89" t="str">
        <f t="shared" si="2"/>
        <v/>
      </c>
      <c r="M167" s="84"/>
      <c r="N167" s="84"/>
      <c r="O167" s="84"/>
      <c r="P167" s="84"/>
      <c r="Q167" s="84"/>
      <c r="S167" s="87">
        <v>606</v>
      </c>
    </row>
    <row r="168" spans="2:19">
      <c r="B168" s="88" t="e">
        <f>#REF!&amp;"_"&amp;S167</f>
        <v>#REF!</v>
      </c>
      <c r="C168" s="198"/>
      <c r="D168" s="198"/>
      <c r="E168" s="89"/>
      <c r="F168" s="89"/>
      <c r="G168" s="90"/>
      <c r="H168" s="91"/>
      <c r="I168" s="91"/>
      <c r="J168" s="104"/>
      <c r="K168" s="89" t="str">
        <f t="shared" si="2"/>
        <v/>
      </c>
      <c r="M168" s="84"/>
      <c r="N168" s="84"/>
      <c r="O168" s="84"/>
      <c r="P168" s="84"/>
      <c r="Q168" s="84"/>
      <c r="S168" s="87">
        <v>607</v>
      </c>
    </row>
    <row r="169" spans="2:19">
      <c r="B169" s="88" t="e">
        <f>#REF!&amp;"_"&amp;S168</f>
        <v>#REF!</v>
      </c>
      <c r="C169" s="198"/>
      <c r="D169" s="198"/>
      <c r="E169" s="89"/>
      <c r="F169" s="89"/>
      <c r="G169" s="90"/>
      <c r="H169" s="91"/>
      <c r="I169" s="91"/>
      <c r="J169" s="104"/>
      <c r="K169" s="89" t="str">
        <f t="shared" si="2"/>
        <v/>
      </c>
      <c r="M169" s="84"/>
      <c r="N169" s="84"/>
      <c r="O169" s="84"/>
      <c r="P169" s="84"/>
      <c r="Q169" s="84"/>
      <c r="S169" s="87">
        <v>608</v>
      </c>
    </row>
    <row r="170" spans="2:19">
      <c r="B170" s="88" t="e">
        <f>#REF!&amp;"_"&amp;S169</f>
        <v>#REF!</v>
      </c>
      <c r="C170" s="198"/>
      <c r="D170" s="198"/>
      <c r="E170" s="89"/>
      <c r="F170" s="89"/>
      <c r="G170" s="90"/>
      <c r="H170" s="91"/>
      <c r="I170" s="91"/>
      <c r="J170" s="104"/>
      <c r="K170" s="89" t="str">
        <f t="shared" si="2"/>
        <v/>
      </c>
      <c r="M170" s="84"/>
      <c r="N170" s="84"/>
      <c r="O170" s="84"/>
      <c r="P170" s="84"/>
      <c r="Q170" s="84"/>
      <c r="S170" s="87">
        <v>609</v>
      </c>
    </row>
    <row r="171" spans="2:19">
      <c r="B171" s="88" t="e">
        <f>#REF!&amp;"_"&amp;S170</f>
        <v>#REF!</v>
      </c>
      <c r="C171" s="198"/>
      <c r="D171" s="198"/>
      <c r="E171" s="89"/>
      <c r="F171" s="89"/>
      <c r="G171" s="90"/>
      <c r="H171" s="91"/>
      <c r="I171" s="91"/>
      <c r="J171" s="104"/>
      <c r="K171" s="89" t="str">
        <f t="shared" si="2"/>
        <v/>
      </c>
      <c r="M171" s="84"/>
      <c r="N171" s="84"/>
      <c r="O171" s="84"/>
      <c r="P171" s="84"/>
      <c r="Q171" s="84"/>
      <c r="S171" s="87">
        <v>610</v>
      </c>
    </row>
    <row r="172" spans="2:19">
      <c r="B172" s="88" t="e">
        <f>#REF!&amp;"_"&amp;S171</f>
        <v>#REF!</v>
      </c>
      <c r="C172" s="198"/>
      <c r="D172" s="198"/>
      <c r="E172" s="89"/>
      <c r="F172" s="89"/>
      <c r="G172" s="90"/>
      <c r="H172" s="91"/>
      <c r="I172" s="91"/>
      <c r="J172" s="104"/>
      <c r="K172" s="89" t="str">
        <f t="shared" si="2"/>
        <v/>
      </c>
      <c r="M172" s="84"/>
      <c r="N172" s="84"/>
      <c r="O172" s="84"/>
      <c r="P172" s="84"/>
      <c r="Q172" s="84"/>
      <c r="S172" s="87">
        <v>611</v>
      </c>
    </row>
    <row r="173" spans="2:19">
      <c r="B173" s="88" t="e">
        <f>#REF!&amp;"_"&amp;S172</f>
        <v>#REF!</v>
      </c>
      <c r="C173" s="198"/>
      <c r="D173" s="198"/>
      <c r="E173" s="89"/>
      <c r="F173" s="89"/>
      <c r="G173" s="90"/>
      <c r="H173" s="91"/>
      <c r="I173" s="91"/>
      <c r="J173" s="104"/>
      <c r="K173" s="89" t="str">
        <f t="shared" si="2"/>
        <v/>
      </c>
      <c r="M173" s="84"/>
      <c r="N173" s="84"/>
      <c r="O173" s="84"/>
      <c r="P173" s="84"/>
      <c r="Q173" s="84"/>
      <c r="S173" s="87">
        <v>612</v>
      </c>
    </row>
    <row r="174" spans="2:19">
      <c r="B174" s="88" t="e">
        <f>#REF!&amp;"_"&amp;S173</f>
        <v>#REF!</v>
      </c>
      <c r="C174" s="198"/>
      <c r="D174" s="198"/>
      <c r="E174" s="89"/>
      <c r="F174" s="89"/>
      <c r="G174" s="90"/>
      <c r="H174" s="91"/>
      <c r="I174" s="91"/>
      <c r="J174" s="104"/>
      <c r="K174" s="89" t="str">
        <f t="shared" si="2"/>
        <v/>
      </c>
      <c r="M174" s="84"/>
      <c r="N174" s="84"/>
      <c r="O174" s="84"/>
      <c r="P174" s="84"/>
      <c r="Q174" s="84"/>
      <c r="S174" s="87">
        <v>613</v>
      </c>
    </row>
    <row r="175" spans="2:19">
      <c r="B175" s="88" t="e">
        <f>#REF!&amp;"_"&amp;S174</f>
        <v>#REF!</v>
      </c>
      <c r="C175" s="198"/>
      <c r="D175" s="198"/>
      <c r="E175" s="89"/>
      <c r="F175" s="89"/>
      <c r="G175" s="90"/>
      <c r="H175" s="91"/>
      <c r="I175" s="91"/>
      <c r="J175" s="104"/>
      <c r="K175" s="89" t="str">
        <f t="shared" si="2"/>
        <v/>
      </c>
      <c r="M175" s="84"/>
      <c r="N175" s="84"/>
      <c r="O175" s="84"/>
      <c r="P175" s="84"/>
      <c r="Q175" s="84"/>
      <c r="S175" s="87">
        <v>614</v>
      </c>
    </row>
    <row r="176" spans="2:19">
      <c r="B176" s="88" t="e">
        <f>#REF!&amp;"_"&amp;S175</f>
        <v>#REF!</v>
      </c>
      <c r="C176" s="198"/>
      <c r="D176" s="198"/>
      <c r="E176" s="89"/>
      <c r="F176" s="89"/>
      <c r="G176" s="90"/>
      <c r="H176" s="91"/>
      <c r="I176" s="91"/>
      <c r="J176" s="104"/>
      <c r="K176" s="89" t="str">
        <f t="shared" si="2"/>
        <v/>
      </c>
      <c r="M176" s="84"/>
      <c r="N176" s="84"/>
      <c r="O176" s="84"/>
      <c r="P176" s="84"/>
      <c r="Q176" s="84"/>
      <c r="S176" s="87">
        <v>615</v>
      </c>
    </row>
    <row r="177" spans="2:19">
      <c r="B177" s="88" t="e">
        <f>#REF!&amp;"_"&amp;S176</f>
        <v>#REF!</v>
      </c>
      <c r="C177" s="198"/>
      <c r="D177" s="198"/>
      <c r="E177" s="89"/>
      <c r="F177" s="89"/>
      <c r="G177" s="90"/>
      <c r="H177" s="91"/>
      <c r="I177" s="91"/>
      <c r="J177" s="104"/>
      <c r="K177" s="89" t="str">
        <f t="shared" si="2"/>
        <v/>
      </c>
      <c r="M177" s="84"/>
      <c r="N177" s="84"/>
      <c r="O177" s="84"/>
      <c r="P177" s="84"/>
      <c r="Q177" s="84"/>
      <c r="S177" s="87">
        <v>616</v>
      </c>
    </row>
    <row r="178" spans="2:19">
      <c r="B178" s="88" t="e">
        <f>#REF!&amp;"_"&amp;S177</f>
        <v>#REF!</v>
      </c>
      <c r="C178" s="198"/>
      <c r="D178" s="198"/>
      <c r="E178" s="89"/>
      <c r="F178" s="89"/>
      <c r="G178" s="90"/>
      <c r="H178" s="91"/>
      <c r="I178" s="91"/>
      <c r="J178" s="104"/>
      <c r="K178" s="89" t="str">
        <f t="shared" si="2"/>
        <v/>
      </c>
      <c r="M178" s="84"/>
      <c r="N178" s="84"/>
      <c r="O178" s="84"/>
      <c r="P178" s="84"/>
      <c r="Q178" s="84"/>
      <c r="S178" s="87">
        <v>617</v>
      </c>
    </row>
    <row r="179" spans="2:19">
      <c r="B179" s="88" t="e">
        <f>#REF!&amp;"_"&amp;S178</f>
        <v>#REF!</v>
      </c>
      <c r="C179" s="198"/>
      <c r="D179" s="198"/>
      <c r="E179" s="89"/>
      <c r="F179" s="89"/>
      <c r="G179" s="90"/>
      <c r="H179" s="91"/>
      <c r="I179" s="91"/>
      <c r="J179" s="104"/>
      <c r="K179" s="89" t="str">
        <f t="shared" si="2"/>
        <v/>
      </c>
      <c r="M179" s="84"/>
      <c r="N179" s="84"/>
      <c r="O179" s="84"/>
      <c r="P179" s="84"/>
      <c r="Q179" s="84"/>
      <c r="S179" s="87">
        <v>618</v>
      </c>
    </row>
    <row r="180" spans="2:19">
      <c r="B180" s="88" t="e">
        <f>#REF!&amp;"_"&amp;S179</f>
        <v>#REF!</v>
      </c>
      <c r="C180" s="198"/>
      <c r="D180" s="198"/>
      <c r="E180" s="89"/>
      <c r="F180" s="89"/>
      <c r="G180" s="90"/>
      <c r="H180" s="91"/>
      <c r="I180" s="91"/>
      <c r="J180" s="104"/>
      <c r="K180" s="89" t="str">
        <f t="shared" si="2"/>
        <v/>
      </c>
      <c r="M180" s="84"/>
      <c r="N180" s="84"/>
      <c r="O180" s="84"/>
      <c r="P180" s="84"/>
      <c r="Q180" s="84"/>
      <c r="S180" s="87">
        <v>619</v>
      </c>
    </row>
    <row r="181" spans="2:19">
      <c r="B181" s="88" t="e">
        <f>#REF!&amp;"_"&amp;S180</f>
        <v>#REF!</v>
      </c>
      <c r="C181" s="198"/>
      <c r="D181" s="198"/>
      <c r="E181" s="89"/>
      <c r="F181" s="89"/>
      <c r="G181" s="90"/>
      <c r="H181" s="91"/>
      <c r="I181" s="91"/>
      <c r="J181" s="104"/>
      <c r="K181" s="89" t="str">
        <f t="shared" si="2"/>
        <v/>
      </c>
      <c r="M181" s="84"/>
      <c r="N181" s="84"/>
      <c r="O181" s="84"/>
      <c r="P181" s="84"/>
      <c r="Q181" s="84"/>
      <c r="S181" s="87">
        <v>620</v>
      </c>
    </row>
    <row r="182" spans="2:19">
      <c r="B182" s="88" t="e">
        <f>#REF!&amp;"_"&amp;S181</f>
        <v>#REF!</v>
      </c>
      <c r="C182" s="198"/>
      <c r="D182" s="198"/>
      <c r="E182" s="89"/>
      <c r="F182" s="89"/>
      <c r="G182" s="90"/>
      <c r="H182" s="91"/>
      <c r="I182" s="91"/>
      <c r="J182" s="104"/>
      <c r="K182" s="89" t="str">
        <f t="shared" si="2"/>
        <v/>
      </c>
      <c r="M182" s="84"/>
      <c r="N182" s="84"/>
      <c r="O182" s="84"/>
      <c r="P182" s="84"/>
      <c r="Q182" s="84"/>
      <c r="S182" s="87">
        <v>621</v>
      </c>
    </row>
    <row r="183" spans="2:19">
      <c r="B183" s="88" t="e">
        <f>#REF!&amp;"_"&amp;S182</f>
        <v>#REF!</v>
      </c>
      <c r="C183" s="198"/>
      <c r="D183" s="198"/>
      <c r="E183" s="89"/>
      <c r="F183" s="89"/>
      <c r="G183" s="90"/>
      <c r="H183" s="91"/>
      <c r="I183" s="91"/>
      <c r="J183" s="104"/>
      <c r="K183" s="89" t="str">
        <f t="shared" si="2"/>
        <v/>
      </c>
      <c r="M183" s="84"/>
      <c r="N183" s="84"/>
      <c r="O183" s="84"/>
      <c r="P183" s="84"/>
      <c r="Q183" s="84"/>
      <c r="S183" s="87">
        <v>622</v>
      </c>
    </row>
    <row r="184" spans="2:19">
      <c r="B184" s="88" t="e">
        <f>#REF!&amp;"_"&amp;S183</f>
        <v>#REF!</v>
      </c>
      <c r="C184" s="198"/>
      <c r="D184" s="198"/>
      <c r="E184" s="89"/>
      <c r="F184" s="89"/>
      <c r="G184" s="90"/>
      <c r="H184" s="91"/>
      <c r="I184" s="91"/>
      <c r="J184" s="104"/>
      <c r="K184" s="89" t="str">
        <f t="shared" si="2"/>
        <v/>
      </c>
      <c r="M184" s="84"/>
      <c r="N184" s="84"/>
      <c r="O184" s="84"/>
      <c r="P184" s="84"/>
      <c r="Q184" s="84"/>
      <c r="S184" s="87">
        <v>623</v>
      </c>
    </row>
    <row r="185" spans="2:19">
      <c r="B185" s="88" t="e">
        <f>#REF!&amp;"_"&amp;S184</f>
        <v>#REF!</v>
      </c>
      <c r="C185" s="198"/>
      <c r="D185" s="198"/>
      <c r="E185" s="89"/>
      <c r="F185" s="89"/>
      <c r="G185" s="90"/>
      <c r="H185" s="91"/>
      <c r="I185" s="91"/>
      <c r="J185" s="104"/>
      <c r="K185" s="89" t="str">
        <f t="shared" si="2"/>
        <v/>
      </c>
      <c r="M185" s="84"/>
      <c r="N185" s="84"/>
      <c r="O185" s="84"/>
      <c r="P185" s="84"/>
      <c r="Q185" s="84"/>
      <c r="S185" s="87">
        <v>624</v>
      </c>
    </row>
    <row r="186" spans="2:19">
      <c r="B186" s="88" t="e">
        <f>#REF!&amp;"_"&amp;S185</f>
        <v>#REF!</v>
      </c>
      <c r="C186" s="198"/>
      <c r="D186" s="198"/>
      <c r="E186" s="89"/>
      <c r="F186" s="89"/>
      <c r="G186" s="90"/>
      <c r="H186" s="91"/>
      <c r="I186" s="91"/>
      <c r="J186" s="104"/>
      <c r="K186" s="89" t="str">
        <f t="shared" si="2"/>
        <v/>
      </c>
      <c r="M186" s="84"/>
      <c r="N186" s="84"/>
      <c r="O186" s="84"/>
      <c r="P186" s="84"/>
      <c r="Q186" s="84"/>
      <c r="S186" s="87">
        <v>625</v>
      </c>
    </row>
    <row r="187" spans="2:19">
      <c r="B187" s="88" t="e">
        <f>#REF!&amp;"_"&amp;S186</f>
        <v>#REF!</v>
      </c>
      <c r="C187" s="198"/>
      <c r="D187" s="198"/>
      <c r="E187" s="89"/>
      <c r="F187" s="89"/>
      <c r="G187" s="90"/>
      <c r="H187" s="91"/>
      <c r="I187" s="91"/>
      <c r="J187" s="104"/>
      <c r="K187" s="89" t="str">
        <f t="shared" si="2"/>
        <v/>
      </c>
      <c r="M187" s="84"/>
      <c r="N187" s="84"/>
      <c r="O187" s="84"/>
      <c r="P187" s="84"/>
      <c r="Q187" s="84"/>
      <c r="S187" s="87">
        <v>626</v>
      </c>
    </row>
    <row r="188" spans="2:19">
      <c r="B188" s="88" t="e">
        <f>#REF!&amp;"_"&amp;S187</f>
        <v>#REF!</v>
      </c>
      <c r="C188" s="198"/>
      <c r="D188" s="198"/>
      <c r="E188" s="89"/>
      <c r="F188" s="89"/>
      <c r="G188" s="90"/>
      <c r="H188" s="91"/>
      <c r="I188" s="91"/>
      <c r="J188" s="104"/>
      <c r="K188" s="89" t="str">
        <f t="shared" si="2"/>
        <v/>
      </c>
      <c r="M188" s="84"/>
      <c r="N188" s="84"/>
      <c r="O188" s="84"/>
      <c r="P188" s="84"/>
      <c r="Q188" s="84"/>
      <c r="S188" s="87">
        <v>627</v>
      </c>
    </row>
    <row r="189" spans="2:19">
      <c r="B189" s="88" t="e">
        <f>#REF!&amp;"_"&amp;S188</f>
        <v>#REF!</v>
      </c>
      <c r="C189" s="198"/>
      <c r="D189" s="198"/>
      <c r="E189" s="89"/>
      <c r="F189" s="89"/>
      <c r="G189" s="90"/>
      <c r="H189" s="91"/>
      <c r="I189" s="91"/>
      <c r="J189" s="104"/>
      <c r="K189" s="89" t="str">
        <f t="shared" si="2"/>
        <v/>
      </c>
      <c r="M189" s="84"/>
      <c r="N189" s="84"/>
      <c r="O189" s="84"/>
      <c r="P189" s="84"/>
      <c r="Q189" s="84"/>
      <c r="S189" s="87">
        <v>628</v>
      </c>
    </row>
    <row r="190" spans="2:19">
      <c r="B190" s="88" t="e">
        <f>#REF!&amp;"_"&amp;S189</f>
        <v>#REF!</v>
      </c>
      <c r="C190" s="198"/>
      <c r="D190" s="198"/>
      <c r="E190" s="89"/>
      <c r="F190" s="89"/>
      <c r="G190" s="90"/>
      <c r="H190" s="91"/>
      <c r="I190" s="91"/>
      <c r="J190" s="104"/>
      <c r="K190" s="89" t="str">
        <f t="shared" si="2"/>
        <v/>
      </c>
      <c r="M190" s="84"/>
      <c r="N190" s="84"/>
      <c r="O190" s="84"/>
      <c r="P190" s="84"/>
      <c r="Q190" s="84"/>
      <c r="S190" s="87">
        <v>629</v>
      </c>
    </row>
    <row r="191" spans="2:19">
      <c r="B191" s="88" t="e">
        <f>#REF!&amp;"_"&amp;S190</f>
        <v>#REF!</v>
      </c>
      <c r="C191" s="198"/>
      <c r="D191" s="198"/>
      <c r="E191" s="89"/>
      <c r="F191" s="89"/>
      <c r="G191" s="90"/>
      <c r="H191" s="91"/>
      <c r="I191" s="91"/>
      <c r="J191" s="104"/>
      <c r="K191" s="89" t="str">
        <f t="shared" si="2"/>
        <v/>
      </c>
      <c r="M191" s="84"/>
      <c r="N191" s="84"/>
      <c r="O191" s="84"/>
      <c r="P191" s="84"/>
      <c r="Q191" s="84"/>
      <c r="S191" s="87">
        <v>630</v>
      </c>
    </row>
    <row r="192" spans="2:19">
      <c r="B192" s="88" t="e">
        <f>#REF!&amp;"_"&amp;S191</f>
        <v>#REF!</v>
      </c>
      <c r="C192" s="198"/>
      <c r="D192" s="198"/>
      <c r="E192" s="89"/>
      <c r="F192" s="89"/>
      <c r="G192" s="90"/>
      <c r="H192" s="91"/>
      <c r="I192" s="91"/>
      <c r="J192" s="104"/>
      <c r="K192" s="89" t="str">
        <f t="shared" si="2"/>
        <v/>
      </c>
      <c r="M192" s="84"/>
      <c r="N192" s="84"/>
      <c r="O192" s="84"/>
      <c r="P192" s="84"/>
      <c r="Q192" s="84"/>
      <c r="S192" s="87">
        <v>631</v>
      </c>
    </row>
    <row r="193" spans="2:30">
      <c r="B193" s="88" t="e">
        <f>#REF!&amp;"_"&amp;S192</f>
        <v>#REF!</v>
      </c>
      <c r="C193" s="198"/>
      <c r="D193" s="198"/>
      <c r="E193" s="89"/>
      <c r="F193" s="89"/>
      <c r="G193" s="90"/>
      <c r="H193" s="91"/>
      <c r="I193" s="91"/>
      <c r="J193" s="104"/>
      <c r="K193" s="89" t="str">
        <f t="shared" si="2"/>
        <v/>
      </c>
      <c r="M193" s="84"/>
      <c r="N193" s="84"/>
      <c r="O193" s="84"/>
      <c r="P193" s="84"/>
      <c r="Q193" s="84"/>
      <c r="S193" s="87">
        <v>632</v>
      </c>
    </row>
    <row r="194" spans="2:30">
      <c r="B194" s="88" t="e">
        <f>#REF!&amp;"_"&amp;S193</f>
        <v>#REF!</v>
      </c>
      <c r="C194" s="198"/>
      <c r="D194" s="198"/>
      <c r="E194" s="89"/>
      <c r="F194" s="89"/>
      <c r="G194" s="90"/>
      <c r="H194" s="91"/>
      <c r="I194" s="91"/>
      <c r="J194" s="104"/>
      <c r="K194" s="89" t="str">
        <f t="shared" si="2"/>
        <v/>
      </c>
      <c r="M194" s="84"/>
      <c r="N194" s="84"/>
      <c r="O194" s="84"/>
      <c r="P194" s="84"/>
      <c r="Q194" s="84"/>
      <c r="S194" s="87">
        <v>633</v>
      </c>
    </row>
    <row r="195" spans="2:30">
      <c r="B195" s="88" t="e">
        <f>#REF!&amp;"_"&amp;S194</f>
        <v>#REF!</v>
      </c>
      <c r="C195" s="198"/>
      <c r="D195" s="198"/>
      <c r="E195" s="89"/>
      <c r="F195" s="89"/>
      <c r="G195" s="90"/>
      <c r="H195" s="91"/>
      <c r="I195" s="91"/>
      <c r="J195" s="104"/>
      <c r="K195" s="89" t="str">
        <f t="shared" si="2"/>
        <v/>
      </c>
      <c r="M195" s="84"/>
      <c r="N195" s="84"/>
      <c r="O195" s="84"/>
      <c r="P195" s="84"/>
      <c r="Q195" s="84"/>
      <c r="S195" s="87">
        <v>634</v>
      </c>
    </row>
    <row r="196" spans="2:30">
      <c r="B196" s="88" t="e">
        <f>#REF!&amp;"_"&amp;S195</f>
        <v>#REF!</v>
      </c>
      <c r="C196" s="198"/>
      <c r="D196" s="198"/>
      <c r="E196" s="89"/>
      <c r="F196" s="89"/>
      <c r="G196" s="90"/>
      <c r="H196" s="91"/>
      <c r="I196" s="91"/>
      <c r="J196" s="104"/>
      <c r="K196" s="89" t="str">
        <f t="shared" si="2"/>
        <v/>
      </c>
      <c r="M196" s="84"/>
      <c r="N196" s="84"/>
      <c r="O196" s="84"/>
      <c r="P196" s="84"/>
      <c r="Q196" s="84"/>
      <c r="S196" s="87">
        <v>635</v>
      </c>
    </row>
    <row r="197" spans="2:30">
      <c r="B197" s="88" t="e">
        <f>#REF!&amp;"_"&amp;S196</f>
        <v>#REF!</v>
      </c>
      <c r="C197" s="198"/>
      <c r="D197" s="198"/>
      <c r="E197" s="89"/>
      <c r="F197" s="89"/>
      <c r="G197" s="90"/>
      <c r="H197" s="91"/>
      <c r="I197" s="91"/>
      <c r="J197" s="104"/>
      <c r="K197" s="89" t="str">
        <f t="shared" si="2"/>
        <v/>
      </c>
      <c r="M197" s="84"/>
      <c r="N197" s="84"/>
      <c r="O197" s="84"/>
      <c r="P197" s="84"/>
      <c r="Q197" s="84"/>
      <c r="S197" s="87">
        <v>636</v>
      </c>
    </row>
    <row r="198" spans="2:30">
      <c r="B198" s="88" t="e">
        <f>#REF!&amp;"_"&amp;S197</f>
        <v>#REF!</v>
      </c>
      <c r="C198" s="198"/>
      <c r="D198" s="198"/>
      <c r="E198" s="89"/>
      <c r="F198" s="89"/>
      <c r="G198" s="90"/>
      <c r="H198" s="91"/>
      <c r="I198" s="91"/>
      <c r="J198" s="104"/>
      <c r="K198" s="89" t="str">
        <f t="shared" si="2"/>
        <v/>
      </c>
      <c r="M198" s="84"/>
      <c r="N198" s="84"/>
      <c r="O198" s="84"/>
      <c r="P198" s="84"/>
      <c r="Q198" s="84"/>
      <c r="S198" s="87">
        <v>637</v>
      </c>
    </row>
    <row r="199" spans="2:30">
      <c r="B199" s="88" t="e">
        <f>#REF!&amp;"_"&amp;S198</f>
        <v>#REF!</v>
      </c>
      <c r="C199" s="198"/>
      <c r="D199" s="198"/>
      <c r="E199" s="89"/>
      <c r="F199" s="89"/>
      <c r="G199" s="90"/>
      <c r="H199" s="91"/>
      <c r="I199" s="91"/>
      <c r="J199" s="104"/>
      <c r="K199" s="89" t="str">
        <f t="shared" si="2"/>
        <v/>
      </c>
      <c r="M199" s="84"/>
      <c r="N199" s="84"/>
      <c r="O199" s="84"/>
      <c r="P199" s="84"/>
      <c r="Q199" s="84"/>
      <c r="S199" s="87">
        <v>638</v>
      </c>
    </row>
    <row r="200" spans="2:30">
      <c r="B200" s="88" t="e">
        <f>#REF!&amp;"_"&amp;S199</f>
        <v>#REF!</v>
      </c>
      <c r="C200" s="198"/>
      <c r="D200" s="198"/>
      <c r="E200" s="89"/>
      <c r="F200" s="89"/>
      <c r="G200" s="90"/>
      <c r="H200" s="91"/>
      <c r="I200" s="91"/>
      <c r="J200" s="104"/>
      <c r="K200" s="89" t="str">
        <f t="shared" si="2"/>
        <v/>
      </c>
      <c r="M200" s="84"/>
      <c r="N200" s="84"/>
      <c r="O200" s="84"/>
      <c r="P200" s="84"/>
      <c r="Q200" s="84"/>
      <c r="S200" s="87">
        <v>639</v>
      </c>
    </row>
    <row r="201" spans="2:30">
      <c r="B201" s="88" t="e">
        <f>#REF!&amp;"_"&amp;S200</f>
        <v>#REF!</v>
      </c>
      <c r="C201" s="198"/>
      <c r="D201" s="198"/>
      <c r="E201" s="89"/>
      <c r="F201" s="89"/>
      <c r="G201" s="90"/>
      <c r="H201" s="91"/>
      <c r="I201" s="91"/>
      <c r="J201" s="104"/>
      <c r="K201" s="89" t="str">
        <f t="shared" si="2"/>
        <v/>
      </c>
      <c r="M201" s="84"/>
      <c r="N201" s="84"/>
      <c r="O201" s="84"/>
      <c r="P201" s="84"/>
      <c r="Q201" s="84"/>
      <c r="S201" s="87">
        <v>640</v>
      </c>
    </row>
    <row r="202" spans="2:30">
      <c r="B202" s="88" t="e">
        <f>#REF!&amp;"_"&amp;S201</f>
        <v>#REF!</v>
      </c>
      <c r="C202" s="198"/>
      <c r="D202" s="198"/>
      <c r="E202" s="89"/>
      <c r="F202" s="89"/>
      <c r="G202" s="90"/>
      <c r="H202" s="91"/>
      <c r="I202" s="91"/>
      <c r="J202" s="104"/>
      <c r="K202" s="89" t="str">
        <f t="shared" si="2"/>
        <v/>
      </c>
      <c r="M202" s="84"/>
      <c r="N202" s="84"/>
      <c r="O202" s="84"/>
      <c r="P202" s="84"/>
      <c r="Q202" s="84"/>
      <c r="S202" s="87">
        <v>641</v>
      </c>
    </row>
    <row r="203" spans="2:30">
      <c r="B203" s="88" t="e">
        <f>#REF!&amp;"_"&amp;S202</f>
        <v>#REF!</v>
      </c>
      <c r="C203" s="198"/>
      <c r="D203" s="198"/>
      <c r="E203" s="89"/>
      <c r="F203" s="89"/>
      <c r="G203" s="90"/>
      <c r="H203" s="91"/>
      <c r="I203" s="91"/>
      <c r="J203" s="104"/>
      <c r="K203" s="89" t="str">
        <f t="shared" si="2"/>
        <v/>
      </c>
      <c r="M203" s="60"/>
      <c r="N203" s="60"/>
      <c r="O203" s="60"/>
      <c r="P203" s="60"/>
      <c r="Q203" s="60"/>
      <c r="R203" s="60"/>
      <c r="S203" s="60"/>
      <c r="T203" s="60"/>
      <c r="U203" s="60"/>
      <c r="V203" s="60"/>
      <c r="W203" s="60"/>
      <c r="X203" s="60"/>
      <c r="Y203" s="60"/>
      <c r="Z203" s="60"/>
      <c r="AA203" s="60"/>
      <c r="AB203" s="60"/>
      <c r="AC203" s="60"/>
      <c r="AD203" s="60"/>
    </row>
    <row r="204" spans="2:30">
      <c r="B204" s="60"/>
      <c r="C204" s="60"/>
      <c r="D204" s="60"/>
      <c r="E204" s="60"/>
      <c r="F204" s="60"/>
      <c r="G204" s="60"/>
      <c r="H204" s="60"/>
      <c r="I204" s="60"/>
      <c r="J204" s="60"/>
      <c r="K204" s="60"/>
      <c r="M204" s="60"/>
      <c r="N204" s="60"/>
      <c r="O204" s="60"/>
      <c r="P204" s="60"/>
      <c r="Q204" s="60"/>
      <c r="R204" s="60"/>
      <c r="S204" s="60"/>
      <c r="T204" s="60"/>
      <c r="U204" s="60"/>
      <c r="V204" s="60"/>
      <c r="W204" s="60"/>
      <c r="X204" s="60"/>
      <c r="Y204" s="60"/>
      <c r="Z204" s="60"/>
      <c r="AA204" s="60"/>
      <c r="AB204" s="60"/>
      <c r="AC204" s="60"/>
      <c r="AD204" s="60"/>
    </row>
    <row r="205" spans="2:30">
      <c r="B205" s="60"/>
      <c r="C205" s="60"/>
      <c r="D205" s="60"/>
      <c r="E205" s="60"/>
      <c r="F205" s="60"/>
      <c r="G205" s="60"/>
      <c r="H205" s="60"/>
      <c r="I205" s="60"/>
      <c r="J205" s="60"/>
      <c r="K205" s="60"/>
      <c r="M205" s="60"/>
      <c r="N205" s="60"/>
      <c r="O205" s="60"/>
      <c r="P205" s="60"/>
      <c r="Q205" s="60"/>
      <c r="R205" s="60"/>
      <c r="S205" s="60"/>
      <c r="T205" s="60"/>
      <c r="U205" s="60"/>
      <c r="V205" s="60"/>
      <c r="W205" s="60"/>
      <c r="X205" s="60"/>
      <c r="Y205" s="60"/>
      <c r="Z205" s="60"/>
      <c r="AA205" s="60"/>
      <c r="AB205" s="60"/>
      <c r="AC205" s="60"/>
      <c r="AD205" s="60"/>
    </row>
    <row r="206" spans="2:30">
      <c r="B206" s="60"/>
      <c r="C206" s="60"/>
      <c r="D206" s="60"/>
      <c r="E206" s="60"/>
      <c r="F206" s="60"/>
      <c r="G206" s="60"/>
      <c r="H206" s="60"/>
      <c r="I206" s="60"/>
      <c r="J206" s="60"/>
      <c r="K206" s="60"/>
      <c r="M206" s="60"/>
      <c r="N206" s="60"/>
      <c r="O206" s="60"/>
      <c r="P206" s="60"/>
      <c r="Q206" s="60"/>
      <c r="R206" s="60"/>
      <c r="S206" s="60"/>
      <c r="T206" s="60"/>
      <c r="U206" s="60"/>
      <c r="V206" s="60"/>
      <c r="W206" s="60"/>
      <c r="X206" s="60"/>
      <c r="Y206" s="60"/>
      <c r="Z206" s="60"/>
      <c r="AA206" s="60"/>
      <c r="AB206" s="60"/>
      <c r="AC206" s="60"/>
      <c r="AD206" s="60"/>
    </row>
    <row r="207" spans="2:30">
      <c r="B207" s="60"/>
      <c r="C207" s="60"/>
      <c r="D207" s="60"/>
      <c r="E207" s="60"/>
      <c r="F207" s="60"/>
      <c r="G207" s="60"/>
      <c r="H207" s="60"/>
      <c r="I207" s="60"/>
      <c r="J207" s="60"/>
      <c r="K207" s="60"/>
      <c r="M207" s="60"/>
      <c r="N207" s="60"/>
      <c r="O207" s="60"/>
      <c r="P207" s="60"/>
      <c r="Q207" s="60"/>
      <c r="R207" s="60"/>
      <c r="S207" s="60"/>
      <c r="T207" s="60"/>
      <c r="U207" s="60"/>
      <c r="V207" s="60"/>
      <c r="W207" s="60"/>
      <c r="X207" s="60"/>
      <c r="Y207" s="60"/>
      <c r="Z207" s="60"/>
      <c r="AA207" s="60"/>
      <c r="AB207" s="60"/>
      <c r="AC207" s="60"/>
      <c r="AD207" s="60"/>
    </row>
    <row r="208" spans="2:30">
      <c r="B208" s="60"/>
      <c r="C208" s="60"/>
      <c r="D208" s="60"/>
      <c r="E208" s="60"/>
      <c r="F208" s="60"/>
      <c r="G208" s="60"/>
      <c r="H208" s="60"/>
      <c r="I208" s="60"/>
      <c r="J208" s="60"/>
      <c r="K208" s="60"/>
      <c r="M208" s="60"/>
      <c r="N208" s="60"/>
      <c r="O208" s="60"/>
      <c r="P208" s="60"/>
      <c r="Q208" s="60"/>
      <c r="R208" s="60"/>
      <c r="S208" s="60"/>
      <c r="T208" s="60"/>
      <c r="U208" s="60"/>
      <c r="V208" s="60"/>
      <c r="W208" s="60"/>
      <c r="X208" s="60"/>
      <c r="Y208" s="60"/>
      <c r="Z208" s="60"/>
      <c r="AA208" s="60"/>
      <c r="AB208" s="60"/>
      <c r="AC208" s="60"/>
      <c r="AD208" s="60"/>
    </row>
    <row r="209" spans="2:30">
      <c r="B209" s="60"/>
      <c r="C209" s="60"/>
      <c r="D209" s="60"/>
      <c r="E209" s="60"/>
      <c r="F209" s="60"/>
      <c r="G209" s="60"/>
      <c r="H209" s="60"/>
      <c r="I209" s="60"/>
      <c r="J209" s="60"/>
      <c r="K209" s="60"/>
      <c r="M209" s="60"/>
      <c r="N209" s="60"/>
      <c r="O209" s="60"/>
      <c r="P209" s="60"/>
      <c r="Q209" s="60"/>
      <c r="R209" s="60"/>
      <c r="S209" s="60"/>
      <c r="T209" s="60"/>
      <c r="U209" s="60"/>
      <c r="V209" s="60"/>
      <c r="W209" s="60"/>
      <c r="X209" s="60"/>
      <c r="Y209" s="60"/>
      <c r="Z209" s="60"/>
      <c r="AA209" s="60"/>
      <c r="AB209" s="60"/>
      <c r="AC209" s="60"/>
      <c r="AD209" s="60"/>
    </row>
    <row r="210" spans="2:30">
      <c r="B210" s="60"/>
      <c r="C210" s="60"/>
      <c r="D210" s="60"/>
      <c r="E210" s="60"/>
      <c r="F210" s="60"/>
      <c r="G210" s="60"/>
      <c r="H210" s="60"/>
      <c r="I210" s="60"/>
      <c r="J210" s="60"/>
      <c r="K210" s="60"/>
      <c r="M210" s="60"/>
      <c r="N210" s="60"/>
      <c r="O210" s="60"/>
      <c r="P210" s="60"/>
      <c r="Q210" s="60"/>
      <c r="R210" s="60"/>
      <c r="S210" s="60"/>
      <c r="T210" s="60"/>
      <c r="U210" s="60"/>
      <c r="V210" s="60"/>
      <c r="W210" s="60"/>
      <c r="X210" s="60"/>
      <c r="Y210" s="60"/>
      <c r="Z210" s="60"/>
      <c r="AA210" s="60"/>
      <c r="AB210" s="60"/>
      <c r="AC210" s="60"/>
      <c r="AD210" s="60"/>
    </row>
    <row r="275" spans="2:30">
      <c r="B275" s="60"/>
      <c r="C275" s="60"/>
      <c r="D275" s="60"/>
      <c r="E275" s="60"/>
      <c r="F275" s="60"/>
      <c r="G275" s="60"/>
      <c r="H275" s="60"/>
      <c r="I275" s="60"/>
      <c r="J275" s="60"/>
      <c r="K275" s="60"/>
      <c r="M275" s="60"/>
      <c r="N275" s="60"/>
      <c r="O275" s="60"/>
      <c r="P275" s="60"/>
      <c r="Q275" s="60"/>
      <c r="R275" s="60"/>
      <c r="S275" s="60"/>
      <c r="T275" s="60"/>
      <c r="U275" s="60"/>
      <c r="V275" s="60"/>
      <c r="W275" s="60"/>
      <c r="X275" s="60"/>
      <c r="Y275" s="60"/>
      <c r="Z275" s="60"/>
      <c r="AA275" s="60"/>
      <c r="AB275" s="60"/>
      <c r="AC275" s="60"/>
      <c r="AD275" s="60"/>
    </row>
    <row r="276" spans="2:30">
      <c r="B276" s="60"/>
      <c r="C276" s="60"/>
      <c r="D276" s="60"/>
      <c r="E276" s="60"/>
      <c r="F276" s="60"/>
      <c r="G276" s="60"/>
      <c r="H276" s="60"/>
      <c r="I276" s="60"/>
      <c r="J276" s="60"/>
      <c r="K276" s="60"/>
      <c r="M276" s="60"/>
      <c r="N276" s="60"/>
      <c r="O276" s="60"/>
      <c r="P276" s="60"/>
      <c r="Q276" s="60"/>
      <c r="R276" s="60"/>
      <c r="S276" s="60"/>
      <c r="T276" s="60"/>
      <c r="U276" s="60"/>
      <c r="V276" s="60"/>
      <c r="W276" s="60"/>
      <c r="X276" s="60"/>
      <c r="Y276" s="60"/>
      <c r="Z276" s="60"/>
      <c r="AA276" s="60"/>
      <c r="AB276" s="60"/>
      <c r="AC276" s="60"/>
      <c r="AD276" s="60"/>
    </row>
    <row r="277" spans="2:30">
      <c r="B277" s="60"/>
      <c r="C277" s="60"/>
      <c r="D277" s="60"/>
      <c r="E277" s="60"/>
      <c r="F277" s="60"/>
      <c r="G277" s="60"/>
      <c r="H277" s="60"/>
      <c r="I277" s="60"/>
      <c r="J277" s="60"/>
      <c r="K277" s="60"/>
      <c r="M277" s="60"/>
      <c r="N277" s="60"/>
      <c r="O277" s="60"/>
      <c r="P277" s="60"/>
      <c r="Q277" s="60"/>
      <c r="R277" s="60"/>
      <c r="S277" s="60"/>
      <c r="T277" s="60"/>
      <c r="U277" s="60"/>
      <c r="V277" s="60"/>
      <c r="W277" s="60"/>
      <c r="X277" s="60"/>
      <c r="Y277" s="60"/>
      <c r="Z277" s="60"/>
      <c r="AA277" s="60"/>
      <c r="AB277" s="60"/>
      <c r="AC277" s="60"/>
      <c r="AD277" s="60"/>
    </row>
    <row r="278" spans="2:30">
      <c r="B278" s="60"/>
      <c r="C278" s="60"/>
      <c r="D278" s="60"/>
      <c r="E278" s="60"/>
      <c r="F278" s="60"/>
      <c r="G278" s="60"/>
      <c r="H278" s="60"/>
      <c r="I278" s="60"/>
      <c r="J278" s="60"/>
      <c r="K278" s="60"/>
      <c r="M278" s="60"/>
      <c r="N278" s="60"/>
      <c r="O278" s="60"/>
      <c r="P278" s="60"/>
      <c r="Q278" s="60"/>
      <c r="R278" s="60"/>
      <c r="S278" s="60"/>
      <c r="T278" s="60"/>
      <c r="U278" s="60"/>
      <c r="V278" s="60"/>
      <c r="W278" s="60"/>
      <c r="X278" s="60"/>
      <c r="Y278" s="60"/>
      <c r="Z278" s="60"/>
      <c r="AA278" s="60"/>
      <c r="AB278" s="60"/>
      <c r="AC278" s="60"/>
      <c r="AD278" s="60"/>
    </row>
    <row r="279" spans="2:30">
      <c r="B279" s="60"/>
      <c r="C279" s="60"/>
      <c r="D279" s="60"/>
      <c r="E279" s="60"/>
      <c r="F279" s="60"/>
      <c r="G279" s="60"/>
      <c r="H279" s="60"/>
      <c r="I279" s="60"/>
      <c r="J279" s="60"/>
      <c r="K279" s="60"/>
      <c r="M279" s="60"/>
      <c r="N279" s="60"/>
      <c r="O279" s="60"/>
      <c r="P279" s="60"/>
      <c r="Q279" s="60"/>
      <c r="R279" s="60"/>
      <c r="S279" s="60"/>
      <c r="T279" s="60"/>
      <c r="U279" s="60"/>
      <c r="V279" s="60"/>
      <c r="W279" s="60"/>
      <c r="X279" s="60"/>
      <c r="Y279" s="60"/>
      <c r="Z279" s="60"/>
      <c r="AA279" s="60"/>
      <c r="AB279" s="60"/>
      <c r="AC279" s="60"/>
      <c r="AD279" s="60"/>
    </row>
    <row r="280" spans="2:30">
      <c r="B280" s="60"/>
      <c r="C280" s="60"/>
      <c r="D280" s="60"/>
      <c r="E280" s="60"/>
      <c r="F280" s="60"/>
      <c r="G280" s="60"/>
      <c r="H280" s="60"/>
      <c r="I280" s="60"/>
      <c r="J280" s="60"/>
      <c r="K280" s="60"/>
      <c r="M280" s="60"/>
      <c r="N280" s="60"/>
      <c r="O280" s="60"/>
      <c r="P280" s="60"/>
      <c r="Q280" s="60"/>
      <c r="R280" s="60"/>
      <c r="S280" s="60"/>
      <c r="T280" s="60"/>
      <c r="U280" s="60"/>
      <c r="V280" s="60"/>
      <c r="W280" s="60"/>
      <c r="X280" s="60"/>
      <c r="Y280" s="60"/>
      <c r="Z280" s="60"/>
      <c r="AA280" s="60"/>
      <c r="AB280" s="60"/>
      <c r="AC280" s="60"/>
      <c r="AD280" s="60"/>
    </row>
    <row r="281" spans="2:30">
      <c r="B281" s="60"/>
      <c r="C281" s="60"/>
      <c r="D281" s="60"/>
      <c r="E281" s="60"/>
      <c r="F281" s="60"/>
      <c r="G281" s="60"/>
      <c r="H281" s="60"/>
      <c r="I281" s="60"/>
      <c r="J281" s="60"/>
      <c r="K281" s="60"/>
      <c r="M281" s="84"/>
      <c r="N281" s="84"/>
      <c r="O281" s="84"/>
      <c r="P281" s="84"/>
      <c r="Q281" s="84"/>
    </row>
    <row r="282" spans="2:30">
      <c r="B282" s="108"/>
      <c r="C282" s="109"/>
      <c r="D282" s="109"/>
      <c r="E282" s="109"/>
      <c r="F282" s="109"/>
      <c r="G282" s="110"/>
      <c r="H282" s="109"/>
      <c r="I282" s="109"/>
      <c r="J282" s="111"/>
      <c r="K282" s="112"/>
      <c r="M282" s="84"/>
      <c r="N282" s="84"/>
      <c r="O282" s="84"/>
      <c r="P282" s="84"/>
      <c r="Q282" s="84"/>
    </row>
    <row r="283" spans="2:30">
      <c r="B283" s="108"/>
      <c r="C283" s="109"/>
      <c r="D283" s="109"/>
      <c r="E283" s="109"/>
      <c r="F283" s="109"/>
      <c r="G283" s="110"/>
      <c r="H283" s="109"/>
      <c r="I283" s="109"/>
      <c r="J283" s="111"/>
      <c r="K283" s="112"/>
      <c r="M283" s="84"/>
      <c r="N283" s="84"/>
      <c r="O283" s="84"/>
      <c r="P283" s="84"/>
      <c r="Q283" s="84"/>
    </row>
    <row r="284" spans="2:30">
      <c r="B284" s="108"/>
      <c r="C284" s="109"/>
      <c r="D284" s="109"/>
      <c r="E284" s="109"/>
      <c r="F284" s="109"/>
      <c r="G284" s="110"/>
      <c r="H284" s="109"/>
      <c r="I284" s="109"/>
      <c r="J284" s="111"/>
      <c r="K284" s="112"/>
      <c r="M284" s="84"/>
      <c r="N284" s="84"/>
      <c r="O284" s="84"/>
      <c r="P284" s="84"/>
      <c r="Q284" s="84"/>
    </row>
    <row r="285" spans="2:30">
      <c r="B285" s="108"/>
      <c r="C285" s="109"/>
      <c r="D285" s="109"/>
      <c r="E285" s="109"/>
      <c r="F285" s="109"/>
      <c r="G285" s="110"/>
      <c r="H285" s="109"/>
      <c r="I285" s="109"/>
      <c r="J285" s="111"/>
      <c r="K285" s="112"/>
      <c r="M285" s="84"/>
      <c r="N285" s="84"/>
      <c r="O285" s="84"/>
      <c r="P285" s="84"/>
      <c r="Q285" s="84"/>
    </row>
    <row r="286" spans="2:30">
      <c r="B286" s="108"/>
      <c r="C286" s="109"/>
      <c r="D286" s="109"/>
      <c r="E286" s="109"/>
      <c r="F286" s="109"/>
      <c r="G286" s="110"/>
      <c r="H286" s="109"/>
      <c r="I286" s="109"/>
      <c r="J286" s="111"/>
      <c r="K286" s="112"/>
      <c r="M286" s="84"/>
      <c r="N286" s="84"/>
      <c r="O286" s="84"/>
      <c r="P286" s="84"/>
      <c r="Q286" s="84"/>
    </row>
    <row r="287" spans="2:30">
      <c r="B287" s="108"/>
      <c r="C287" s="109"/>
      <c r="D287" s="109"/>
      <c r="E287" s="109"/>
      <c r="F287" s="109"/>
      <c r="G287" s="110"/>
      <c r="H287" s="109"/>
      <c r="I287" s="109"/>
      <c r="J287" s="111"/>
      <c r="K287" s="112"/>
      <c r="M287" s="84"/>
      <c r="N287" s="84"/>
      <c r="O287" s="84"/>
      <c r="P287" s="84"/>
      <c r="Q287" s="84"/>
    </row>
    <row r="288" spans="2:30">
      <c r="B288" s="108"/>
      <c r="C288" s="109"/>
      <c r="D288" s="109"/>
      <c r="E288" s="109"/>
      <c r="F288" s="109"/>
      <c r="G288" s="110"/>
      <c r="H288" s="109"/>
      <c r="I288" s="109"/>
      <c r="J288" s="111"/>
      <c r="K288" s="112"/>
      <c r="M288" s="84"/>
      <c r="N288" s="84"/>
      <c r="O288" s="84"/>
      <c r="P288" s="84"/>
      <c r="Q288" s="84"/>
    </row>
    <row r="289" spans="2:17">
      <c r="B289" s="108"/>
      <c r="C289" s="109"/>
      <c r="D289" s="109"/>
      <c r="E289" s="109"/>
      <c r="F289" s="109"/>
      <c r="G289" s="110"/>
      <c r="H289" s="109"/>
      <c r="I289" s="109"/>
      <c r="J289" s="111"/>
      <c r="K289" s="112"/>
      <c r="M289" s="84"/>
      <c r="N289" s="84"/>
      <c r="O289" s="84"/>
      <c r="P289" s="84"/>
      <c r="Q289" s="84"/>
    </row>
    <row r="290" spans="2:17">
      <c r="B290" s="108"/>
      <c r="C290" s="109"/>
      <c r="D290" s="109"/>
      <c r="E290" s="109"/>
      <c r="F290" s="109"/>
      <c r="G290" s="110"/>
      <c r="H290" s="109"/>
      <c r="I290" s="109"/>
      <c r="J290" s="111"/>
      <c r="K290" s="112"/>
      <c r="M290" s="84"/>
      <c r="N290" s="84"/>
      <c r="O290" s="84"/>
      <c r="P290" s="84"/>
      <c r="Q290" s="84"/>
    </row>
    <row r="291" spans="2:17">
      <c r="B291" s="108"/>
      <c r="C291" s="109"/>
      <c r="D291" s="109"/>
      <c r="E291" s="109"/>
      <c r="F291" s="109"/>
      <c r="G291" s="110"/>
      <c r="H291" s="109"/>
      <c r="I291" s="109"/>
      <c r="J291" s="111"/>
      <c r="K291" s="112"/>
      <c r="M291" s="84"/>
      <c r="N291" s="84"/>
      <c r="O291" s="84"/>
      <c r="P291" s="84"/>
      <c r="Q291" s="84"/>
    </row>
    <row r="292" spans="2:17">
      <c r="B292" s="108"/>
      <c r="C292" s="109"/>
      <c r="D292" s="109"/>
      <c r="E292" s="109"/>
      <c r="F292" s="109"/>
      <c r="G292" s="110"/>
      <c r="H292" s="109"/>
      <c r="I292" s="109"/>
      <c r="J292" s="111"/>
      <c r="K292" s="112"/>
      <c r="M292" s="84"/>
      <c r="N292" s="84"/>
      <c r="O292" s="84"/>
      <c r="P292" s="84"/>
      <c r="Q292" s="84"/>
    </row>
    <row r="293" spans="2:17">
      <c r="B293" s="108"/>
      <c r="C293" s="109"/>
      <c r="D293" s="109"/>
      <c r="E293" s="109"/>
      <c r="F293" s="109"/>
      <c r="G293" s="110"/>
      <c r="H293" s="109"/>
      <c r="I293" s="109"/>
      <c r="J293" s="111"/>
      <c r="K293" s="112"/>
      <c r="M293" s="84"/>
      <c r="N293" s="84"/>
      <c r="O293" s="84"/>
      <c r="P293" s="84"/>
      <c r="Q293" s="84"/>
    </row>
    <row r="294" spans="2:17">
      <c r="B294" s="108"/>
      <c r="C294" s="109"/>
      <c r="D294" s="109"/>
      <c r="E294" s="109"/>
      <c r="F294" s="109"/>
      <c r="G294" s="110"/>
      <c r="H294" s="109"/>
      <c r="I294" s="109"/>
      <c r="J294" s="111"/>
      <c r="K294" s="112"/>
      <c r="M294" s="84"/>
      <c r="N294" s="84"/>
      <c r="O294" s="84"/>
      <c r="P294" s="84"/>
      <c r="Q294" s="84"/>
    </row>
    <row r="295" spans="2:17">
      <c r="B295" s="108"/>
      <c r="C295" s="109"/>
      <c r="D295" s="109"/>
      <c r="E295" s="109"/>
      <c r="F295" s="109"/>
      <c r="G295" s="110"/>
      <c r="H295" s="109"/>
      <c r="I295" s="109"/>
      <c r="J295" s="111"/>
      <c r="K295" s="112"/>
      <c r="M295" s="84"/>
      <c r="N295" s="84"/>
      <c r="O295" s="84"/>
      <c r="P295" s="84"/>
      <c r="Q295" s="84"/>
    </row>
    <row r="296" spans="2:17">
      <c r="B296" s="108"/>
      <c r="C296" s="109"/>
      <c r="D296" s="109"/>
      <c r="E296" s="109"/>
      <c r="F296" s="109"/>
      <c r="G296" s="110"/>
      <c r="H296" s="109"/>
      <c r="I296" s="109"/>
      <c r="J296" s="111"/>
      <c r="K296" s="112"/>
      <c r="M296" s="84"/>
      <c r="N296" s="84"/>
      <c r="O296" s="84"/>
      <c r="P296" s="84"/>
      <c r="Q296" s="84"/>
    </row>
    <row r="297" spans="2:17">
      <c r="B297" s="108"/>
      <c r="C297" s="109"/>
      <c r="D297" s="109"/>
      <c r="E297" s="109"/>
      <c r="F297" s="109"/>
      <c r="G297" s="110"/>
      <c r="H297" s="109"/>
      <c r="I297" s="109"/>
      <c r="J297" s="111"/>
      <c r="K297" s="112"/>
      <c r="M297" s="84"/>
      <c r="N297" s="84"/>
      <c r="O297" s="84"/>
      <c r="P297" s="84"/>
      <c r="Q297" s="84"/>
    </row>
    <row r="298" spans="2:17">
      <c r="B298" s="108"/>
      <c r="C298" s="109"/>
      <c r="D298" s="109"/>
      <c r="E298" s="109"/>
      <c r="F298" s="109"/>
      <c r="G298" s="110"/>
      <c r="H298" s="109"/>
      <c r="I298" s="109"/>
      <c r="J298" s="111"/>
      <c r="K298" s="112"/>
      <c r="M298" s="84"/>
      <c r="N298" s="84"/>
      <c r="O298" s="84"/>
      <c r="P298" s="84"/>
      <c r="Q298" s="84"/>
    </row>
    <row r="299" spans="2:17">
      <c r="B299" s="108"/>
      <c r="C299" s="109"/>
      <c r="D299" s="109"/>
      <c r="E299" s="109"/>
      <c r="F299" s="109"/>
      <c r="G299" s="110"/>
      <c r="H299" s="109"/>
      <c r="I299" s="109"/>
      <c r="J299" s="111"/>
      <c r="K299" s="112"/>
      <c r="M299" s="84"/>
      <c r="N299" s="84"/>
      <c r="O299" s="84"/>
      <c r="P299" s="84"/>
      <c r="Q299" s="84"/>
    </row>
    <row r="300" spans="2:17">
      <c r="B300" s="108"/>
      <c r="C300" s="109"/>
      <c r="D300" s="109"/>
      <c r="E300" s="109"/>
      <c r="F300" s="109"/>
      <c r="G300" s="110"/>
      <c r="H300" s="109"/>
      <c r="I300" s="109"/>
      <c r="J300" s="111"/>
      <c r="K300" s="112"/>
      <c r="M300" s="84"/>
      <c r="N300" s="84"/>
      <c r="O300" s="84"/>
      <c r="P300" s="84"/>
      <c r="Q300" s="84"/>
    </row>
    <row r="301" spans="2:17">
      <c r="B301" s="108"/>
      <c r="C301" s="109"/>
      <c r="D301" s="109"/>
      <c r="E301" s="109"/>
      <c r="F301" s="109"/>
      <c r="G301" s="110"/>
      <c r="H301" s="109"/>
      <c r="I301" s="109"/>
      <c r="J301" s="111"/>
      <c r="K301" s="112"/>
      <c r="M301" s="84"/>
      <c r="N301" s="84"/>
      <c r="O301" s="84"/>
      <c r="P301" s="84"/>
      <c r="Q301" s="84"/>
    </row>
    <row r="302" spans="2:17">
      <c r="B302" s="108"/>
      <c r="C302" s="109"/>
      <c r="D302" s="109"/>
      <c r="E302" s="109"/>
      <c r="F302" s="109"/>
      <c r="G302" s="110"/>
      <c r="H302" s="109"/>
      <c r="I302" s="109"/>
      <c r="J302" s="111"/>
      <c r="K302" s="112"/>
      <c r="M302" s="84"/>
      <c r="N302" s="84"/>
      <c r="O302" s="84"/>
      <c r="P302" s="84"/>
      <c r="Q302" s="84"/>
    </row>
    <row r="303" spans="2:17">
      <c r="B303" s="108"/>
      <c r="C303" s="109"/>
      <c r="D303" s="109"/>
      <c r="E303" s="109"/>
      <c r="F303" s="109"/>
      <c r="G303" s="110"/>
      <c r="H303" s="109"/>
      <c r="I303" s="109"/>
      <c r="J303" s="111"/>
      <c r="K303" s="112"/>
      <c r="M303" s="84"/>
      <c r="N303" s="84"/>
      <c r="O303" s="84"/>
      <c r="P303" s="84"/>
      <c r="Q303" s="84"/>
    </row>
    <row r="304" spans="2:17">
      <c r="B304" s="108"/>
      <c r="C304" s="109"/>
      <c r="D304" s="109"/>
      <c r="E304" s="109"/>
      <c r="F304" s="109"/>
      <c r="G304" s="110"/>
      <c r="H304" s="109"/>
      <c r="I304" s="109"/>
      <c r="J304" s="111"/>
      <c r="K304" s="112"/>
      <c r="M304" s="84"/>
      <c r="N304" s="84"/>
      <c r="O304" s="84"/>
      <c r="P304" s="84"/>
      <c r="Q304" s="84"/>
    </row>
    <row r="305" spans="2:17">
      <c r="B305" s="108"/>
      <c r="C305" s="109"/>
      <c r="D305" s="109"/>
      <c r="E305" s="109"/>
      <c r="F305" s="109"/>
      <c r="G305" s="110"/>
      <c r="H305" s="109"/>
      <c r="I305" s="109"/>
      <c r="J305" s="111"/>
      <c r="K305" s="112"/>
      <c r="M305" s="84"/>
      <c r="N305" s="84"/>
      <c r="O305" s="84"/>
      <c r="P305" s="84"/>
      <c r="Q305" s="84"/>
    </row>
    <row r="306" spans="2:17">
      <c r="B306" s="108"/>
      <c r="C306" s="109"/>
      <c r="D306" s="109"/>
      <c r="E306" s="109"/>
      <c r="F306" s="109"/>
      <c r="G306" s="110"/>
      <c r="H306" s="109"/>
      <c r="I306" s="109"/>
      <c r="J306" s="111"/>
      <c r="K306" s="112"/>
      <c r="M306" s="84"/>
      <c r="N306" s="84"/>
      <c r="O306" s="84"/>
      <c r="P306" s="84"/>
      <c r="Q306" s="84"/>
    </row>
    <row r="307" spans="2:17">
      <c r="B307" s="108"/>
      <c r="C307" s="109"/>
      <c r="D307" s="109"/>
      <c r="E307" s="109"/>
      <c r="F307" s="109"/>
      <c r="G307" s="110"/>
      <c r="H307" s="109"/>
      <c r="I307" s="109"/>
      <c r="J307" s="111"/>
      <c r="K307" s="112"/>
      <c r="M307" s="84"/>
      <c r="N307" s="84"/>
      <c r="O307" s="84"/>
      <c r="P307" s="84"/>
      <c r="Q307" s="84"/>
    </row>
    <row r="308" spans="2:17">
      <c r="B308" s="108"/>
      <c r="C308" s="109"/>
      <c r="D308" s="109"/>
      <c r="E308" s="109"/>
      <c r="F308" s="109"/>
      <c r="G308" s="110"/>
      <c r="H308" s="109"/>
      <c r="I308" s="109"/>
      <c r="J308" s="111"/>
      <c r="K308" s="112"/>
      <c r="M308" s="84"/>
      <c r="N308" s="84"/>
      <c r="O308" s="84"/>
      <c r="P308" s="84"/>
      <c r="Q308" s="84"/>
    </row>
    <row r="309" spans="2:17">
      <c r="B309" s="108"/>
      <c r="C309" s="109"/>
      <c r="D309" s="109"/>
      <c r="E309" s="109"/>
      <c r="F309" s="109"/>
      <c r="G309" s="110"/>
      <c r="H309" s="109"/>
      <c r="I309" s="109"/>
      <c r="J309" s="111"/>
      <c r="K309" s="112"/>
      <c r="M309" s="84"/>
      <c r="N309" s="84"/>
      <c r="O309" s="84"/>
      <c r="P309" s="84"/>
      <c r="Q309" s="84"/>
    </row>
    <row r="310" spans="2:17">
      <c r="B310" s="108"/>
      <c r="C310" s="109"/>
      <c r="D310" s="109"/>
      <c r="E310" s="109"/>
      <c r="F310" s="109"/>
      <c r="G310" s="110"/>
      <c r="H310" s="109"/>
      <c r="I310" s="109"/>
      <c r="J310" s="111"/>
      <c r="K310" s="112"/>
      <c r="M310" s="84"/>
      <c r="N310" s="84"/>
      <c r="O310" s="84"/>
      <c r="P310" s="84"/>
      <c r="Q310" s="84"/>
    </row>
    <row r="311" spans="2:17">
      <c r="B311" s="108"/>
      <c r="C311" s="109"/>
      <c r="D311" s="109"/>
      <c r="E311" s="109"/>
      <c r="F311" s="109"/>
      <c r="G311" s="110"/>
      <c r="H311" s="109"/>
      <c r="I311" s="109"/>
      <c r="J311" s="111"/>
      <c r="K311" s="112"/>
      <c r="M311" s="84"/>
      <c r="N311" s="84"/>
      <c r="O311" s="84"/>
      <c r="P311" s="84"/>
      <c r="Q311" s="84"/>
    </row>
    <row r="312" spans="2:17">
      <c r="B312" s="108"/>
      <c r="C312" s="109"/>
      <c r="D312" s="109"/>
      <c r="E312" s="109"/>
      <c r="F312" s="109"/>
      <c r="G312" s="110"/>
      <c r="H312" s="109"/>
      <c r="I312" s="109"/>
      <c r="J312" s="111"/>
      <c r="K312" s="112"/>
      <c r="M312" s="84"/>
      <c r="N312" s="84"/>
      <c r="O312" s="84"/>
      <c r="P312" s="84"/>
      <c r="Q312" s="84"/>
    </row>
    <row r="313" spans="2:17">
      <c r="B313" s="108"/>
      <c r="C313" s="109"/>
      <c r="D313" s="109"/>
      <c r="E313" s="109"/>
      <c r="F313" s="109"/>
      <c r="G313" s="110"/>
      <c r="H313" s="109"/>
      <c r="I313" s="109"/>
      <c r="J313" s="111"/>
      <c r="K313" s="112"/>
      <c r="M313" s="84"/>
      <c r="N313" s="84"/>
      <c r="O313" s="84"/>
      <c r="P313" s="84"/>
      <c r="Q313" s="84"/>
    </row>
    <row r="314" spans="2:17">
      <c r="B314" s="108"/>
      <c r="C314" s="109"/>
      <c r="D314" s="109"/>
      <c r="E314" s="109"/>
      <c r="F314" s="109"/>
      <c r="G314" s="110"/>
      <c r="H314" s="109"/>
      <c r="I314" s="109"/>
      <c r="J314" s="111"/>
      <c r="K314" s="112"/>
      <c r="M314" s="84"/>
      <c r="N314" s="84"/>
      <c r="O314" s="84"/>
      <c r="P314" s="84"/>
      <c r="Q314" s="84"/>
    </row>
    <row r="315" spans="2:17">
      <c r="B315" s="108"/>
      <c r="C315" s="109"/>
      <c r="D315" s="109"/>
      <c r="E315" s="109"/>
      <c r="F315" s="109"/>
      <c r="G315" s="110"/>
      <c r="H315" s="109"/>
      <c r="I315" s="109"/>
      <c r="J315" s="111"/>
      <c r="K315" s="112"/>
      <c r="M315" s="84"/>
      <c r="N315" s="84"/>
      <c r="O315" s="84"/>
      <c r="P315" s="84"/>
      <c r="Q315" s="84"/>
    </row>
    <row r="316" spans="2:17">
      <c r="B316" s="108"/>
      <c r="C316" s="109"/>
      <c r="D316" s="109"/>
      <c r="E316" s="109"/>
      <c r="F316" s="109"/>
      <c r="G316" s="110"/>
      <c r="H316" s="109"/>
      <c r="I316" s="109"/>
      <c r="J316" s="111"/>
      <c r="K316" s="112"/>
      <c r="M316" s="84"/>
      <c r="N316" s="84"/>
      <c r="O316" s="84"/>
      <c r="P316" s="84"/>
      <c r="Q316" s="84"/>
    </row>
    <row r="317" spans="2:17">
      <c r="B317" s="108"/>
      <c r="C317" s="109"/>
      <c r="D317" s="109"/>
      <c r="E317" s="109"/>
      <c r="F317" s="109"/>
      <c r="G317" s="110"/>
      <c r="H317" s="109"/>
      <c r="I317" s="109"/>
      <c r="J317" s="111"/>
      <c r="K317" s="112"/>
      <c r="M317" s="84"/>
      <c r="N317" s="84"/>
      <c r="O317" s="84"/>
      <c r="P317" s="84"/>
      <c r="Q317" s="84"/>
    </row>
    <row r="318" spans="2:17">
      <c r="B318" s="108"/>
      <c r="C318" s="109"/>
      <c r="D318" s="109"/>
      <c r="E318" s="109"/>
      <c r="F318" s="109"/>
      <c r="G318" s="110"/>
      <c r="H318" s="109"/>
      <c r="I318" s="109"/>
      <c r="J318" s="111"/>
      <c r="K318" s="112"/>
      <c r="M318" s="84"/>
      <c r="N318" s="84"/>
      <c r="O318" s="84"/>
      <c r="P318" s="84"/>
      <c r="Q318" s="84"/>
    </row>
    <row r="319" spans="2:17">
      <c r="B319" s="108"/>
      <c r="C319" s="109"/>
      <c r="D319" s="109"/>
      <c r="E319" s="109"/>
      <c r="F319" s="109"/>
      <c r="G319" s="110"/>
      <c r="H319" s="109"/>
      <c r="I319" s="109"/>
      <c r="J319" s="111"/>
      <c r="K319" s="112"/>
      <c r="M319" s="84"/>
      <c r="N319" s="84"/>
      <c r="O319" s="84"/>
      <c r="P319" s="84"/>
      <c r="Q319" s="84"/>
    </row>
    <row r="320" spans="2:17">
      <c r="B320" s="108"/>
      <c r="C320" s="109"/>
      <c r="D320" s="109"/>
      <c r="E320" s="109"/>
      <c r="F320" s="109"/>
      <c r="G320" s="110"/>
      <c r="H320" s="109"/>
      <c r="I320" s="109"/>
      <c r="J320" s="111"/>
      <c r="K320" s="112"/>
      <c r="M320" s="84"/>
      <c r="N320" s="84"/>
      <c r="O320" s="84"/>
      <c r="P320" s="84"/>
      <c r="Q320" s="84"/>
    </row>
    <row r="321" spans="2:17">
      <c r="B321" s="108"/>
      <c r="C321" s="109"/>
      <c r="D321" s="109"/>
      <c r="E321" s="109"/>
      <c r="F321" s="109"/>
      <c r="G321" s="110"/>
      <c r="H321" s="109"/>
      <c r="I321" s="109"/>
      <c r="J321" s="111"/>
      <c r="K321" s="112"/>
      <c r="M321" s="84"/>
      <c r="N321" s="84"/>
      <c r="O321" s="84"/>
      <c r="P321" s="84"/>
      <c r="Q321" s="84"/>
    </row>
    <row r="322" spans="2:17">
      <c r="B322" s="108"/>
      <c r="C322" s="109"/>
      <c r="D322" s="109"/>
      <c r="E322" s="109"/>
      <c r="F322" s="109"/>
      <c r="G322" s="110"/>
      <c r="H322" s="109"/>
      <c r="I322" s="109"/>
      <c r="J322" s="111"/>
      <c r="K322" s="112"/>
      <c r="M322" s="84"/>
      <c r="N322" s="84"/>
      <c r="O322" s="84"/>
      <c r="P322" s="84"/>
      <c r="Q322" s="84"/>
    </row>
    <row r="323" spans="2:17">
      <c r="B323" s="108"/>
      <c r="C323" s="109"/>
      <c r="D323" s="109"/>
      <c r="E323" s="109"/>
      <c r="F323" s="109"/>
      <c r="G323" s="110"/>
      <c r="H323" s="109"/>
      <c r="I323" s="109"/>
      <c r="J323" s="111"/>
      <c r="K323" s="112"/>
      <c r="M323" s="84"/>
      <c r="N323" s="84"/>
      <c r="O323" s="84"/>
      <c r="P323" s="84"/>
      <c r="Q323" s="84"/>
    </row>
    <row r="324" spans="2:17">
      <c r="B324" s="108"/>
      <c r="C324" s="109"/>
      <c r="D324" s="109"/>
      <c r="E324" s="109"/>
      <c r="F324" s="109"/>
      <c r="G324" s="110"/>
      <c r="H324" s="109"/>
      <c r="I324" s="109"/>
      <c r="J324" s="111"/>
      <c r="K324" s="112"/>
      <c r="M324" s="84"/>
      <c r="N324" s="84"/>
      <c r="O324" s="84"/>
      <c r="P324" s="84"/>
      <c r="Q324" s="84"/>
    </row>
    <row r="325" spans="2:17">
      <c r="B325" s="108"/>
      <c r="C325" s="109"/>
      <c r="D325" s="109"/>
      <c r="E325" s="109"/>
      <c r="F325" s="109"/>
      <c r="G325" s="110"/>
      <c r="H325" s="109"/>
      <c r="I325" s="109"/>
      <c r="J325" s="111"/>
      <c r="K325" s="112"/>
      <c r="M325" s="84"/>
      <c r="N325" s="84"/>
      <c r="O325" s="84"/>
      <c r="P325" s="84"/>
      <c r="Q325" s="84"/>
    </row>
    <row r="326" spans="2:17">
      <c r="B326" s="108"/>
      <c r="C326" s="109"/>
      <c r="D326" s="109"/>
      <c r="E326" s="109"/>
      <c r="F326" s="109"/>
      <c r="G326" s="110"/>
      <c r="H326" s="109"/>
      <c r="I326" s="109"/>
      <c r="J326" s="111"/>
      <c r="K326" s="112"/>
      <c r="M326" s="84"/>
      <c r="N326" s="84"/>
      <c r="O326" s="84"/>
      <c r="P326" s="84"/>
      <c r="Q326" s="84"/>
    </row>
    <row r="327" spans="2:17">
      <c r="B327" s="108"/>
      <c r="C327" s="109"/>
      <c r="D327" s="109"/>
      <c r="E327" s="109"/>
      <c r="F327" s="109"/>
      <c r="G327" s="110"/>
      <c r="H327" s="109"/>
      <c r="I327" s="109"/>
      <c r="J327" s="111"/>
      <c r="K327" s="112"/>
      <c r="M327" s="84"/>
      <c r="N327" s="84"/>
      <c r="O327" s="84"/>
      <c r="P327" s="84"/>
      <c r="Q327" s="84"/>
    </row>
    <row r="328" spans="2:17">
      <c r="B328" s="108"/>
      <c r="C328" s="109"/>
      <c r="D328" s="109"/>
      <c r="E328" s="109"/>
      <c r="F328" s="109"/>
      <c r="G328" s="110"/>
      <c r="H328" s="109"/>
      <c r="I328" s="109"/>
      <c r="J328" s="111"/>
      <c r="K328" s="112"/>
      <c r="M328" s="84"/>
      <c r="N328" s="84"/>
      <c r="O328" s="84"/>
      <c r="P328" s="84"/>
      <c r="Q328" s="84"/>
    </row>
    <row r="329" spans="2:17">
      <c r="B329" s="108"/>
      <c r="C329" s="109"/>
      <c r="D329" s="109"/>
      <c r="E329" s="109"/>
      <c r="F329" s="109"/>
      <c r="G329" s="110"/>
      <c r="H329" s="109"/>
      <c r="I329" s="109"/>
      <c r="J329" s="111"/>
      <c r="K329" s="112"/>
      <c r="M329" s="84"/>
      <c r="N329" s="84"/>
      <c r="O329" s="84"/>
      <c r="P329" s="84"/>
      <c r="Q329" s="84"/>
    </row>
    <row r="330" spans="2:17">
      <c r="B330" s="108"/>
      <c r="C330" s="109"/>
      <c r="D330" s="109"/>
      <c r="E330" s="109"/>
      <c r="F330" s="109"/>
      <c r="G330" s="110"/>
      <c r="H330" s="109"/>
      <c r="I330" s="109"/>
      <c r="J330" s="111"/>
      <c r="K330" s="112"/>
      <c r="M330" s="84"/>
      <c r="N330" s="84"/>
      <c r="O330" s="84"/>
      <c r="P330" s="84"/>
      <c r="Q330" s="84"/>
    </row>
    <row r="331" spans="2:17">
      <c r="B331" s="108"/>
      <c r="C331" s="109"/>
      <c r="D331" s="109"/>
      <c r="E331" s="109"/>
      <c r="F331" s="109"/>
      <c r="G331" s="110"/>
      <c r="H331" s="109"/>
      <c r="I331" s="109"/>
      <c r="J331" s="111"/>
      <c r="K331" s="112"/>
      <c r="M331" s="84"/>
      <c r="N331" s="84"/>
      <c r="O331" s="84"/>
      <c r="P331" s="84"/>
      <c r="Q331" s="84"/>
    </row>
    <row r="332" spans="2:17">
      <c r="B332" s="108"/>
      <c r="C332" s="109"/>
      <c r="D332" s="109"/>
      <c r="E332" s="109"/>
      <c r="F332" s="109"/>
      <c r="G332" s="110"/>
      <c r="H332" s="109"/>
      <c r="I332" s="109"/>
      <c r="J332" s="111"/>
      <c r="K332" s="112"/>
      <c r="M332" s="84"/>
      <c r="N332" s="84"/>
      <c r="O332" s="84"/>
      <c r="P332" s="84"/>
      <c r="Q332" s="84"/>
    </row>
    <row r="333" spans="2:17">
      <c r="B333" s="108"/>
      <c r="C333" s="109"/>
      <c r="D333" s="109"/>
      <c r="E333" s="109"/>
      <c r="F333" s="109"/>
      <c r="G333" s="110"/>
      <c r="H333" s="109"/>
      <c r="I333" s="109"/>
      <c r="J333" s="111"/>
      <c r="K333" s="112"/>
      <c r="M333" s="84"/>
      <c r="N333" s="84"/>
      <c r="O333" s="84"/>
      <c r="P333" s="84"/>
      <c r="Q333" s="84"/>
    </row>
    <row r="334" spans="2:17">
      <c r="B334" s="108"/>
      <c r="C334" s="109"/>
      <c r="D334" s="109"/>
      <c r="E334" s="109"/>
      <c r="F334" s="109"/>
      <c r="G334" s="110"/>
      <c r="H334" s="109"/>
      <c r="I334" s="109"/>
      <c r="J334" s="111"/>
      <c r="K334" s="112"/>
      <c r="M334" s="84"/>
      <c r="N334" s="84"/>
      <c r="O334" s="84"/>
      <c r="P334" s="84"/>
      <c r="Q334" s="84"/>
    </row>
    <row r="335" spans="2:17">
      <c r="B335" s="108"/>
      <c r="C335" s="109"/>
      <c r="D335" s="109"/>
      <c r="E335" s="109"/>
      <c r="F335" s="109"/>
      <c r="G335" s="110"/>
      <c r="H335" s="109"/>
      <c r="I335" s="109"/>
      <c r="J335" s="111"/>
      <c r="K335" s="112"/>
      <c r="M335" s="84"/>
      <c r="N335" s="84"/>
      <c r="O335" s="84"/>
      <c r="P335" s="84"/>
      <c r="Q335" s="84"/>
    </row>
    <row r="336" spans="2:17">
      <c r="B336" s="108"/>
      <c r="C336" s="109"/>
      <c r="D336" s="109"/>
      <c r="E336" s="109"/>
      <c r="F336" s="109"/>
      <c r="G336" s="110"/>
      <c r="H336" s="109"/>
      <c r="I336" s="109"/>
      <c r="J336" s="111"/>
      <c r="K336" s="112"/>
      <c r="M336" s="84"/>
      <c r="N336" s="84"/>
      <c r="O336" s="84"/>
      <c r="P336" s="84"/>
      <c r="Q336" s="84"/>
    </row>
    <row r="337" spans="2:17">
      <c r="B337" s="108"/>
      <c r="C337" s="109"/>
      <c r="D337" s="109"/>
      <c r="E337" s="109"/>
      <c r="F337" s="109"/>
      <c r="G337" s="110"/>
      <c r="H337" s="109"/>
      <c r="I337" s="109"/>
      <c r="J337" s="111"/>
      <c r="K337" s="112"/>
      <c r="M337" s="84"/>
      <c r="N337" s="84"/>
      <c r="O337" s="84"/>
      <c r="P337" s="84"/>
      <c r="Q337" s="84"/>
    </row>
    <row r="338" spans="2:17">
      <c r="B338" s="108"/>
      <c r="C338" s="109"/>
      <c r="D338" s="109"/>
      <c r="E338" s="109"/>
      <c r="F338" s="109"/>
      <c r="G338" s="110"/>
      <c r="H338" s="109"/>
      <c r="I338" s="109"/>
      <c r="J338" s="111"/>
      <c r="K338" s="112"/>
      <c r="M338" s="84"/>
      <c r="N338" s="84"/>
      <c r="O338" s="84"/>
      <c r="P338" s="84"/>
      <c r="Q338" s="84"/>
    </row>
    <row r="339" spans="2:17">
      <c r="B339" s="108"/>
      <c r="C339" s="109"/>
      <c r="D339" s="109"/>
      <c r="E339" s="109"/>
      <c r="F339" s="109"/>
      <c r="G339" s="110"/>
      <c r="H339" s="109"/>
      <c r="I339" s="109"/>
      <c r="J339" s="111"/>
      <c r="K339" s="112"/>
      <c r="M339" s="84"/>
      <c r="N339" s="84"/>
      <c r="O339" s="84"/>
      <c r="P339" s="84"/>
      <c r="Q339" s="84"/>
    </row>
    <row r="340" spans="2:17">
      <c r="B340" s="108"/>
      <c r="C340" s="109"/>
      <c r="D340" s="109"/>
      <c r="E340" s="109"/>
      <c r="F340" s="109"/>
      <c r="G340" s="110"/>
      <c r="H340" s="109"/>
      <c r="I340" s="109"/>
      <c r="J340" s="111"/>
      <c r="K340" s="112"/>
      <c r="M340" s="84"/>
      <c r="N340" s="84"/>
      <c r="O340" s="84"/>
      <c r="P340" s="84"/>
      <c r="Q340" s="84"/>
    </row>
    <row r="341" spans="2:17">
      <c r="B341" s="108"/>
      <c r="C341" s="109"/>
      <c r="D341" s="109"/>
      <c r="E341" s="109"/>
      <c r="F341" s="109"/>
      <c r="G341" s="110"/>
      <c r="H341" s="109"/>
      <c r="I341" s="109"/>
      <c r="J341" s="111"/>
      <c r="K341" s="112"/>
      <c r="M341" s="84"/>
      <c r="N341" s="84"/>
      <c r="O341" s="84"/>
      <c r="P341" s="84"/>
      <c r="Q341" s="84"/>
    </row>
    <row r="342" spans="2:17">
      <c r="B342" s="108"/>
      <c r="C342" s="109"/>
      <c r="D342" s="109"/>
      <c r="E342" s="109"/>
      <c r="F342" s="109"/>
      <c r="G342" s="110"/>
      <c r="H342" s="109"/>
      <c r="I342" s="109"/>
      <c r="J342" s="111"/>
      <c r="K342" s="112"/>
      <c r="M342" s="84"/>
      <c r="N342" s="84"/>
      <c r="O342" s="84"/>
      <c r="P342" s="84"/>
      <c r="Q342" s="84"/>
    </row>
    <row r="343" spans="2:17">
      <c r="B343" s="108"/>
      <c r="C343" s="109"/>
      <c r="D343" s="109"/>
      <c r="E343" s="109"/>
      <c r="F343" s="109"/>
      <c r="G343" s="110"/>
      <c r="H343" s="109"/>
      <c r="I343" s="109"/>
      <c r="J343" s="111"/>
      <c r="K343" s="112"/>
      <c r="M343" s="84"/>
      <c r="N343" s="84"/>
      <c r="O343" s="84"/>
      <c r="P343" s="84"/>
      <c r="Q343" s="84"/>
    </row>
    <row r="344" spans="2:17">
      <c r="B344" s="108"/>
      <c r="C344" s="109"/>
      <c r="D344" s="109"/>
      <c r="E344" s="109"/>
      <c r="F344" s="109"/>
      <c r="G344" s="110"/>
      <c r="H344" s="109"/>
      <c r="I344" s="109"/>
      <c r="J344" s="111"/>
      <c r="K344" s="112"/>
      <c r="M344" s="84"/>
      <c r="N344" s="84"/>
      <c r="O344" s="84"/>
      <c r="P344" s="84"/>
      <c r="Q344" s="84"/>
    </row>
    <row r="345" spans="2:17">
      <c r="B345" s="108"/>
      <c r="C345" s="109"/>
      <c r="D345" s="109"/>
      <c r="E345" s="109"/>
      <c r="F345" s="109"/>
      <c r="G345" s="110"/>
      <c r="H345" s="109"/>
      <c r="I345" s="109"/>
      <c r="J345" s="111"/>
      <c r="K345" s="112"/>
      <c r="M345" s="84"/>
      <c r="N345" s="84"/>
      <c r="O345" s="84"/>
      <c r="P345" s="84"/>
      <c r="Q345" s="84"/>
    </row>
    <row r="346" spans="2:17">
      <c r="B346" s="108"/>
      <c r="C346" s="109"/>
      <c r="D346" s="109"/>
      <c r="E346" s="109"/>
      <c r="F346" s="109"/>
      <c r="G346" s="110"/>
      <c r="H346" s="109"/>
      <c r="I346" s="109"/>
      <c r="J346" s="111"/>
      <c r="K346" s="112"/>
      <c r="M346" s="84"/>
      <c r="N346" s="84"/>
      <c r="O346" s="84"/>
      <c r="P346" s="84"/>
      <c r="Q346" s="84"/>
    </row>
    <row r="347" spans="2:17">
      <c r="B347" s="108"/>
      <c r="C347" s="109"/>
      <c r="D347" s="109"/>
      <c r="E347" s="109"/>
      <c r="F347" s="109"/>
      <c r="G347" s="110"/>
      <c r="H347" s="109"/>
      <c r="I347" s="109"/>
      <c r="J347" s="111"/>
      <c r="K347" s="112"/>
      <c r="M347" s="84"/>
      <c r="N347" s="84"/>
      <c r="O347" s="84"/>
      <c r="P347" s="84"/>
      <c r="Q347" s="84"/>
    </row>
    <row r="348" spans="2:17">
      <c r="B348" s="108"/>
      <c r="C348" s="109"/>
      <c r="D348" s="109"/>
      <c r="E348" s="109"/>
      <c r="F348" s="109"/>
      <c r="G348" s="110"/>
      <c r="H348" s="109"/>
      <c r="I348" s="109"/>
      <c r="J348" s="111"/>
      <c r="K348" s="112"/>
      <c r="M348" s="84"/>
      <c r="N348" s="84"/>
      <c r="O348" s="84"/>
      <c r="P348" s="84"/>
      <c r="Q348" s="84"/>
    </row>
    <row r="349" spans="2:17">
      <c r="B349" s="108"/>
      <c r="C349" s="109"/>
      <c r="D349" s="109"/>
      <c r="E349" s="109"/>
      <c r="F349" s="109"/>
      <c r="G349" s="110"/>
      <c r="H349" s="109"/>
      <c r="I349" s="109"/>
      <c r="J349" s="111"/>
      <c r="K349" s="112"/>
      <c r="M349" s="84"/>
      <c r="N349" s="84"/>
      <c r="O349" s="84"/>
      <c r="P349" s="84"/>
      <c r="Q349" s="84"/>
    </row>
    <row r="350" spans="2:17">
      <c r="B350" s="108"/>
      <c r="C350" s="109"/>
      <c r="D350" s="109"/>
      <c r="E350" s="109"/>
      <c r="F350" s="109"/>
      <c r="G350" s="110"/>
      <c r="H350" s="109"/>
      <c r="I350" s="109"/>
      <c r="J350" s="111"/>
      <c r="K350" s="112"/>
      <c r="M350" s="84"/>
      <c r="N350" s="84"/>
      <c r="O350" s="84"/>
      <c r="P350" s="84"/>
      <c r="Q350" s="84"/>
    </row>
    <row r="351" spans="2:17">
      <c r="B351" s="108"/>
      <c r="C351" s="109"/>
      <c r="D351" s="109"/>
      <c r="E351" s="109"/>
      <c r="F351" s="109"/>
      <c r="G351" s="110"/>
      <c r="H351" s="109"/>
      <c r="I351" s="109"/>
      <c r="J351" s="111"/>
      <c r="K351" s="112"/>
      <c r="M351" s="84"/>
      <c r="N351" s="84"/>
      <c r="O351" s="84"/>
      <c r="P351" s="84"/>
      <c r="Q351" s="84"/>
    </row>
    <row r="352" spans="2:17">
      <c r="B352" s="108"/>
      <c r="C352" s="109"/>
      <c r="D352" s="109"/>
      <c r="E352" s="109"/>
      <c r="F352" s="109"/>
      <c r="G352" s="110"/>
      <c r="H352" s="109"/>
      <c r="I352" s="109"/>
      <c r="J352" s="111"/>
      <c r="K352" s="112"/>
      <c r="M352" s="84"/>
      <c r="N352" s="84"/>
      <c r="O352" s="84"/>
      <c r="P352" s="84"/>
      <c r="Q352" s="84"/>
    </row>
    <row r="353" spans="2:17">
      <c r="B353" s="108"/>
      <c r="C353" s="109"/>
      <c r="D353" s="109"/>
      <c r="E353" s="109"/>
      <c r="F353" s="109"/>
      <c r="G353" s="110"/>
      <c r="H353" s="109"/>
      <c r="I353" s="109"/>
      <c r="J353" s="111"/>
      <c r="K353" s="112"/>
      <c r="M353" s="84"/>
      <c r="N353" s="84"/>
      <c r="O353" s="84"/>
      <c r="P353" s="84"/>
      <c r="Q353" s="84"/>
    </row>
    <row r="354" spans="2:17">
      <c r="B354" s="108"/>
      <c r="C354" s="109"/>
      <c r="D354" s="109"/>
      <c r="E354" s="109"/>
      <c r="F354" s="109"/>
      <c r="G354" s="110"/>
      <c r="H354" s="109"/>
      <c r="I354" s="109"/>
      <c r="J354" s="111"/>
      <c r="K354" s="112"/>
      <c r="M354" s="84"/>
      <c r="N354" s="84"/>
      <c r="O354" s="84"/>
      <c r="P354" s="84"/>
      <c r="Q354" s="84"/>
    </row>
    <row r="355" spans="2:17">
      <c r="B355" s="108"/>
      <c r="C355" s="109"/>
      <c r="D355" s="109"/>
      <c r="E355" s="109"/>
      <c r="F355" s="109"/>
      <c r="G355" s="110"/>
      <c r="H355" s="109"/>
      <c r="I355" s="109"/>
      <c r="J355" s="111"/>
      <c r="K355" s="112"/>
      <c r="M355" s="84"/>
      <c r="N355" s="84"/>
      <c r="O355" s="84"/>
      <c r="P355" s="84"/>
      <c r="Q355" s="84"/>
    </row>
    <row r="356" spans="2:17">
      <c r="B356" s="108"/>
      <c r="C356" s="109"/>
      <c r="D356" s="109"/>
      <c r="E356" s="109"/>
      <c r="F356" s="109"/>
      <c r="G356" s="110"/>
      <c r="H356" s="109"/>
      <c r="I356" s="109"/>
      <c r="J356" s="111"/>
      <c r="K356" s="112"/>
      <c r="M356" s="84"/>
      <c r="N356" s="84"/>
      <c r="O356" s="84"/>
      <c r="P356" s="84"/>
      <c r="Q356" s="84"/>
    </row>
    <row r="357" spans="2:17">
      <c r="B357" s="108"/>
      <c r="C357" s="109"/>
      <c r="D357" s="109"/>
      <c r="E357" s="109"/>
      <c r="F357" s="109"/>
      <c r="G357" s="110"/>
      <c r="H357" s="109"/>
      <c r="I357" s="109"/>
      <c r="J357" s="111"/>
      <c r="K357" s="112"/>
      <c r="M357" s="84"/>
      <c r="N357" s="84"/>
      <c r="O357" s="84"/>
      <c r="P357" s="84"/>
      <c r="Q357" s="84"/>
    </row>
    <row r="358" spans="2:17">
      <c r="B358" s="108"/>
      <c r="C358" s="109"/>
      <c r="D358" s="109"/>
      <c r="E358" s="109"/>
      <c r="F358" s="109"/>
      <c r="G358" s="110"/>
      <c r="H358" s="109"/>
      <c r="I358" s="109"/>
      <c r="J358" s="111"/>
      <c r="K358" s="112"/>
      <c r="M358" s="84"/>
      <c r="N358" s="84"/>
      <c r="O358" s="84"/>
      <c r="P358" s="84"/>
      <c r="Q358" s="84"/>
    </row>
    <row r="359" spans="2:17">
      <c r="B359" s="108"/>
      <c r="C359" s="109"/>
      <c r="D359" s="109"/>
      <c r="E359" s="109"/>
      <c r="F359" s="109"/>
      <c r="G359" s="110"/>
      <c r="H359" s="109"/>
      <c r="I359" s="109"/>
      <c r="J359" s="111"/>
      <c r="K359" s="112"/>
      <c r="M359" s="84"/>
      <c r="N359" s="84"/>
      <c r="O359" s="84"/>
      <c r="P359" s="84"/>
      <c r="Q359" s="84"/>
    </row>
    <row r="360" spans="2:17">
      <c r="B360" s="108"/>
      <c r="C360" s="109"/>
      <c r="D360" s="109"/>
      <c r="E360" s="109"/>
      <c r="F360" s="109"/>
      <c r="G360" s="110"/>
      <c r="H360" s="109"/>
      <c r="I360" s="109"/>
      <c r="J360" s="111"/>
      <c r="K360" s="112"/>
      <c r="M360" s="84"/>
      <c r="N360" s="84"/>
      <c r="O360" s="84"/>
      <c r="P360" s="84"/>
      <c r="Q360" s="84"/>
    </row>
    <row r="361" spans="2:17">
      <c r="B361" s="108"/>
      <c r="C361" s="109"/>
      <c r="D361" s="109"/>
      <c r="E361" s="109"/>
      <c r="F361" s="109"/>
      <c r="G361" s="110"/>
      <c r="H361" s="109"/>
      <c r="I361" s="109"/>
      <c r="J361" s="111"/>
      <c r="K361" s="112"/>
      <c r="M361" s="84"/>
      <c r="N361" s="84"/>
      <c r="O361" s="84"/>
      <c r="P361" s="84"/>
      <c r="Q361" s="84"/>
    </row>
    <row r="362" spans="2:17">
      <c r="B362" s="108"/>
      <c r="C362" s="109"/>
      <c r="D362" s="109"/>
      <c r="E362" s="109"/>
      <c r="F362" s="109"/>
      <c r="G362" s="110"/>
      <c r="H362" s="109"/>
      <c r="I362" s="109"/>
      <c r="J362" s="111"/>
      <c r="K362" s="112"/>
      <c r="M362" s="84"/>
      <c r="N362" s="84"/>
      <c r="O362" s="84"/>
      <c r="P362" s="84"/>
      <c r="Q362" s="84"/>
    </row>
    <row r="363" spans="2:17">
      <c r="B363" s="108"/>
      <c r="C363" s="109"/>
      <c r="D363" s="109"/>
      <c r="E363" s="109"/>
      <c r="F363" s="109"/>
      <c r="G363" s="110"/>
      <c r="H363" s="109"/>
      <c r="I363" s="109"/>
      <c r="J363" s="111"/>
      <c r="K363" s="112"/>
      <c r="M363" s="84"/>
      <c r="N363" s="84"/>
      <c r="O363" s="84"/>
      <c r="P363" s="84"/>
      <c r="Q363" s="84"/>
    </row>
    <row r="364" spans="2:17">
      <c r="B364" s="108"/>
      <c r="C364" s="109"/>
      <c r="D364" s="109"/>
      <c r="E364" s="109"/>
      <c r="F364" s="109"/>
      <c r="G364" s="110"/>
      <c r="H364" s="109"/>
      <c r="I364" s="109"/>
      <c r="J364" s="111"/>
      <c r="K364" s="112"/>
      <c r="M364" s="84"/>
      <c r="N364" s="84"/>
      <c r="O364" s="84"/>
      <c r="P364" s="84"/>
      <c r="Q364" s="84"/>
    </row>
    <row r="365" spans="2:17">
      <c r="B365" s="108"/>
      <c r="C365" s="109"/>
      <c r="D365" s="109"/>
      <c r="E365" s="109"/>
      <c r="F365" s="109"/>
      <c r="G365" s="110"/>
      <c r="H365" s="109"/>
      <c r="I365" s="109"/>
      <c r="J365" s="111"/>
      <c r="K365" s="112"/>
      <c r="M365" s="84"/>
      <c r="N365" s="84"/>
      <c r="O365" s="84"/>
      <c r="P365" s="84"/>
      <c r="Q365" s="84"/>
    </row>
    <row r="366" spans="2:17">
      <c r="B366" s="108"/>
      <c r="C366" s="109"/>
      <c r="D366" s="109"/>
      <c r="E366" s="109"/>
      <c r="F366" s="109"/>
      <c r="G366" s="110"/>
      <c r="H366" s="109"/>
      <c r="I366" s="109"/>
      <c r="J366" s="111"/>
      <c r="K366" s="112"/>
      <c r="M366" s="84"/>
      <c r="N366" s="84"/>
      <c r="O366" s="84"/>
      <c r="P366" s="84"/>
      <c r="Q366" s="84"/>
    </row>
    <row r="367" spans="2:17">
      <c r="B367" s="108"/>
      <c r="C367" s="109"/>
      <c r="D367" s="109"/>
      <c r="E367" s="109"/>
      <c r="F367" s="109"/>
      <c r="G367" s="110"/>
      <c r="H367" s="109"/>
      <c r="I367" s="109"/>
      <c r="J367" s="111"/>
      <c r="K367" s="112"/>
      <c r="M367" s="84"/>
      <c r="N367" s="84"/>
      <c r="O367" s="84"/>
      <c r="P367" s="84"/>
      <c r="Q367" s="84"/>
    </row>
    <row r="368" spans="2:17">
      <c r="B368" s="108"/>
      <c r="C368" s="109"/>
      <c r="D368" s="109"/>
      <c r="E368" s="109"/>
      <c r="F368" s="109"/>
      <c r="G368" s="110"/>
      <c r="H368" s="109"/>
      <c r="I368" s="109"/>
      <c r="J368" s="111"/>
      <c r="K368" s="112"/>
      <c r="M368" s="84"/>
      <c r="N368" s="84"/>
      <c r="O368" s="84"/>
      <c r="P368" s="84"/>
      <c r="Q368" s="84"/>
    </row>
    <row r="369" spans="2:17">
      <c r="B369" s="108"/>
      <c r="C369" s="109"/>
      <c r="D369" s="109"/>
      <c r="E369" s="109"/>
      <c r="F369" s="109"/>
      <c r="G369" s="110"/>
      <c r="H369" s="109"/>
      <c r="I369" s="109"/>
      <c r="J369" s="111"/>
      <c r="K369" s="112"/>
      <c r="M369" s="84"/>
      <c r="N369" s="84"/>
      <c r="O369" s="84"/>
      <c r="P369" s="84"/>
      <c r="Q369" s="84"/>
    </row>
    <row r="370" spans="2:17">
      <c r="B370" s="108"/>
      <c r="C370" s="109"/>
      <c r="D370" s="109"/>
      <c r="E370" s="109"/>
      <c r="F370" s="109"/>
      <c r="G370" s="110"/>
      <c r="H370" s="109"/>
      <c r="I370" s="109"/>
      <c r="J370" s="111"/>
      <c r="K370" s="112"/>
      <c r="M370" s="84"/>
      <c r="N370" s="84"/>
      <c r="O370" s="84"/>
      <c r="P370" s="84"/>
      <c r="Q370" s="84"/>
    </row>
    <row r="371" spans="2:17">
      <c r="B371" s="108"/>
      <c r="C371" s="109"/>
      <c r="D371" s="109"/>
      <c r="E371" s="109"/>
      <c r="F371" s="109"/>
      <c r="G371" s="110"/>
      <c r="H371" s="109"/>
      <c r="I371" s="109"/>
      <c r="J371" s="111"/>
      <c r="K371" s="112"/>
      <c r="M371" s="84"/>
      <c r="N371" s="84"/>
      <c r="O371" s="84"/>
      <c r="P371" s="84"/>
      <c r="Q371" s="84"/>
    </row>
    <row r="372" spans="2:17">
      <c r="B372" s="108"/>
      <c r="C372" s="109"/>
      <c r="D372" s="109"/>
      <c r="E372" s="109"/>
      <c r="F372" s="109"/>
      <c r="G372" s="110"/>
      <c r="H372" s="109"/>
      <c r="I372" s="109"/>
      <c r="J372" s="111"/>
      <c r="K372" s="112"/>
      <c r="M372" s="84"/>
      <c r="N372" s="84"/>
      <c r="O372" s="84"/>
      <c r="P372" s="84"/>
      <c r="Q372" s="84"/>
    </row>
    <row r="373" spans="2:17">
      <c r="B373" s="108"/>
      <c r="C373" s="109"/>
      <c r="D373" s="109"/>
      <c r="E373" s="109"/>
      <c r="F373" s="109"/>
      <c r="G373" s="110"/>
      <c r="H373" s="109"/>
      <c r="I373" s="109"/>
      <c r="J373" s="111"/>
      <c r="K373" s="112"/>
      <c r="M373" s="84"/>
      <c r="N373" s="84"/>
      <c r="O373" s="84"/>
      <c r="P373" s="84"/>
      <c r="Q373" s="84"/>
    </row>
    <row r="374" spans="2:17">
      <c r="B374" s="108"/>
      <c r="C374" s="109"/>
      <c r="D374" s="109"/>
      <c r="E374" s="109"/>
      <c r="F374" s="109"/>
      <c r="G374" s="110"/>
      <c r="H374" s="109"/>
      <c r="I374" s="109"/>
      <c r="J374" s="111"/>
      <c r="K374" s="112"/>
      <c r="M374" s="84"/>
      <c r="N374" s="84"/>
      <c r="O374" s="84"/>
      <c r="P374" s="84"/>
      <c r="Q374" s="84"/>
    </row>
    <row r="375" spans="2:17">
      <c r="B375" s="108"/>
      <c r="C375" s="109"/>
      <c r="D375" s="109"/>
      <c r="E375" s="109"/>
      <c r="F375" s="109"/>
      <c r="G375" s="110"/>
      <c r="H375" s="109"/>
      <c r="I375" s="109"/>
      <c r="J375" s="111"/>
      <c r="K375" s="112"/>
      <c r="M375" s="84"/>
      <c r="N375" s="84"/>
      <c r="O375" s="84"/>
      <c r="P375" s="84"/>
      <c r="Q375" s="84"/>
    </row>
    <row r="376" spans="2:17">
      <c r="B376" s="108"/>
      <c r="C376" s="109"/>
      <c r="D376" s="109"/>
      <c r="E376" s="109"/>
      <c r="F376" s="109"/>
      <c r="G376" s="110"/>
      <c r="H376" s="109"/>
      <c r="I376" s="109"/>
      <c r="J376" s="111"/>
      <c r="K376" s="112"/>
      <c r="M376" s="84"/>
      <c r="N376" s="84"/>
      <c r="O376" s="84"/>
      <c r="P376" s="84"/>
      <c r="Q376" s="84"/>
    </row>
    <row r="377" spans="2:17">
      <c r="B377" s="108"/>
      <c r="C377" s="109"/>
      <c r="D377" s="109"/>
      <c r="E377" s="109"/>
      <c r="F377" s="109"/>
      <c r="G377" s="110"/>
      <c r="H377" s="109"/>
      <c r="I377" s="109"/>
      <c r="J377" s="111"/>
      <c r="K377" s="112"/>
      <c r="M377" s="84"/>
      <c r="N377" s="84"/>
      <c r="O377" s="84"/>
      <c r="P377" s="84"/>
      <c r="Q377" s="84"/>
    </row>
    <row r="378" spans="2:17">
      <c r="B378" s="108"/>
      <c r="C378" s="109"/>
      <c r="D378" s="109"/>
      <c r="E378" s="109"/>
      <c r="F378" s="109"/>
      <c r="G378" s="110"/>
      <c r="H378" s="109"/>
      <c r="I378" s="109"/>
      <c r="J378" s="111"/>
      <c r="K378" s="112"/>
      <c r="M378" s="84"/>
      <c r="N378" s="84"/>
      <c r="O378" s="84"/>
      <c r="P378" s="84"/>
      <c r="Q378" s="84"/>
    </row>
    <row r="379" spans="2:17">
      <c r="B379" s="108"/>
      <c r="C379" s="109"/>
      <c r="D379" s="109"/>
      <c r="E379" s="109"/>
      <c r="F379" s="109"/>
      <c r="G379" s="110"/>
      <c r="H379" s="109"/>
      <c r="I379" s="109"/>
      <c r="J379" s="111"/>
      <c r="K379" s="112"/>
      <c r="M379" s="84"/>
      <c r="N379" s="84"/>
      <c r="O379" s="84"/>
      <c r="P379" s="84"/>
      <c r="Q379" s="84"/>
    </row>
    <row r="380" spans="2:17">
      <c r="B380" s="108"/>
      <c r="C380" s="109"/>
      <c r="D380" s="109"/>
      <c r="E380" s="109"/>
      <c r="F380" s="109"/>
      <c r="G380" s="110"/>
      <c r="H380" s="109"/>
      <c r="I380" s="109"/>
      <c r="J380" s="111"/>
      <c r="K380" s="112"/>
      <c r="M380" s="84"/>
      <c r="N380" s="84"/>
      <c r="O380" s="84"/>
      <c r="P380" s="84"/>
      <c r="Q380" s="84"/>
    </row>
    <row r="381" spans="2:17">
      <c r="B381" s="108"/>
      <c r="C381" s="109"/>
      <c r="D381" s="109"/>
      <c r="E381" s="109"/>
      <c r="F381" s="109"/>
      <c r="G381" s="110"/>
      <c r="H381" s="109"/>
      <c r="I381" s="109"/>
      <c r="J381" s="111"/>
      <c r="K381" s="112"/>
      <c r="M381" s="84"/>
      <c r="N381" s="84"/>
      <c r="O381" s="84"/>
      <c r="P381" s="84"/>
      <c r="Q381" s="84"/>
    </row>
    <row r="382" spans="2:17">
      <c r="B382" s="108"/>
      <c r="C382" s="109"/>
      <c r="D382" s="109"/>
      <c r="E382" s="109"/>
      <c r="F382" s="109"/>
      <c r="G382" s="110"/>
      <c r="H382" s="109"/>
      <c r="I382" s="109"/>
      <c r="J382" s="111"/>
      <c r="K382" s="112"/>
      <c r="M382" s="84"/>
      <c r="N382" s="84"/>
      <c r="O382" s="84"/>
      <c r="P382" s="84"/>
      <c r="Q382" s="84"/>
    </row>
    <row r="383" spans="2:17">
      <c r="B383" s="108"/>
      <c r="C383" s="109"/>
      <c r="D383" s="109"/>
      <c r="E383" s="109"/>
      <c r="F383" s="109"/>
      <c r="G383" s="110"/>
      <c r="H383" s="109"/>
      <c r="I383" s="109"/>
      <c r="J383" s="111"/>
      <c r="K383" s="112"/>
      <c r="M383" s="84"/>
      <c r="N383" s="84"/>
      <c r="O383" s="84"/>
      <c r="P383" s="84"/>
      <c r="Q383" s="84"/>
    </row>
    <row r="384" spans="2:17">
      <c r="B384" s="108"/>
      <c r="C384" s="109"/>
      <c r="D384" s="109"/>
      <c r="E384" s="109"/>
      <c r="F384" s="109"/>
      <c r="G384" s="110"/>
      <c r="H384" s="109"/>
      <c r="I384" s="109"/>
      <c r="J384" s="111"/>
      <c r="K384" s="112"/>
      <c r="M384" s="84"/>
      <c r="N384" s="84"/>
      <c r="O384" s="84"/>
      <c r="P384" s="84"/>
      <c r="Q384" s="84"/>
    </row>
    <row r="385" spans="2:17">
      <c r="B385" s="108"/>
      <c r="C385" s="109"/>
      <c r="D385" s="109"/>
      <c r="E385" s="109"/>
      <c r="F385" s="109"/>
      <c r="G385" s="110"/>
      <c r="H385" s="109"/>
      <c r="I385" s="109"/>
      <c r="J385" s="111"/>
      <c r="K385" s="112"/>
      <c r="M385" s="84"/>
      <c r="N385" s="84"/>
      <c r="O385" s="84"/>
      <c r="P385" s="84"/>
      <c r="Q385" s="84"/>
    </row>
    <row r="386" spans="2:17">
      <c r="B386" s="108"/>
      <c r="C386" s="109"/>
      <c r="D386" s="109"/>
      <c r="E386" s="109"/>
      <c r="F386" s="109"/>
      <c r="G386" s="110"/>
      <c r="H386" s="109"/>
      <c r="I386" s="109"/>
      <c r="J386" s="111"/>
      <c r="K386" s="112"/>
      <c r="M386" s="84"/>
      <c r="N386" s="84"/>
      <c r="O386" s="84"/>
      <c r="P386" s="84"/>
      <c r="Q386" s="84"/>
    </row>
    <row r="387" spans="2:17">
      <c r="B387" s="108"/>
      <c r="C387" s="109"/>
      <c r="D387" s="109"/>
      <c r="E387" s="109"/>
      <c r="F387" s="109"/>
      <c r="G387" s="110"/>
      <c r="H387" s="109"/>
      <c r="I387" s="109"/>
      <c r="J387" s="111"/>
      <c r="K387" s="112"/>
      <c r="M387" s="84"/>
      <c r="N387" s="84"/>
      <c r="O387" s="84"/>
      <c r="P387" s="84"/>
      <c r="Q387" s="84"/>
    </row>
    <row r="388" spans="2:17">
      <c r="B388" s="108"/>
      <c r="C388" s="109"/>
      <c r="D388" s="109"/>
      <c r="E388" s="109"/>
      <c r="F388" s="109"/>
      <c r="G388" s="110"/>
      <c r="H388" s="109"/>
      <c r="I388" s="109"/>
      <c r="J388" s="111"/>
      <c r="K388" s="112"/>
      <c r="M388" s="84"/>
      <c r="N388" s="84"/>
      <c r="O388" s="84"/>
      <c r="P388" s="84"/>
      <c r="Q388" s="84"/>
    </row>
    <row r="389" spans="2:17">
      <c r="B389" s="108"/>
      <c r="C389" s="109"/>
      <c r="D389" s="109"/>
      <c r="E389" s="109"/>
      <c r="F389" s="109"/>
      <c r="G389" s="110"/>
      <c r="H389" s="109"/>
      <c r="I389" s="109"/>
      <c r="J389" s="111"/>
      <c r="K389" s="112"/>
      <c r="M389" s="84"/>
      <c r="N389" s="84"/>
      <c r="O389" s="84"/>
      <c r="P389" s="84"/>
      <c r="Q389" s="84"/>
    </row>
    <row r="390" spans="2:17">
      <c r="B390" s="108"/>
      <c r="C390" s="109"/>
      <c r="D390" s="109"/>
      <c r="E390" s="109"/>
      <c r="F390" s="109"/>
      <c r="G390" s="110"/>
      <c r="H390" s="109"/>
      <c r="I390" s="109"/>
      <c r="J390" s="111"/>
      <c r="K390" s="112"/>
      <c r="M390" s="84"/>
      <c r="N390" s="84"/>
      <c r="O390" s="84"/>
      <c r="P390" s="84"/>
      <c r="Q390" s="84"/>
    </row>
    <row r="391" spans="2:17">
      <c r="B391" s="108"/>
      <c r="C391" s="109"/>
      <c r="D391" s="109"/>
      <c r="E391" s="109"/>
      <c r="F391" s="109"/>
      <c r="G391" s="110"/>
      <c r="H391" s="109"/>
      <c r="I391" s="109"/>
      <c r="J391" s="111"/>
      <c r="K391" s="112"/>
      <c r="M391" s="84"/>
      <c r="N391" s="84"/>
      <c r="O391" s="84"/>
      <c r="P391" s="84"/>
      <c r="Q391" s="84"/>
    </row>
    <row r="392" spans="2:17">
      <c r="B392" s="108"/>
      <c r="C392" s="109"/>
      <c r="D392" s="109"/>
      <c r="E392" s="109"/>
      <c r="F392" s="109"/>
      <c r="G392" s="110"/>
      <c r="H392" s="109"/>
      <c r="I392" s="109"/>
      <c r="J392" s="111"/>
      <c r="K392" s="112"/>
      <c r="M392" s="84"/>
      <c r="N392" s="84"/>
      <c r="O392" s="84"/>
      <c r="P392" s="84"/>
      <c r="Q392" s="84"/>
    </row>
    <row r="393" spans="2:17">
      <c r="B393" s="108"/>
      <c r="C393" s="109"/>
      <c r="D393" s="109"/>
      <c r="E393" s="109"/>
      <c r="F393" s="109"/>
      <c r="G393" s="110"/>
      <c r="H393" s="109"/>
      <c r="I393" s="109"/>
      <c r="J393" s="111"/>
      <c r="K393" s="112"/>
      <c r="M393" s="84"/>
      <c r="N393" s="84"/>
      <c r="O393" s="84"/>
      <c r="P393" s="84"/>
      <c r="Q393" s="84"/>
    </row>
    <row r="394" spans="2:17">
      <c r="B394" s="108"/>
      <c r="C394" s="109"/>
      <c r="D394" s="109"/>
      <c r="E394" s="109"/>
      <c r="F394" s="109"/>
      <c r="G394" s="110"/>
      <c r="H394" s="109"/>
      <c r="I394" s="109"/>
      <c r="J394" s="111"/>
      <c r="K394" s="112"/>
      <c r="M394" s="84"/>
      <c r="N394" s="84"/>
      <c r="O394" s="84"/>
      <c r="P394" s="84"/>
      <c r="Q394" s="84"/>
    </row>
    <row r="395" spans="2:17">
      <c r="B395" s="108"/>
      <c r="C395" s="109"/>
      <c r="D395" s="109"/>
      <c r="E395" s="109"/>
      <c r="F395" s="109"/>
      <c r="G395" s="110"/>
      <c r="H395" s="109"/>
      <c r="I395" s="109"/>
      <c r="J395" s="111"/>
      <c r="K395" s="112"/>
      <c r="M395" s="84"/>
      <c r="N395" s="84"/>
      <c r="O395" s="84"/>
      <c r="P395" s="84"/>
      <c r="Q395" s="84"/>
    </row>
    <row r="396" spans="2:17">
      <c r="B396" s="108"/>
      <c r="C396" s="109"/>
      <c r="D396" s="109"/>
      <c r="E396" s="109"/>
      <c r="F396" s="109"/>
      <c r="G396" s="110"/>
      <c r="H396" s="109"/>
      <c r="I396" s="109"/>
      <c r="J396" s="111"/>
      <c r="K396" s="112"/>
      <c r="M396" s="84"/>
      <c r="N396" s="84"/>
      <c r="O396" s="84"/>
      <c r="P396" s="84"/>
      <c r="Q396" s="84"/>
    </row>
    <row r="397" spans="2:17">
      <c r="B397" s="108"/>
      <c r="C397" s="109"/>
      <c r="D397" s="109"/>
      <c r="E397" s="109"/>
      <c r="F397" s="109"/>
      <c r="G397" s="110"/>
      <c r="H397" s="109"/>
      <c r="I397" s="109"/>
      <c r="J397" s="111"/>
      <c r="K397" s="112"/>
      <c r="M397" s="84"/>
      <c r="N397" s="84"/>
      <c r="O397" s="84"/>
      <c r="P397" s="84"/>
      <c r="Q397" s="84"/>
    </row>
    <row r="398" spans="2:17">
      <c r="B398" s="108"/>
      <c r="C398" s="109"/>
      <c r="D398" s="109"/>
      <c r="E398" s="109"/>
      <c r="F398" s="109"/>
      <c r="G398" s="110"/>
      <c r="H398" s="109"/>
      <c r="I398" s="109"/>
      <c r="J398" s="111"/>
      <c r="K398" s="112"/>
      <c r="M398" s="84"/>
      <c r="N398" s="84"/>
      <c r="O398" s="84"/>
      <c r="P398" s="84"/>
      <c r="Q398" s="84"/>
    </row>
    <row r="399" spans="2:17">
      <c r="B399" s="108"/>
      <c r="C399" s="109"/>
      <c r="D399" s="109"/>
      <c r="E399" s="109"/>
      <c r="F399" s="109"/>
      <c r="G399" s="110"/>
      <c r="H399" s="109"/>
      <c r="I399" s="109"/>
      <c r="J399" s="111"/>
      <c r="K399" s="112"/>
      <c r="M399" s="84"/>
      <c r="N399" s="84"/>
      <c r="O399" s="84"/>
      <c r="P399" s="84"/>
      <c r="Q399" s="84"/>
    </row>
    <row r="400" spans="2:17">
      <c r="B400" s="108"/>
      <c r="C400" s="109"/>
      <c r="D400" s="109"/>
      <c r="E400" s="109"/>
      <c r="F400" s="109"/>
      <c r="G400" s="110"/>
      <c r="H400" s="109"/>
      <c r="I400" s="109"/>
      <c r="J400" s="111"/>
      <c r="K400" s="112"/>
      <c r="M400" s="84"/>
      <c r="N400" s="84"/>
      <c r="O400" s="84"/>
      <c r="P400" s="84"/>
      <c r="Q400" s="84"/>
    </row>
    <row r="401" spans="2:17">
      <c r="B401" s="108"/>
      <c r="C401" s="109"/>
      <c r="D401" s="109"/>
      <c r="E401" s="109"/>
      <c r="F401" s="109"/>
      <c r="G401" s="110"/>
      <c r="H401" s="109"/>
      <c r="I401" s="109"/>
      <c r="J401" s="111"/>
      <c r="K401" s="112"/>
      <c r="M401" s="84"/>
      <c r="N401" s="84"/>
      <c r="O401" s="84"/>
      <c r="P401" s="84"/>
      <c r="Q401" s="84"/>
    </row>
    <row r="402" spans="2:17">
      <c r="B402" s="108"/>
      <c r="C402" s="109"/>
      <c r="D402" s="109"/>
      <c r="E402" s="109"/>
      <c r="F402" s="109"/>
      <c r="G402" s="110"/>
      <c r="H402" s="109"/>
      <c r="I402" s="109"/>
      <c r="J402" s="111"/>
      <c r="K402" s="112"/>
      <c r="M402" s="84"/>
      <c r="N402" s="84"/>
      <c r="O402" s="84"/>
      <c r="P402" s="84"/>
      <c r="Q402" s="84"/>
    </row>
    <row r="403" spans="2:17">
      <c r="B403" s="108"/>
      <c r="C403" s="109"/>
      <c r="D403" s="109"/>
      <c r="E403" s="109"/>
      <c r="F403" s="109"/>
      <c r="G403" s="110"/>
      <c r="H403" s="109"/>
      <c r="I403" s="109"/>
      <c r="J403" s="111"/>
      <c r="K403" s="112"/>
      <c r="M403" s="84"/>
      <c r="N403" s="84"/>
      <c r="O403" s="84"/>
      <c r="P403" s="84"/>
      <c r="Q403" s="84"/>
    </row>
    <row r="404" spans="2:17">
      <c r="B404" s="108"/>
      <c r="C404" s="109"/>
      <c r="D404" s="109"/>
      <c r="E404" s="109"/>
      <c r="F404" s="109"/>
      <c r="G404" s="110"/>
      <c r="H404" s="109"/>
      <c r="I404" s="109"/>
      <c r="J404" s="111"/>
      <c r="K404" s="112"/>
      <c r="M404" s="84"/>
      <c r="N404" s="84"/>
      <c r="O404" s="84"/>
      <c r="P404" s="84"/>
      <c r="Q404" s="84"/>
    </row>
    <row r="405" spans="2:17">
      <c r="B405" s="108"/>
      <c r="C405" s="109"/>
      <c r="D405" s="109"/>
      <c r="E405" s="109"/>
      <c r="F405" s="109"/>
      <c r="G405" s="110"/>
      <c r="H405" s="109"/>
      <c r="I405" s="109"/>
      <c r="J405" s="111"/>
      <c r="K405" s="112"/>
      <c r="M405" s="84"/>
      <c r="N405" s="84"/>
      <c r="O405" s="84"/>
      <c r="P405" s="84"/>
      <c r="Q405" s="84"/>
    </row>
    <row r="406" spans="2:17">
      <c r="B406" s="108"/>
      <c r="C406" s="109"/>
      <c r="D406" s="109"/>
      <c r="E406" s="109"/>
      <c r="F406" s="109"/>
      <c r="G406" s="110"/>
      <c r="H406" s="109"/>
      <c r="I406" s="109"/>
      <c r="J406" s="111"/>
      <c r="K406" s="112"/>
      <c r="M406" s="84"/>
      <c r="N406" s="84"/>
      <c r="O406" s="84"/>
      <c r="P406" s="84"/>
      <c r="Q406" s="84"/>
    </row>
    <row r="407" spans="2:17">
      <c r="B407" s="108"/>
      <c r="C407" s="109"/>
      <c r="D407" s="109"/>
      <c r="E407" s="109"/>
      <c r="F407" s="109"/>
      <c r="G407" s="110"/>
      <c r="H407" s="109"/>
      <c r="I407" s="109"/>
      <c r="J407" s="111"/>
      <c r="K407" s="112"/>
      <c r="M407" s="84"/>
      <c r="N407" s="84"/>
      <c r="O407" s="84"/>
      <c r="P407" s="84"/>
      <c r="Q407" s="84"/>
    </row>
    <row r="408" spans="2:17">
      <c r="B408" s="108"/>
      <c r="C408" s="109"/>
      <c r="D408" s="109"/>
      <c r="E408" s="109"/>
      <c r="F408" s="109"/>
      <c r="G408" s="110"/>
      <c r="H408" s="109"/>
      <c r="I408" s="109"/>
      <c r="J408" s="111"/>
      <c r="K408" s="112"/>
      <c r="M408" s="84"/>
      <c r="N408" s="84"/>
      <c r="O408" s="84"/>
      <c r="P408" s="84"/>
      <c r="Q408" s="84"/>
    </row>
    <row r="409" spans="2:17">
      <c r="B409" s="108"/>
      <c r="C409" s="109"/>
      <c r="D409" s="109"/>
      <c r="E409" s="109"/>
      <c r="F409" s="109"/>
      <c r="G409" s="110"/>
      <c r="H409" s="109"/>
      <c r="I409" s="109"/>
      <c r="J409" s="111"/>
      <c r="K409" s="112"/>
      <c r="M409" s="84"/>
      <c r="N409" s="84"/>
      <c r="O409" s="84"/>
      <c r="P409" s="84"/>
      <c r="Q409" s="84"/>
    </row>
    <row r="410" spans="2:17">
      <c r="B410" s="108"/>
      <c r="C410" s="109"/>
      <c r="D410" s="109"/>
      <c r="E410" s="109"/>
      <c r="F410" s="109"/>
      <c r="G410" s="110"/>
      <c r="H410" s="109"/>
      <c r="I410" s="109"/>
      <c r="J410" s="111"/>
      <c r="K410" s="112"/>
      <c r="M410" s="84"/>
      <c r="N410" s="84"/>
      <c r="O410" s="84"/>
      <c r="P410" s="84"/>
      <c r="Q410" s="84"/>
    </row>
    <row r="411" spans="2:17">
      <c r="B411" s="108"/>
      <c r="C411" s="109"/>
      <c r="D411" s="109"/>
      <c r="E411" s="109"/>
      <c r="F411" s="109"/>
      <c r="G411" s="110"/>
      <c r="H411" s="109"/>
      <c r="I411" s="109"/>
      <c r="J411" s="111"/>
      <c r="K411" s="112"/>
      <c r="M411" s="84"/>
      <c r="N411" s="84"/>
      <c r="O411" s="84"/>
      <c r="P411" s="84"/>
      <c r="Q411" s="84"/>
    </row>
    <row r="412" spans="2:17">
      <c r="B412" s="108"/>
      <c r="C412" s="109"/>
      <c r="D412" s="109"/>
      <c r="E412" s="109"/>
      <c r="F412" s="109"/>
      <c r="G412" s="110"/>
      <c r="H412" s="109"/>
      <c r="I412" s="109"/>
      <c r="J412" s="111"/>
      <c r="K412" s="112"/>
      <c r="M412" s="84"/>
      <c r="N412" s="84"/>
      <c r="O412" s="84"/>
      <c r="P412" s="84"/>
      <c r="Q412" s="84"/>
    </row>
    <row r="413" spans="2:17">
      <c r="B413" s="108"/>
      <c r="C413" s="109"/>
      <c r="D413" s="109"/>
      <c r="E413" s="109"/>
      <c r="F413" s="109"/>
      <c r="G413" s="110"/>
      <c r="H413" s="109"/>
      <c r="I413" s="109"/>
      <c r="J413" s="111"/>
      <c r="K413" s="112"/>
      <c r="M413" s="84"/>
      <c r="N413" s="84"/>
      <c r="O413" s="84"/>
      <c r="P413" s="84"/>
      <c r="Q413" s="84"/>
    </row>
    <row r="414" spans="2:17">
      <c r="B414" s="108"/>
      <c r="C414" s="109"/>
      <c r="D414" s="109"/>
      <c r="E414" s="109"/>
      <c r="F414" s="109"/>
      <c r="G414" s="110"/>
      <c r="H414" s="109"/>
      <c r="I414" s="109"/>
      <c r="J414" s="111"/>
      <c r="K414" s="112"/>
      <c r="M414" s="84"/>
      <c r="N414" s="84"/>
      <c r="O414" s="84"/>
      <c r="P414" s="84"/>
      <c r="Q414" s="84"/>
    </row>
    <row r="415" spans="2:17">
      <c r="B415" s="108"/>
      <c r="C415" s="109"/>
      <c r="D415" s="109"/>
      <c r="E415" s="109"/>
      <c r="F415" s="109"/>
      <c r="G415" s="110"/>
      <c r="H415" s="109"/>
      <c r="I415" s="109"/>
      <c r="J415" s="111"/>
      <c r="K415" s="112"/>
      <c r="M415" s="84"/>
      <c r="N415" s="84"/>
      <c r="O415" s="84"/>
      <c r="P415" s="84"/>
      <c r="Q415" s="84"/>
    </row>
    <row r="416" spans="2:17">
      <c r="B416" s="108"/>
      <c r="C416" s="109"/>
      <c r="D416" s="109"/>
      <c r="E416" s="109"/>
      <c r="F416" s="109"/>
      <c r="G416" s="110"/>
      <c r="H416" s="109"/>
      <c r="I416" s="109"/>
      <c r="J416" s="111"/>
      <c r="K416" s="112"/>
      <c r="M416" s="84"/>
      <c r="N416" s="84"/>
      <c r="O416" s="84"/>
      <c r="P416" s="84"/>
      <c r="Q416" s="84"/>
    </row>
    <row r="417" spans="2:17">
      <c r="B417" s="108"/>
      <c r="C417" s="109"/>
      <c r="D417" s="109"/>
      <c r="E417" s="109"/>
      <c r="F417" s="109"/>
      <c r="G417" s="110"/>
      <c r="H417" s="109"/>
      <c r="I417" s="109"/>
      <c r="J417" s="111"/>
      <c r="K417" s="112"/>
      <c r="M417" s="84"/>
      <c r="N417" s="84"/>
      <c r="O417" s="84"/>
      <c r="P417" s="84"/>
      <c r="Q417" s="84"/>
    </row>
    <row r="418" spans="2:17">
      <c r="B418" s="108"/>
      <c r="C418" s="109"/>
      <c r="D418" s="109"/>
      <c r="E418" s="109"/>
      <c r="F418" s="109"/>
      <c r="G418" s="110"/>
      <c r="H418" s="109"/>
      <c r="I418" s="109"/>
      <c r="J418" s="111"/>
      <c r="K418" s="112"/>
      <c r="M418" s="84"/>
      <c r="N418" s="84"/>
      <c r="O418" s="84"/>
      <c r="P418" s="84"/>
      <c r="Q418" s="84"/>
    </row>
    <row r="419" spans="2:17">
      <c r="B419" s="108"/>
      <c r="C419" s="109"/>
      <c r="D419" s="109"/>
      <c r="E419" s="109"/>
      <c r="F419" s="109"/>
      <c r="G419" s="110"/>
      <c r="H419" s="109"/>
      <c r="I419" s="109"/>
      <c r="J419" s="111"/>
      <c r="K419" s="112"/>
      <c r="M419" s="84"/>
      <c r="N419" s="84"/>
      <c r="O419" s="84"/>
      <c r="P419" s="84"/>
      <c r="Q419" s="84"/>
    </row>
    <row r="420" spans="2:17">
      <c r="B420" s="108"/>
      <c r="C420" s="109"/>
      <c r="D420" s="109"/>
      <c r="E420" s="109"/>
      <c r="F420" s="109"/>
      <c r="G420" s="110"/>
      <c r="H420" s="109"/>
      <c r="I420" s="109"/>
      <c r="J420" s="111"/>
      <c r="K420" s="112"/>
      <c r="M420" s="84"/>
      <c r="N420" s="84"/>
      <c r="O420" s="84"/>
      <c r="P420" s="84"/>
      <c r="Q420" s="84"/>
    </row>
    <row r="421" spans="2:17">
      <c r="B421" s="108"/>
      <c r="C421" s="109"/>
      <c r="D421" s="109"/>
      <c r="E421" s="109"/>
      <c r="F421" s="109"/>
      <c r="G421" s="110"/>
      <c r="H421" s="109"/>
      <c r="I421" s="109"/>
      <c r="J421" s="111"/>
      <c r="K421" s="112"/>
      <c r="M421" s="84"/>
      <c r="N421" s="84"/>
      <c r="O421" s="84"/>
      <c r="P421" s="84"/>
      <c r="Q421" s="84"/>
    </row>
    <row r="422" spans="2:17">
      <c r="B422" s="108"/>
      <c r="C422" s="109"/>
      <c r="D422" s="109"/>
      <c r="E422" s="109"/>
      <c r="F422" s="109"/>
      <c r="G422" s="110"/>
      <c r="H422" s="109"/>
      <c r="I422" s="109"/>
      <c r="J422" s="111"/>
      <c r="K422" s="112"/>
      <c r="M422" s="84"/>
      <c r="N422" s="84"/>
      <c r="O422" s="84"/>
      <c r="P422" s="84"/>
      <c r="Q422" s="84"/>
    </row>
    <row r="423" spans="2:17">
      <c r="B423" s="108"/>
      <c r="C423" s="109"/>
      <c r="D423" s="109"/>
      <c r="E423" s="109"/>
      <c r="F423" s="109"/>
      <c r="G423" s="110"/>
      <c r="H423" s="109"/>
      <c r="I423" s="109"/>
      <c r="J423" s="111"/>
      <c r="K423" s="112"/>
      <c r="M423" s="84"/>
      <c r="N423" s="84"/>
      <c r="O423" s="84"/>
      <c r="P423" s="84"/>
      <c r="Q423" s="84"/>
    </row>
    <row r="424" spans="2:17">
      <c r="B424" s="108"/>
      <c r="C424" s="109"/>
      <c r="D424" s="109"/>
      <c r="E424" s="109"/>
      <c r="F424" s="109"/>
      <c r="G424" s="110"/>
      <c r="H424" s="109"/>
      <c r="I424" s="109"/>
      <c r="J424" s="111"/>
      <c r="K424" s="112"/>
      <c r="M424" s="84"/>
      <c r="N424" s="84"/>
      <c r="O424" s="84"/>
      <c r="P424" s="84"/>
      <c r="Q424" s="84"/>
    </row>
    <row r="425" spans="2:17">
      <c r="B425" s="108"/>
      <c r="C425" s="109"/>
      <c r="D425" s="109"/>
      <c r="E425" s="109"/>
      <c r="F425" s="109"/>
      <c r="G425" s="110"/>
      <c r="H425" s="109"/>
      <c r="I425" s="109"/>
      <c r="J425" s="111"/>
      <c r="K425" s="112"/>
      <c r="M425" s="84"/>
      <c r="N425" s="84"/>
      <c r="O425" s="84"/>
      <c r="P425" s="84"/>
      <c r="Q425" s="84"/>
    </row>
    <row r="426" spans="2:17">
      <c r="B426" s="108"/>
      <c r="C426" s="109"/>
      <c r="D426" s="109"/>
      <c r="E426" s="109"/>
      <c r="F426" s="109"/>
      <c r="G426" s="110"/>
      <c r="H426" s="109"/>
      <c r="I426" s="109"/>
      <c r="J426" s="111"/>
      <c r="K426" s="112"/>
      <c r="M426" s="84"/>
      <c r="N426" s="84"/>
      <c r="O426" s="84"/>
      <c r="P426" s="84"/>
      <c r="Q426" s="84"/>
    </row>
    <row r="427" spans="2:17">
      <c r="B427" s="108"/>
      <c r="C427" s="109"/>
      <c r="D427" s="109"/>
      <c r="E427" s="109"/>
      <c r="F427" s="109"/>
      <c r="G427" s="110"/>
      <c r="H427" s="109"/>
      <c r="I427" s="109"/>
      <c r="J427" s="111"/>
      <c r="K427" s="112"/>
      <c r="M427" s="84"/>
      <c r="N427" s="84"/>
      <c r="O427" s="84"/>
      <c r="P427" s="84"/>
      <c r="Q427" s="84"/>
    </row>
    <row r="428" spans="2:17">
      <c r="B428" s="108"/>
      <c r="C428" s="109"/>
      <c r="D428" s="109"/>
      <c r="E428" s="109"/>
      <c r="F428" s="109"/>
      <c r="G428" s="110"/>
      <c r="H428" s="109"/>
      <c r="I428" s="109"/>
      <c r="J428" s="111"/>
      <c r="K428" s="112"/>
      <c r="M428" s="84"/>
      <c r="N428" s="84"/>
      <c r="O428" s="84"/>
      <c r="P428" s="84"/>
      <c r="Q428" s="84"/>
    </row>
    <row r="429" spans="2:17">
      <c r="B429" s="108"/>
      <c r="C429" s="109"/>
      <c r="D429" s="109"/>
      <c r="E429" s="109"/>
      <c r="F429" s="109"/>
      <c r="G429" s="110"/>
      <c r="H429" s="109"/>
      <c r="I429" s="109"/>
      <c r="J429" s="111"/>
      <c r="K429" s="112"/>
      <c r="M429" s="84"/>
      <c r="N429" s="84"/>
      <c r="O429" s="84"/>
      <c r="P429" s="84"/>
      <c r="Q429" s="84"/>
    </row>
    <row r="430" spans="2:17">
      <c r="B430" s="108"/>
      <c r="C430" s="109"/>
      <c r="D430" s="109"/>
      <c r="E430" s="109"/>
      <c r="F430" s="109"/>
      <c r="G430" s="110"/>
      <c r="H430" s="109"/>
      <c r="I430" s="109"/>
      <c r="J430" s="111"/>
      <c r="K430" s="112"/>
      <c r="M430" s="84"/>
      <c r="N430" s="84"/>
      <c r="O430" s="84"/>
      <c r="P430" s="84"/>
      <c r="Q430" s="84"/>
    </row>
    <row r="431" spans="2:17">
      <c r="B431" s="108"/>
      <c r="C431" s="109"/>
      <c r="D431" s="109"/>
      <c r="E431" s="109"/>
      <c r="F431" s="109"/>
      <c r="G431" s="110"/>
      <c r="H431" s="109"/>
      <c r="I431" s="109"/>
      <c r="J431" s="111"/>
      <c r="K431" s="112"/>
      <c r="M431" s="84"/>
      <c r="N431" s="84"/>
      <c r="O431" s="84"/>
      <c r="P431" s="84"/>
      <c r="Q431" s="84"/>
    </row>
    <row r="432" spans="2:17">
      <c r="B432" s="108"/>
      <c r="C432" s="109"/>
      <c r="D432" s="109"/>
      <c r="E432" s="109"/>
      <c r="F432" s="109"/>
      <c r="G432" s="110"/>
      <c r="H432" s="109"/>
      <c r="I432" s="109"/>
      <c r="J432" s="111"/>
      <c r="K432" s="112"/>
      <c r="M432" s="84"/>
      <c r="N432" s="84"/>
      <c r="O432" s="84"/>
      <c r="P432" s="84"/>
      <c r="Q432" s="84"/>
    </row>
    <row r="433" spans="2:17">
      <c r="B433" s="108"/>
      <c r="C433" s="109"/>
      <c r="D433" s="109"/>
      <c r="E433" s="109"/>
      <c r="F433" s="109"/>
      <c r="G433" s="110"/>
      <c r="H433" s="109"/>
      <c r="I433" s="109"/>
      <c r="J433" s="111"/>
      <c r="K433" s="112"/>
      <c r="M433" s="84"/>
      <c r="N433" s="84"/>
      <c r="O433" s="84"/>
      <c r="P433" s="84"/>
      <c r="Q433" s="84"/>
    </row>
    <row r="434" spans="2:17">
      <c r="B434" s="108"/>
      <c r="C434" s="109"/>
      <c r="D434" s="109"/>
      <c r="E434" s="109"/>
      <c r="F434" s="109"/>
      <c r="G434" s="110"/>
      <c r="H434" s="109"/>
      <c r="I434" s="109"/>
      <c r="J434" s="111"/>
      <c r="K434" s="112"/>
      <c r="M434" s="84"/>
      <c r="N434" s="84"/>
      <c r="O434" s="84"/>
      <c r="P434" s="84"/>
      <c r="Q434" s="84"/>
    </row>
    <row r="435" spans="2:17">
      <c r="B435" s="108"/>
      <c r="C435" s="109"/>
      <c r="D435" s="109"/>
      <c r="E435" s="109"/>
      <c r="F435" s="109"/>
      <c r="G435" s="110"/>
      <c r="H435" s="109"/>
      <c r="I435" s="109"/>
      <c r="J435" s="111"/>
      <c r="K435" s="112"/>
      <c r="M435" s="84"/>
      <c r="N435" s="84"/>
      <c r="O435" s="84"/>
      <c r="P435" s="84"/>
      <c r="Q435" s="84"/>
    </row>
    <row r="436" spans="2:17">
      <c r="B436" s="108"/>
      <c r="C436" s="109"/>
      <c r="D436" s="109"/>
      <c r="E436" s="109"/>
      <c r="F436" s="109"/>
      <c r="G436" s="110"/>
      <c r="H436" s="109"/>
      <c r="I436" s="109"/>
      <c r="J436" s="111"/>
      <c r="K436" s="112"/>
      <c r="M436" s="84"/>
      <c r="N436" s="84"/>
      <c r="O436" s="84"/>
      <c r="P436" s="84"/>
      <c r="Q436" s="84"/>
    </row>
    <row r="437" spans="2:17">
      <c r="B437" s="108"/>
      <c r="C437" s="109"/>
      <c r="D437" s="109"/>
      <c r="E437" s="109"/>
      <c r="F437" s="109"/>
      <c r="G437" s="110"/>
      <c r="H437" s="109"/>
      <c r="I437" s="109"/>
      <c r="J437" s="111"/>
      <c r="K437" s="112"/>
      <c r="M437" s="84"/>
      <c r="N437" s="84"/>
      <c r="O437" s="84"/>
      <c r="P437" s="84"/>
      <c r="Q437" s="84"/>
    </row>
    <row r="438" spans="2:17">
      <c r="B438" s="108"/>
      <c r="C438" s="109"/>
      <c r="D438" s="109"/>
      <c r="E438" s="109"/>
      <c r="F438" s="109"/>
      <c r="G438" s="110"/>
      <c r="H438" s="109"/>
      <c r="I438" s="109"/>
      <c r="J438" s="111"/>
      <c r="K438" s="112"/>
      <c r="M438" s="84"/>
      <c r="N438" s="84"/>
      <c r="O438" s="84"/>
      <c r="P438" s="84"/>
      <c r="Q438" s="84"/>
    </row>
    <row r="439" spans="2:17">
      <c r="B439" s="108"/>
      <c r="C439" s="109"/>
      <c r="D439" s="109"/>
      <c r="E439" s="109"/>
      <c r="F439" s="109"/>
      <c r="G439" s="110"/>
      <c r="H439" s="109"/>
      <c r="I439" s="109"/>
      <c r="J439" s="111"/>
      <c r="K439" s="112"/>
      <c r="M439" s="84"/>
      <c r="N439" s="84"/>
      <c r="O439" s="84"/>
      <c r="P439" s="84"/>
      <c r="Q439" s="84"/>
    </row>
    <row r="440" spans="2:17">
      <c r="B440" s="108"/>
      <c r="C440" s="109"/>
      <c r="D440" s="109"/>
      <c r="E440" s="109"/>
      <c r="F440" s="109"/>
      <c r="G440" s="110"/>
      <c r="H440" s="109"/>
      <c r="I440" s="109"/>
      <c r="J440" s="111"/>
      <c r="K440" s="112"/>
      <c r="M440" s="84"/>
      <c r="N440" s="84"/>
      <c r="O440" s="84"/>
      <c r="P440" s="84"/>
      <c r="Q440" s="84"/>
    </row>
    <row r="441" spans="2:17">
      <c r="B441" s="108"/>
      <c r="C441" s="109"/>
      <c r="D441" s="109"/>
      <c r="E441" s="109"/>
      <c r="F441" s="109"/>
      <c r="G441" s="110"/>
      <c r="H441" s="109"/>
      <c r="I441" s="109"/>
      <c r="J441" s="111"/>
      <c r="K441" s="112"/>
      <c r="M441" s="84"/>
      <c r="N441" s="84"/>
      <c r="O441" s="84"/>
      <c r="P441" s="84"/>
      <c r="Q441" s="84"/>
    </row>
    <row r="442" spans="2:17">
      <c r="B442" s="108"/>
      <c r="C442" s="109"/>
      <c r="D442" s="109"/>
      <c r="E442" s="109"/>
      <c r="F442" s="109"/>
      <c r="G442" s="110"/>
      <c r="H442" s="109"/>
      <c r="I442" s="109"/>
      <c r="J442" s="111"/>
      <c r="K442" s="112"/>
      <c r="M442" s="84"/>
      <c r="N442" s="84"/>
      <c r="O442" s="84"/>
      <c r="P442" s="84"/>
      <c r="Q442" s="84"/>
    </row>
    <row r="443" spans="2:17">
      <c r="B443" s="108"/>
      <c r="C443" s="109"/>
      <c r="D443" s="109"/>
      <c r="E443" s="109"/>
      <c r="F443" s="109"/>
      <c r="G443" s="110"/>
      <c r="H443" s="109"/>
      <c r="I443" s="109"/>
      <c r="J443" s="111"/>
      <c r="K443" s="112"/>
      <c r="M443" s="84"/>
      <c r="N443" s="84"/>
      <c r="O443" s="84"/>
      <c r="P443" s="84"/>
      <c r="Q443" s="84"/>
    </row>
    <row r="444" spans="2:17">
      <c r="B444" s="108"/>
      <c r="C444" s="109"/>
      <c r="D444" s="109"/>
      <c r="E444" s="109"/>
      <c r="F444" s="109"/>
      <c r="G444" s="110"/>
      <c r="H444" s="109"/>
      <c r="I444" s="109"/>
      <c r="J444" s="111"/>
      <c r="K444" s="112"/>
      <c r="M444" s="84"/>
      <c r="N444" s="84"/>
      <c r="O444" s="84"/>
      <c r="P444" s="84"/>
      <c r="Q444" s="84"/>
    </row>
    <row r="445" spans="2:17">
      <c r="B445" s="108"/>
      <c r="C445" s="109"/>
      <c r="D445" s="109"/>
      <c r="E445" s="109"/>
      <c r="F445" s="109"/>
      <c r="G445" s="110"/>
      <c r="H445" s="109"/>
      <c r="I445" s="109"/>
      <c r="J445" s="111"/>
      <c r="K445" s="112"/>
      <c r="M445" s="84"/>
      <c r="N445" s="84"/>
      <c r="O445" s="84"/>
      <c r="P445" s="84"/>
      <c r="Q445" s="84"/>
    </row>
    <row r="446" spans="2:17">
      <c r="B446" s="108"/>
      <c r="C446" s="109"/>
      <c r="D446" s="109"/>
      <c r="E446" s="109"/>
      <c r="F446" s="109"/>
      <c r="G446" s="110"/>
      <c r="H446" s="109"/>
      <c r="I446" s="109"/>
      <c r="J446" s="111"/>
      <c r="K446" s="112"/>
      <c r="M446" s="84"/>
      <c r="N446" s="84"/>
      <c r="O446" s="84"/>
      <c r="P446" s="84"/>
      <c r="Q446" s="84"/>
    </row>
    <row r="447" spans="2:17">
      <c r="B447" s="108"/>
      <c r="C447" s="109"/>
      <c r="D447" s="109"/>
      <c r="E447" s="109"/>
      <c r="F447" s="109"/>
      <c r="G447" s="110"/>
      <c r="H447" s="109"/>
      <c r="I447" s="109"/>
      <c r="J447" s="111"/>
      <c r="K447" s="112"/>
      <c r="M447" s="84"/>
      <c r="N447" s="84"/>
      <c r="O447" s="84"/>
      <c r="P447" s="84"/>
      <c r="Q447" s="84"/>
    </row>
    <row r="448" spans="2:17">
      <c r="B448" s="108"/>
      <c r="C448" s="109"/>
      <c r="D448" s="109"/>
      <c r="E448" s="109"/>
      <c r="F448" s="109"/>
      <c r="G448" s="110"/>
      <c r="H448" s="109"/>
      <c r="I448" s="109"/>
      <c r="J448" s="111"/>
      <c r="K448" s="112"/>
      <c r="M448" s="84"/>
      <c r="N448" s="84"/>
      <c r="O448" s="84"/>
      <c r="P448" s="84"/>
      <c r="Q448" s="84"/>
    </row>
    <row r="449" spans="2:17">
      <c r="B449" s="108"/>
      <c r="C449" s="109"/>
      <c r="D449" s="109"/>
      <c r="E449" s="109"/>
      <c r="F449" s="109"/>
      <c r="G449" s="110"/>
      <c r="H449" s="109"/>
      <c r="I449" s="109"/>
      <c r="J449" s="111"/>
      <c r="K449" s="112"/>
      <c r="M449" s="84"/>
      <c r="N449" s="84"/>
      <c r="O449" s="84"/>
      <c r="P449" s="84"/>
      <c r="Q449" s="84"/>
    </row>
    <row r="450" spans="2:17">
      <c r="B450" s="108"/>
      <c r="C450" s="109"/>
      <c r="D450" s="109"/>
      <c r="E450" s="109"/>
      <c r="F450" s="109"/>
      <c r="G450" s="110"/>
      <c r="H450" s="109"/>
      <c r="I450" s="109"/>
      <c r="J450" s="111"/>
      <c r="K450" s="112"/>
      <c r="M450" s="84"/>
      <c r="N450" s="84"/>
      <c r="O450" s="84"/>
      <c r="P450" s="84"/>
      <c r="Q450" s="84"/>
    </row>
    <row r="451" spans="2:17">
      <c r="B451" s="108"/>
      <c r="C451" s="109"/>
      <c r="D451" s="109"/>
      <c r="E451" s="109"/>
      <c r="F451" s="109"/>
      <c r="G451" s="110"/>
      <c r="H451" s="109"/>
      <c r="I451" s="109"/>
      <c r="J451" s="111"/>
      <c r="K451" s="112"/>
      <c r="M451" s="84"/>
      <c r="N451" s="84"/>
      <c r="O451" s="84"/>
      <c r="P451" s="84"/>
      <c r="Q451" s="84"/>
    </row>
    <row r="452" spans="2:17">
      <c r="B452" s="108"/>
      <c r="C452" s="109"/>
      <c r="D452" s="109"/>
      <c r="E452" s="109"/>
      <c r="F452" s="109"/>
      <c r="G452" s="110"/>
      <c r="H452" s="109"/>
      <c r="I452" s="109"/>
      <c r="J452" s="111"/>
      <c r="K452" s="112"/>
      <c r="M452" s="84"/>
      <c r="N452" s="84"/>
      <c r="O452" s="84"/>
      <c r="P452" s="84"/>
      <c r="Q452" s="84"/>
    </row>
    <row r="453" spans="2:17">
      <c r="B453" s="108"/>
      <c r="C453" s="109"/>
      <c r="D453" s="109"/>
      <c r="E453" s="109"/>
      <c r="F453" s="109"/>
      <c r="G453" s="110"/>
      <c r="H453" s="109"/>
      <c r="I453" s="109"/>
      <c r="J453" s="111"/>
      <c r="K453" s="112"/>
      <c r="M453" s="84"/>
      <c r="N453" s="84"/>
      <c r="O453" s="84"/>
      <c r="P453" s="84"/>
      <c r="Q453" s="84"/>
    </row>
    <row r="454" spans="2:17">
      <c r="B454" s="108"/>
      <c r="C454" s="109"/>
      <c r="D454" s="109"/>
      <c r="E454" s="109"/>
      <c r="F454" s="109"/>
      <c r="G454" s="110"/>
      <c r="H454" s="109"/>
      <c r="I454" s="109"/>
      <c r="J454" s="111"/>
      <c r="K454" s="112"/>
      <c r="M454" s="84"/>
      <c r="N454" s="84"/>
      <c r="O454" s="84"/>
      <c r="P454" s="84"/>
      <c r="Q454" s="84"/>
    </row>
    <row r="455" spans="2:17">
      <c r="B455" s="108"/>
      <c r="C455" s="109"/>
      <c r="D455" s="109"/>
      <c r="E455" s="109"/>
      <c r="F455" s="109"/>
      <c r="G455" s="110"/>
      <c r="H455" s="109"/>
      <c r="I455" s="109"/>
      <c r="J455" s="111"/>
      <c r="K455" s="112"/>
      <c r="M455" s="84"/>
      <c r="N455" s="84"/>
      <c r="O455" s="84"/>
      <c r="P455" s="84"/>
      <c r="Q455" s="84"/>
    </row>
    <row r="456" spans="2:17">
      <c r="B456" s="108"/>
      <c r="C456" s="109"/>
      <c r="D456" s="109"/>
      <c r="E456" s="109"/>
      <c r="F456" s="109"/>
      <c r="G456" s="110"/>
      <c r="H456" s="109"/>
      <c r="I456" s="109"/>
      <c r="J456" s="111"/>
      <c r="K456" s="112"/>
      <c r="M456" s="84"/>
      <c r="N456" s="84"/>
      <c r="O456" s="84"/>
      <c r="P456" s="84"/>
      <c r="Q456" s="84"/>
    </row>
    <row r="457" spans="2:17">
      <c r="B457" s="108"/>
      <c r="C457" s="109"/>
      <c r="D457" s="109"/>
      <c r="E457" s="109"/>
      <c r="F457" s="109"/>
      <c r="G457" s="110"/>
      <c r="H457" s="109"/>
      <c r="I457" s="109"/>
      <c r="J457" s="111"/>
      <c r="K457" s="112"/>
      <c r="M457" s="84"/>
      <c r="N457" s="84"/>
      <c r="O457" s="84"/>
      <c r="P457" s="84"/>
      <c r="Q457" s="84"/>
    </row>
    <row r="458" spans="2:17">
      <c r="B458" s="108"/>
      <c r="C458" s="109"/>
      <c r="D458" s="109"/>
      <c r="E458" s="109"/>
      <c r="F458" s="109"/>
      <c r="G458" s="110"/>
      <c r="H458" s="109"/>
      <c r="I458" s="109"/>
      <c r="J458" s="111"/>
      <c r="K458" s="112"/>
      <c r="M458" s="84"/>
      <c r="N458" s="84"/>
      <c r="O458" s="84"/>
      <c r="P458" s="84"/>
      <c r="Q458" s="84"/>
    </row>
    <row r="459" spans="2:17">
      <c r="B459" s="108"/>
      <c r="C459" s="109"/>
      <c r="D459" s="109"/>
      <c r="E459" s="109"/>
      <c r="F459" s="109"/>
      <c r="G459" s="110"/>
      <c r="H459" s="109"/>
      <c r="I459" s="109"/>
      <c r="J459" s="111"/>
      <c r="K459" s="112"/>
      <c r="M459" s="84"/>
      <c r="N459" s="84"/>
      <c r="O459" s="84"/>
      <c r="P459" s="84"/>
      <c r="Q459" s="84"/>
    </row>
    <row r="460" spans="2:17">
      <c r="B460" s="108"/>
      <c r="C460" s="109"/>
      <c r="D460" s="109"/>
      <c r="E460" s="109"/>
      <c r="F460" s="109"/>
      <c r="G460" s="110"/>
      <c r="H460" s="109"/>
      <c r="I460" s="109"/>
      <c r="J460" s="111"/>
      <c r="K460" s="112"/>
      <c r="M460" s="84"/>
      <c r="N460" s="84"/>
      <c r="O460" s="84"/>
      <c r="P460" s="84"/>
      <c r="Q460" s="84"/>
    </row>
    <row r="461" spans="2:17">
      <c r="B461" s="108"/>
      <c r="C461" s="109"/>
      <c r="D461" s="109"/>
      <c r="E461" s="109"/>
      <c r="F461" s="109"/>
      <c r="G461" s="110"/>
      <c r="H461" s="109"/>
      <c r="I461" s="109"/>
      <c r="J461" s="111"/>
      <c r="K461" s="112"/>
      <c r="M461" s="84"/>
      <c r="N461" s="84"/>
      <c r="O461" s="84"/>
      <c r="P461" s="84"/>
      <c r="Q461" s="84"/>
    </row>
    <row r="462" spans="2:17">
      <c r="B462" s="108"/>
      <c r="C462" s="109"/>
      <c r="D462" s="109"/>
      <c r="E462" s="109"/>
      <c r="F462" s="109"/>
      <c r="G462" s="110"/>
      <c r="H462" s="109"/>
      <c r="I462" s="109"/>
      <c r="J462" s="111"/>
      <c r="K462" s="112"/>
      <c r="M462" s="84"/>
      <c r="N462" s="84"/>
      <c r="O462" s="84"/>
      <c r="P462" s="84"/>
      <c r="Q462" s="84"/>
    </row>
    <row r="463" spans="2:17">
      <c r="B463" s="108"/>
      <c r="C463" s="109"/>
      <c r="D463" s="109"/>
      <c r="E463" s="109"/>
      <c r="F463" s="109"/>
      <c r="G463" s="110"/>
      <c r="H463" s="109"/>
      <c r="I463" s="109"/>
      <c r="J463" s="111"/>
      <c r="K463" s="112"/>
      <c r="M463" s="84"/>
      <c r="N463" s="84"/>
      <c r="O463" s="84"/>
      <c r="P463" s="84"/>
      <c r="Q463" s="84"/>
    </row>
    <row r="464" spans="2:17">
      <c r="B464" s="108"/>
      <c r="C464" s="109"/>
      <c r="D464" s="109"/>
      <c r="E464" s="109"/>
      <c r="F464" s="109"/>
      <c r="G464" s="110"/>
      <c r="H464" s="109"/>
      <c r="I464" s="109"/>
      <c r="J464" s="111"/>
      <c r="K464" s="112"/>
      <c r="M464" s="84"/>
      <c r="N464" s="84"/>
      <c r="O464" s="84"/>
      <c r="P464" s="84"/>
      <c r="Q464" s="84"/>
    </row>
    <row r="465" spans="2:17">
      <c r="B465" s="108"/>
      <c r="C465" s="109"/>
      <c r="D465" s="109"/>
      <c r="E465" s="109"/>
      <c r="F465" s="109"/>
      <c r="G465" s="110"/>
      <c r="H465" s="109"/>
      <c r="I465" s="109"/>
      <c r="J465" s="111"/>
      <c r="K465" s="112"/>
      <c r="M465" s="84"/>
      <c r="N465" s="84"/>
      <c r="O465" s="84"/>
      <c r="P465" s="84"/>
      <c r="Q465" s="84"/>
    </row>
    <row r="466" spans="2:17">
      <c r="B466" s="108"/>
      <c r="C466" s="109"/>
      <c r="D466" s="109"/>
      <c r="E466" s="109"/>
      <c r="F466" s="109"/>
      <c r="G466" s="110"/>
      <c r="H466" s="109"/>
      <c r="I466" s="109"/>
      <c r="J466" s="111"/>
      <c r="K466" s="112"/>
      <c r="M466" s="84"/>
      <c r="N466" s="84"/>
      <c r="O466" s="84"/>
      <c r="P466" s="84"/>
      <c r="Q466" s="84"/>
    </row>
    <row r="467" spans="2:17">
      <c r="B467" s="108"/>
      <c r="C467" s="109"/>
      <c r="D467" s="109"/>
      <c r="E467" s="109"/>
      <c r="F467" s="109"/>
      <c r="G467" s="110"/>
      <c r="H467" s="109"/>
      <c r="I467" s="109"/>
      <c r="J467" s="111"/>
      <c r="K467" s="112"/>
      <c r="M467" s="84"/>
      <c r="N467" s="84"/>
      <c r="O467" s="84"/>
      <c r="P467" s="84"/>
      <c r="Q467" s="84"/>
    </row>
    <row r="468" spans="2:17">
      <c r="B468" s="108"/>
      <c r="C468" s="109"/>
      <c r="D468" s="109"/>
      <c r="E468" s="109"/>
      <c r="F468" s="109"/>
      <c r="G468" s="110"/>
      <c r="H468" s="109"/>
      <c r="I468" s="109"/>
      <c r="J468" s="111"/>
      <c r="K468" s="112"/>
      <c r="M468" s="84"/>
      <c r="N468" s="84"/>
      <c r="O468" s="84"/>
      <c r="P468" s="84"/>
      <c r="Q468" s="84"/>
    </row>
    <row r="469" spans="2:17">
      <c r="B469" s="108"/>
      <c r="C469" s="109"/>
      <c r="D469" s="109"/>
      <c r="E469" s="109"/>
      <c r="F469" s="109"/>
      <c r="G469" s="110"/>
      <c r="H469" s="109"/>
      <c r="I469" s="109"/>
      <c r="J469" s="111"/>
      <c r="K469" s="112"/>
      <c r="M469" s="84"/>
      <c r="N469" s="84"/>
      <c r="O469" s="84"/>
      <c r="P469" s="84"/>
      <c r="Q469" s="84"/>
    </row>
    <row r="470" spans="2:17">
      <c r="B470" s="108"/>
      <c r="C470" s="109"/>
      <c r="D470" s="109"/>
      <c r="E470" s="109"/>
      <c r="F470" s="109"/>
      <c r="G470" s="110"/>
      <c r="H470" s="109"/>
      <c r="I470" s="109"/>
      <c r="J470" s="111"/>
      <c r="K470" s="112"/>
      <c r="M470" s="84"/>
      <c r="N470" s="84"/>
      <c r="O470" s="84"/>
      <c r="P470" s="84"/>
      <c r="Q470" s="84"/>
    </row>
    <row r="471" spans="2:17">
      <c r="B471" s="108"/>
      <c r="C471" s="109"/>
      <c r="D471" s="109"/>
      <c r="E471" s="109"/>
      <c r="F471" s="109"/>
      <c r="G471" s="110"/>
      <c r="H471" s="109"/>
      <c r="I471" s="109"/>
      <c r="J471" s="111"/>
      <c r="K471" s="112"/>
      <c r="M471" s="84"/>
      <c r="N471" s="84"/>
      <c r="O471" s="84"/>
      <c r="P471" s="84"/>
      <c r="Q471" s="84"/>
    </row>
    <row r="472" spans="2:17">
      <c r="B472" s="108"/>
      <c r="C472" s="109"/>
      <c r="D472" s="109"/>
      <c r="E472" s="109"/>
      <c r="F472" s="109"/>
      <c r="G472" s="110"/>
      <c r="H472" s="109"/>
      <c r="I472" s="109"/>
      <c r="J472" s="111"/>
      <c r="K472" s="112"/>
      <c r="M472" s="84"/>
      <c r="N472" s="84"/>
      <c r="O472" s="84"/>
      <c r="P472" s="84"/>
      <c r="Q472" s="84"/>
    </row>
    <row r="473" spans="2:17">
      <c r="B473" s="108"/>
      <c r="C473" s="109"/>
      <c r="D473" s="109"/>
      <c r="E473" s="109"/>
      <c r="F473" s="109"/>
      <c r="G473" s="110"/>
      <c r="H473" s="109"/>
      <c r="I473" s="109"/>
      <c r="J473" s="111"/>
      <c r="K473" s="112"/>
      <c r="M473" s="84"/>
      <c r="N473" s="84"/>
      <c r="O473" s="84"/>
      <c r="P473" s="84"/>
      <c r="Q473" s="84"/>
    </row>
    <row r="474" spans="2:17">
      <c r="B474" s="108"/>
      <c r="C474" s="109"/>
      <c r="D474" s="109"/>
      <c r="E474" s="109"/>
      <c r="F474" s="109"/>
      <c r="G474" s="110"/>
      <c r="H474" s="109"/>
      <c r="I474" s="109"/>
      <c r="J474" s="111"/>
      <c r="K474" s="112"/>
      <c r="M474" s="84"/>
      <c r="N474" s="84"/>
      <c r="O474" s="84"/>
      <c r="P474" s="84"/>
      <c r="Q474" s="84"/>
    </row>
    <row r="475" spans="2:17">
      <c r="B475" s="108"/>
      <c r="C475" s="109"/>
      <c r="D475" s="109"/>
      <c r="E475" s="109"/>
      <c r="F475" s="109"/>
      <c r="G475" s="110"/>
      <c r="H475" s="109"/>
      <c r="I475" s="109"/>
      <c r="J475" s="111"/>
      <c r="K475" s="112"/>
      <c r="M475" s="84"/>
      <c r="N475" s="84"/>
      <c r="O475" s="84"/>
      <c r="P475" s="84"/>
      <c r="Q475" s="84"/>
    </row>
    <row r="476" spans="2:17">
      <c r="B476" s="108"/>
      <c r="C476" s="109"/>
      <c r="D476" s="109"/>
      <c r="E476" s="109"/>
      <c r="F476" s="109"/>
      <c r="G476" s="110"/>
      <c r="H476" s="109"/>
      <c r="I476" s="109"/>
      <c r="J476" s="111"/>
      <c r="K476" s="112"/>
      <c r="M476" s="84"/>
      <c r="N476" s="84"/>
      <c r="O476" s="84"/>
      <c r="P476" s="84"/>
      <c r="Q476" s="84"/>
    </row>
    <row r="477" spans="2:17">
      <c r="B477" s="108"/>
      <c r="C477" s="109"/>
      <c r="D477" s="109"/>
      <c r="E477" s="109"/>
      <c r="F477" s="109"/>
      <c r="G477" s="110"/>
      <c r="H477" s="109"/>
      <c r="I477" s="109"/>
      <c r="J477" s="111"/>
      <c r="K477" s="112"/>
      <c r="M477" s="84"/>
      <c r="N477" s="84"/>
      <c r="O477" s="84"/>
      <c r="P477" s="84"/>
      <c r="Q477" s="84"/>
    </row>
    <row r="478" spans="2:17">
      <c r="B478" s="108"/>
      <c r="C478" s="109"/>
      <c r="D478" s="109"/>
      <c r="E478" s="109"/>
      <c r="F478" s="109"/>
      <c r="G478" s="110"/>
      <c r="H478" s="109"/>
      <c r="I478" s="109"/>
      <c r="J478" s="111"/>
      <c r="K478" s="112"/>
      <c r="M478" s="84"/>
      <c r="N478" s="84"/>
      <c r="O478" s="84"/>
      <c r="P478" s="84"/>
      <c r="Q478" s="84"/>
    </row>
    <row r="479" spans="2:17">
      <c r="B479" s="108"/>
      <c r="C479" s="109"/>
      <c r="D479" s="109"/>
      <c r="E479" s="109"/>
      <c r="F479" s="109"/>
      <c r="G479" s="110"/>
      <c r="H479" s="109"/>
      <c r="I479" s="109"/>
      <c r="J479" s="111"/>
      <c r="K479" s="112"/>
      <c r="M479" s="84"/>
      <c r="N479" s="84"/>
      <c r="O479" s="84"/>
      <c r="P479" s="84"/>
      <c r="Q479" s="84"/>
    </row>
    <row r="480" spans="2:17">
      <c r="B480" s="108"/>
      <c r="C480" s="109"/>
      <c r="D480" s="109"/>
      <c r="E480" s="109"/>
      <c r="F480" s="109"/>
      <c r="G480" s="110"/>
      <c r="H480" s="109"/>
      <c r="I480" s="109"/>
      <c r="J480" s="111"/>
      <c r="K480" s="112"/>
      <c r="M480" s="84"/>
      <c r="N480" s="84"/>
      <c r="O480" s="84"/>
      <c r="P480" s="84"/>
      <c r="Q480" s="84"/>
    </row>
    <row r="481" spans="2:17">
      <c r="B481" s="108"/>
      <c r="C481" s="109"/>
      <c r="D481" s="109"/>
      <c r="E481" s="109"/>
      <c r="F481" s="109"/>
      <c r="G481" s="110"/>
      <c r="H481" s="109"/>
      <c r="I481" s="109"/>
      <c r="J481" s="111"/>
      <c r="K481" s="112"/>
      <c r="M481" s="84"/>
      <c r="N481" s="84"/>
      <c r="O481" s="84"/>
      <c r="P481" s="84"/>
      <c r="Q481" s="84"/>
    </row>
    <row r="482" spans="2:17">
      <c r="B482" s="108"/>
      <c r="C482" s="109"/>
      <c r="D482" s="109"/>
      <c r="E482" s="109"/>
      <c r="F482" s="109"/>
      <c r="G482" s="110"/>
      <c r="H482" s="109"/>
      <c r="I482" s="109"/>
      <c r="J482" s="111"/>
      <c r="K482" s="112"/>
      <c r="M482" s="84"/>
      <c r="N482" s="84"/>
      <c r="O482" s="84"/>
      <c r="P482" s="84"/>
      <c r="Q482" s="84"/>
    </row>
    <row r="483" spans="2:17">
      <c r="B483" s="108"/>
      <c r="C483" s="109"/>
      <c r="D483" s="109"/>
      <c r="E483" s="109"/>
      <c r="F483" s="109"/>
      <c r="G483" s="110"/>
      <c r="H483" s="109"/>
      <c r="I483" s="109"/>
      <c r="J483" s="111"/>
      <c r="K483" s="112"/>
      <c r="M483" s="84"/>
      <c r="N483" s="84"/>
      <c r="O483" s="84"/>
      <c r="P483" s="84"/>
      <c r="Q483" s="84"/>
    </row>
    <row r="484" spans="2:17">
      <c r="B484" s="108"/>
      <c r="C484" s="109"/>
      <c r="D484" s="109"/>
      <c r="E484" s="109"/>
      <c r="F484" s="109"/>
      <c r="G484" s="110"/>
      <c r="H484" s="109"/>
      <c r="I484" s="109"/>
      <c r="J484" s="111"/>
      <c r="K484" s="112"/>
      <c r="M484" s="84"/>
      <c r="N484" s="84"/>
      <c r="O484" s="84"/>
      <c r="P484" s="84"/>
      <c r="Q484" s="84"/>
    </row>
    <row r="485" spans="2:17">
      <c r="B485" s="108"/>
      <c r="C485" s="109"/>
      <c r="D485" s="109"/>
      <c r="E485" s="109"/>
      <c r="F485" s="109"/>
      <c r="G485" s="110"/>
      <c r="H485" s="109"/>
      <c r="I485" s="109"/>
      <c r="J485" s="111"/>
      <c r="K485" s="112"/>
      <c r="M485" s="84"/>
      <c r="N485" s="84"/>
      <c r="O485" s="84"/>
      <c r="P485" s="84"/>
      <c r="Q485" s="84"/>
    </row>
    <row r="486" spans="2:17">
      <c r="B486" s="108"/>
      <c r="C486" s="109"/>
      <c r="D486" s="109"/>
      <c r="E486" s="109"/>
      <c r="F486" s="109"/>
      <c r="G486" s="110"/>
      <c r="H486" s="109"/>
      <c r="I486" s="109"/>
      <c r="J486" s="111"/>
      <c r="K486" s="112"/>
      <c r="M486" s="84"/>
      <c r="N486" s="84"/>
      <c r="O486" s="84"/>
      <c r="P486" s="84"/>
      <c r="Q486" s="84"/>
    </row>
    <row r="487" spans="2:17">
      <c r="B487" s="108"/>
      <c r="C487" s="109"/>
      <c r="D487" s="109"/>
      <c r="E487" s="109"/>
      <c r="F487" s="109"/>
      <c r="G487" s="110"/>
      <c r="H487" s="109"/>
      <c r="I487" s="109"/>
      <c r="J487" s="111"/>
      <c r="K487" s="112"/>
      <c r="M487" s="84"/>
      <c r="N487" s="84"/>
      <c r="O487" s="84"/>
      <c r="P487" s="84"/>
      <c r="Q487" s="84"/>
    </row>
    <row r="488" spans="2:17">
      <c r="B488" s="108"/>
      <c r="C488" s="109"/>
      <c r="D488" s="109"/>
      <c r="E488" s="109"/>
      <c r="F488" s="109"/>
      <c r="G488" s="110"/>
      <c r="H488" s="109"/>
      <c r="I488" s="109"/>
      <c r="J488" s="111"/>
      <c r="K488" s="112"/>
      <c r="M488" s="84"/>
      <c r="N488" s="84"/>
      <c r="O488" s="84"/>
      <c r="P488" s="84"/>
      <c r="Q488" s="84"/>
    </row>
    <row r="489" spans="2:17">
      <c r="B489" s="108"/>
      <c r="C489" s="109"/>
      <c r="D489" s="109"/>
      <c r="E489" s="109"/>
      <c r="F489" s="109"/>
      <c r="G489" s="110"/>
      <c r="H489" s="109"/>
      <c r="I489" s="109"/>
      <c r="J489" s="111"/>
      <c r="K489" s="112"/>
      <c r="M489" s="84"/>
      <c r="N489" s="84"/>
      <c r="O489" s="84"/>
      <c r="P489" s="84"/>
      <c r="Q489" s="84"/>
    </row>
    <row r="490" spans="2:17">
      <c r="B490" s="108"/>
      <c r="C490" s="109"/>
      <c r="D490" s="109"/>
      <c r="E490" s="109"/>
      <c r="F490" s="109"/>
      <c r="G490" s="110"/>
      <c r="H490" s="109"/>
      <c r="I490" s="109"/>
      <c r="J490" s="111"/>
      <c r="K490" s="112"/>
      <c r="M490" s="84"/>
      <c r="N490" s="84"/>
      <c r="O490" s="84"/>
      <c r="P490" s="84"/>
      <c r="Q490" s="84"/>
    </row>
    <row r="491" spans="2:17">
      <c r="B491" s="108"/>
      <c r="C491" s="109"/>
      <c r="D491" s="109"/>
      <c r="E491" s="109"/>
      <c r="F491" s="109"/>
      <c r="G491" s="110"/>
      <c r="H491" s="109"/>
      <c r="I491" s="109"/>
      <c r="J491" s="111"/>
      <c r="K491" s="112"/>
      <c r="M491" s="84"/>
      <c r="N491" s="84"/>
      <c r="O491" s="84"/>
      <c r="P491" s="84"/>
      <c r="Q491" s="84"/>
    </row>
    <row r="492" spans="2:17">
      <c r="B492" s="108"/>
      <c r="C492" s="109"/>
      <c r="D492" s="109"/>
      <c r="E492" s="109"/>
      <c r="F492" s="109"/>
      <c r="G492" s="110"/>
      <c r="H492" s="109"/>
      <c r="I492" s="109"/>
      <c r="J492" s="111"/>
      <c r="K492" s="112"/>
      <c r="M492" s="84"/>
      <c r="N492" s="84"/>
      <c r="O492" s="84"/>
      <c r="P492" s="84"/>
      <c r="Q492" s="84"/>
    </row>
    <row r="493" spans="2:17">
      <c r="B493" s="108"/>
      <c r="C493" s="109"/>
      <c r="D493" s="109"/>
      <c r="E493" s="109"/>
      <c r="F493" s="109"/>
      <c r="G493" s="110"/>
      <c r="H493" s="109"/>
      <c r="I493" s="109"/>
      <c r="J493" s="111"/>
      <c r="K493" s="112"/>
      <c r="M493" s="84"/>
      <c r="N493" s="84"/>
      <c r="O493" s="84"/>
      <c r="P493" s="84"/>
      <c r="Q493" s="84"/>
    </row>
    <row r="494" spans="2:17">
      <c r="B494" s="108"/>
      <c r="C494" s="109"/>
      <c r="D494" s="109"/>
      <c r="E494" s="109"/>
      <c r="F494" s="109"/>
      <c r="G494" s="110"/>
      <c r="H494" s="109"/>
      <c r="I494" s="109"/>
      <c r="J494" s="111"/>
      <c r="K494" s="112"/>
      <c r="M494" s="84"/>
      <c r="N494" s="84"/>
      <c r="O494" s="84"/>
      <c r="P494" s="84"/>
      <c r="Q494" s="84"/>
    </row>
    <row r="495" spans="2:17">
      <c r="B495" s="108"/>
      <c r="C495" s="109"/>
      <c r="D495" s="109"/>
      <c r="E495" s="109"/>
      <c r="F495" s="109"/>
      <c r="G495" s="110"/>
      <c r="H495" s="109"/>
      <c r="I495" s="109"/>
      <c r="J495" s="111"/>
      <c r="K495" s="112"/>
      <c r="M495" s="84"/>
      <c r="N495" s="84"/>
      <c r="O495" s="84"/>
      <c r="P495" s="84"/>
      <c r="Q495" s="84"/>
    </row>
    <row r="496" spans="2:17">
      <c r="B496" s="108"/>
      <c r="C496" s="109"/>
      <c r="D496" s="109"/>
      <c r="E496" s="109"/>
      <c r="F496" s="109"/>
      <c r="G496" s="110"/>
      <c r="H496" s="109"/>
      <c r="I496" s="109"/>
      <c r="J496" s="111"/>
      <c r="K496" s="112"/>
      <c r="M496" s="84"/>
      <c r="N496" s="84"/>
      <c r="O496" s="84"/>
      <c r="P496" s="84"/>
      <c r="Q496" s="84"/>
    </row>
    <row r="497" spans="2:17">
      <c r="B497" s="108"/>
      <c r="C497" s="109"/>
      <c r="D497" s="109"/>
      <c r="E497" s="109"/>
      <c r="F497" s="109"/>
      <c r="G497" s="110"/>
      <c r="H497" s="109"/>
      <c r="I497" s="109"/>
      <c r="J497" s="111"/>
      <c r="K497" s="112"/>
      <c r="M497" s="84"/>
      <c r="N497" s="84"/>
      <c r="O497" s="84"/>
      <c r="P497" s="84"/>
      <c r="Q497" s="84"/>
    </row>
    <row r="498" spans="2:17">
      <c r="B498" s="108"/>
      <c r="C498" s="109"/>
      <c r="D498" s="109"/>
      <c r="E498" s="109"/>
      <c r="F498" s="109"/>
      <c r="G498" s="110"/>
      <c r="H498" s="109"/>
      <c r="I498" s="109"/>
      <c r="J498" s="111"/>
      <c r="K498" s="112"/>
      <c r="M498" s="84"/>
      <c r="N498" s="84"/>
      <c r="O498" s="84"/>
      <c r="P498" s="84"/>
      <c r="Q498" s="84"/>
    </row>
    <row r="499" spans="2:17">
      <c r="B499" s="108"/>
      <c r="C499" s="109"/>
      <c r="D499" s="109"/>
      <c r="E499" s="109"/>
      <c r="F499" s="109"/>
      <c r="G499" s="110"/>
      <c r="H499" s="109"/>
      <c r="I499" s="109"/>
      <c r="J499" s="111"/>
      <c r="K499" s="112"/>
      <c r="M499" s="84"/>
      <c r="N499" s="84"/>
      <c r="O499" s="84"/>
      <c r="P499" s="84"/>
      <c r="Q499" s="84"/>
    </row>
    <row r="500" spans="2:17">
      <c r="B500" s="108"/>
      <c r="C500" s="109"/>
      <c r="D500" s="109"/>
      <c r="E500" s="109"/>
      <c r="F500" s="109"/>
      <c r="G500" s="110"/>
      <c r="H500" s="109"/>
      <c r="I500" s="109"/>
      <c r="J500" s="111"/>
      <c r="K500" s="112"/>
      <c r="M500" s="84"/>
      <c r="N500" s="84"/>
      <c r="O500" s="84"/>
      <c r="P500" s="84"/>
      <c r="Q500" s="84"/>
    </row>
    <row r="501" spans="2:17">
      <c r="B501" s="108"/>
      <c r="C501" s="109"/>
      <c r="D501" s="109"/>
      <c r="E501" s="109"/>
      <c r="F501" s="109"/>
      <c r="G501" s="110"/>
      <c r="H501" s="109"/>
      <c r="I501" s="109"/>
      <c r="J501" s="111"/>
      <c r="K501" s="112"/>
      <c r="M501" s="84"/>
      <c r="N501" s="84"/>
      <c r="O501" s="84"/>
      <c r="P501" s="84"/>
      <c r="Q501" s="84"/>
    </row>
    <row r="502" spans="2:17">
      <c r="B502" s="108"/>
      <c r="C502" s="109"/>
      <c r="D502" s="109"/>
      <c r="E502" s="109"/>
      <c r="F502" s="109"/>
      <c r="G502" s="110"/>
      <c r="H502" s="109"/>
      <c r="I502" s="109"/>
      <c r="J502" s="111"/>
      <c r="K502" s="112"/>
      <c r="M502" s="84"/>
      <c r="N502" s="84"/>
      <c r="O502" s="84"/>
      <c r="P502" s="84"/>
      <c r="Q502" s="84"/>
    </row>
    <row r="503" spans="2:17">
      <c r="B503" s="108"/>
      <c r="C503" s="109"/>
      <c r="D503" s="109"/>
      <c r="E503" s="109"/>
      <c r="F503" s="109"/>
      <c r="G503" s="110"/>
      <c r="H503" s="109"/>
      <c r="I503" s="109"/>
      <c r="J503" s="111"/>
      <c r="K503" s="112"/>
      <c r="M503" s="84"/>
      <c r="N503" s="84"/>
      <c r="O503" s="84"/>
      <c r="P503" s="84"/>
      <c r="Q503" s="84"/>
    </row>
    <row r="504" spans="2:17">
      <c r="B504" s="108"/>
      <c r="C504" s="109"/>
      <c r="D504" s="109"/>
      <c r="E504" s="109"/>
      <c r="F504" s="109"/>
      <c r="G504" s="110"/>
      <c r="H504" s="109"/>
      <c r="I504" s="109"/>
      <c r="J504" s="111"/>
      <c r="K504" s="112"/>
      <c r="M504" s="84"/>
      <c r="N504" s="84"/>
      <c r="O504" s="84"/>
      <c r="P504" s="84"/>
      <c r="Q504" s="84"/>
    </row>
    <row r="505" spans="2:17">
      <c r="B505" s="108"/>
      <c r="C505" s="109"/>
      <c r="D505" s="109"/>
      <c r="E505" s="109"/>
      <c r="F505" s="109"/>
      <c r="G505" s="110"/>
      <c r="H505" s="109"/>
      <c r="I505" s="109"/>
      <c r="J505" s="111"/>
      <c r="K505" s="112"/>
      <c r="M505" s="84"/>
      <c r="N505" s="84"/>
      <c r="O505" s="84"/>
      <c r="P505" s="84"/>
      <c r="Q505" s="84"/>
    </row>
    <row r="506" spans="2:17">
      <c r="B506" s="108"/>
      <c r="C506" s="109"/>
      <c r="D506" s="109"/>
      <c r="E506" s="109"/>
      <c r="F506" s="109"/>
      <c r="G506" s="110"/>
      <c r="H506" s="109"/>
      <c r="I506" s="109"/>
      <c r="J506" s="111"/>
      <c r="K506" s="112"/>
      <c r="M506" s="84"/>
      <c r="N506" s="84"/>
      <c r="O506" s="84"/>
      <c r="P506" s="84"/>
      <c r="Q506" s="84"/>
    </row>
    <row r="507" spans="2:17">
      <c r="B507" s="108"/>
      <c r="C507" s="109"/>
      <c r="D507" s="109"/>
      <c r="E507" s="109"/>
      <c r="F507" s="109"/>
      <c r="G507" s="110"/>
      <c r="H507" s="109"/>
      <c r="I507" s="109"/>
      <c r="J507" s="111"/>
      <c r="K507" s="112"/>
      <c r="M507" s="84"/>
      <c r="N507" s="84"/>
      <c r="O507" s="84"/>
      <c r="P507" s="84"/>
      <c r="Q507" s="84"/>
    </row>
    <row r="508" spans="2:17">
      <c r="B508" s="108"/>
      <c r="C508" s="109"/>
      <c r="D508" s="109"/>
      <c r="E508" s="109"/>
      <c r="F508" s="109"/>
      <c r="G508" s="110"/>
      <c r="H508" s="109"/>
      <c r="I508" s="109"/>
      <c r="J508" s="111"/>
      <c r="K508" s="112"/>
      <c r="M508" s="84"/>
      <c r="N508" s="84"/>
      <c r="O508" s="84"/>
      <c r="P508" s="84"/>
      <c r="Q508" s="84"/>
    </row>
    <row r="509" spans="2:17">
      <c r="B509" s="108"/>
      <c r="C509" s="109"/>
      <c r="D509" s="109"/>
      <c r="E509" s="109"/>
      <c r="F509" s="109"/>
      <c r="G509" s="110"/>
      <c r="H509" s="109"/>
      <c r="I509" s="109"/>
      <c r="J509" s="111"/>
      <c r="K509" s="112"/>
      <c r="M509" s="84"/>
      <c r="N509" s="84"/>
      <c r="O509" s="84"/>
      <c r="P509" s="84"/>
      <c r="Q509" s="84"/>
    </row>
    <row r="510" spans="2:17">
      <c r="B510" s="108"/>
      <c r="C510" s="109"/>
      <c r="D510" s="109"/>
      <c r="E510" s="109"/>
      <c r="F510" s="109"/>
      <c r="G510" s="110"/>
      <c r="H510" s="109"/>
      <c r="I510" s="109"/>
      <c r="J510" s="111"/>
      <c r="K510" s="112"/>
      <c r="M510" s="84"/>
      <c r="N510" s="84"/>
      <c r="O510" s="84"/>
      <c r="P510" s="84"/>
      <c r="Q510" s="84"/>
    </row>
    <row r="511" spans="2:17">
      <c r="B511" s="108"/>
      <c r="C511" s="109"/>
      <c r="D511" s="109"/>
      <c r="E511" s="109"/>
      <c r="F511" s="109"/>
      <c r="G511" s="110"/>
      <c r="H511" s="109"/>
      <c r="I511" s="109"/>
      <c r="J511" s="111"/>
      <c r="K511" s="112"/>
      <c r="M511" s="84"/>
      <c r="N511" s="84"/>
      <c r="O511" s="84"/>
      <c r="P511" s="84"/>
      <c r="Q511" s="84"/>
    </row>
    <row r="512" spans="2:17">
      <c r="B512" s="108"/>
      <c r="C512" s="109"/>
      <c r="D512" s="109"/>
      <c r="E512" s="109"/>
      <c r="F512" s="109"/>
      <c r="G512" s="110"/>
      <c r="H512" s="109"/>
      <c r="I512" s="109"/>
      <c r="J512" s="111"/>
      <c r="K512" s="112"/>
      <c r="M512" s="84"/>
      <c r="N512" s="84"/>
      <c r="O512" s="84"/>
      <c r="P512" s="84"/>
      <c r="Q512" s="84"/>
    </row>
    <row r="513" spans="2:17">
      <c r="B513" s="108"/>
      <c r="C513" s="109"/>
      <c r="D513" s="109"/>
      <c r="E513" s="109"/>
      <c r="F513" s="109"/>
      <c r="G513" s="110"/>
      <c r="H513" s="109"/>
      <c r="I513" s="109"/>
      <c r="J513" s="111"/>
      <c r="K513" s="112"/>
      <c r="M513" s="84"/>
      <c r="N513" s="84"/>
      <c r="O513" s="84"/>
      <c r="P513" s="84"/>
      <c r="Q513" s="84"/>
    </row>
    <row r="514" spans="2:17">
      <c r="B514" s="108"/>
      <c r="C514" s="109"/>
      <c r="D514" s="109"/>
      <c r="E514" s="109"/>
      <c r="F514" s="109"/>
      <c r="G514" s="110"/>
      <c r="H514" s="109"/>
      <c r="I514" s="109"/>
      <c r="J514" s="111"/>
      <c r="K514" s="112"/>
      <c r="M514" s="84"/>
      <c r="N514" s="84"/>
      <c r="O514" s="84"/>
      <c r="P514" s="84"/>
      <c r="Q514" s="84"/>
    </row>
    <row r="515" spans="2:17">
      <c r="B515" s="108"/>
      <c r="C515" s="109"/>
      <c r="D515" s="109"/>
      <c r="E515" s="109"/>
      <c r="F515" s="109"/>
      <c r="G515" s="110"/>
      <c r="H515" s="109"/>
      <c r="I515" s="109"/>
      <c r="J515" s="111"/>
      <c r="K515" s="112"/>
      <c r="M515" s="84"/>
      <c r="N515" s="84"/>
      <c r="O515" s="84"/>
      <c r="P515" s="84"/>
      <c r="Q515" s="84"/>
    </row>
    <row r="516" spans="2:17">
      <c r="B516" s="108"/>
      <c r="C516" s="109"/>
      <c r="D516" s="109"/>
      <c r="E516" s="109"/>
      <c r="F516" s="109"/>
      <c r="G516" s="110"/>
      <c r="H516" s="109"/>
      <c r="I516" s="109"/>
      <c r="J516" s="111"/>
      <c r="K516" s="112"/>
      <c r="M516" s="84"/>
      <c r="N516" s="84"/>
      <c r="O516" s="84"/>
      <c r="P516" s="84"/>
      <c r="Q516" s="84"/>
    </row>
    <row r="517" spans="2:17">
      <c r="B517" s="108"/>
      <c r="C517" s="109"/>
      <c r="D517" s="109"/>
      <c r="E517" s="109"/>
      <c r="F517" s="109"/>
      <c r="G517" s="110"/>
      <c r="H517" s="109"/>
      <c r="I517" s="109"/>
      <c r="J517" s="111"/>
      <c r="K517" s="112"/>
      <c r="M517" s="84"/>
      <c r="N517" s="84"/>
      <c r="O517" s="84"/>
      <c r="P517" s="84"/>
      <c r="Q517" s="84"/>
    </row>
    <row r="518" spans="2:17">
      <c r="B518" s="108"/>
      <c r="C518" s="109"/>
      <c r="D518" s="109"/>
      <c r="E518" s="109"/>
      <c r="F518" s="109"/>
      <c r="G518" s="110"/>
      <c r="H518" s="109"/>
      <c r="I518" s="109"/>
      <c r="J518" s="111"/>
      <c r="K518" s="112"/>
      <c r="M518" s="84"/>
      <c r="N518" s="84"/>
      <c r="O518" s="84"/>
      <c r="P518" s="84"/>
      <c r="Q518" s="84"/>
    </row>
    <row r="519" spans="2:17">
      <c r="B519" s="108"/>
      <c r="C519" s="109"/>
      <c r="D519" s="109"/>
      <c r="E519" s="109"/>
      <c r="F519" s="109"/>
      <c r="G519" s="110"/>
      <c r="H519" s="109"/>
      <c r="I519" s="109"/>
      <c r="J519" s="111"/>
      <c r="K519" s="112"/>
      <c r="M519" s="84"/>
      <c r="N519" s="84"/>
      <c r="O519" s="84"/>
      <c r="P519" s="84"/>
      <c r="Q519" s="84"/>
    </row>
    <row r="520" spans="2:17">
      <c r="B520" s="108"/>
      <c r="C520" s="109"/>
      <c r="D520" s="109"/>
      <c r="E520" s="109"/>
      <c r="F520" s="109"/>
      <c r="G520" s="110"/>
      <c r="H520" s="109"/>
      <c r="I520" s="109"/>
      <c r="J520" s="111"/>
      <c r="K520" s="112"/>
      <c r="M520" s="84"/>
      <c r="N520" s="84"/>
      <c r="O520" s="84"/>
      <c r="P520" s="84"/>
      <c r="Q520" s="84"/>
    </row>
    <row r="521" spans="2:17">
      <c r="B521" s="108"/>
      <c r="C521" s="109"/>
      <c r="D521" s="109"/>
      <c r="E521" s="109"/>
      <c r="F521" s="109"/>
      <c r="G521" s="110"/>
      <c r="H521" s="109"/>
      <c r="I521" s="109"/>
      <c r="J521" s="111"/>
      <c r="K521" s="112"/>
      <c r="M521" s="84"/>
      <c r="N521" s="84"/>
      <c r="O521" s="84"/>
      <c r="P521" s="84"/>
      <c r="Q521" s="84"/>
    </row>
    <row r="522" spans="2:17">
      <c r="B522" s="108"/>
      <c r="C522" s="109"/>
      <c r="D522" s="109"/>
      <c r="E522" s="109"/>
      <c r="F522" s="109"/>
      <c r="G522" s="110"/>
      <c r="H522" s="109"/>
      <c r="I522" s="109"/>
      <c r="J522" s="111"/>
      <c r="K522" s="112"/>
      <c r="M522" s="84"/>
      <c r="N522" s="84"/>
      <c r="O522" s="84"/>
      <c r="P522" s="84"/>
      <c r="Q522" s="84"/>
    </row>
    <row r="523" spans="2:17">
      <c r="B523" s="108"/>
      <c r="C523" s="109"/>
      <c r="D523" s="109"/>
      <c r="E523" s="109"/>
      <c r="F523" s="109"/>
      <c r="G523" s="110"/>
      <c r="H523" s="109"/>
      <c r="I523" s="109"/>
      <c r="J523" s="111"/>
      <c r="K523" s="112"/>
      <c r="M523" s="84"/>
      <c r="N523" s="84"/>
      <c r="O523" s="84"/>
      <c r="P523" s="84"/>
      <c r="Q523" s="84"/>
    </row>
    <row r="524" spans="2:17">
      <c r="B524" s="108"/>
      <c r="C524" s="109"/>
      <c r="D524" s="109"/>
      <c r="E524" s="109"/>
      <c r="F524" s="109"/>
      <c r="G524" s="110"/>
      <c r="H524" s="109"/>
      <c r="I524" s="109"/>
      <c r="J524" s="111"/>
      <c r="K524" s="112"/>
      <c r="M524" s="84"/>
      <c r="N524" s="84"/>
      <c r="O524" s="84"/>
      <c r="P524" s="84"/>
      <c r="Q524" s="84"/>
    </row>
    <row r="525" spans="2:17">
      <c r="B525" s="108"/>
      <c r="C525" s="109"/>
      <c r="D525" s="109"/>
      <c r="E525" s="109"/>
      <c r="F525" s="109"/>
      <c r="G525" s="110"/>
      <c r="H525" s="109"/>
      <c r="I525" s="109"/>
      <c r="J525" s="111"/>
      <c r="K525" s="112"/>
      <c r="M525" s="84"/>
      <c r="N525" s="84"/>
      <c r="O525" s="84"/>
      <c r="P525" s="84"/>
      <c r="Q525" s="84"/>
    </row>
    <row r="526" spans="2:17">
      <c r="B526" s="108"/>
      <c r="C526" s="109"/>
      <c r="D526" s="109"/>
      <c r="E526" s="109"/>
      <c r="F526" s="109"/>
      <c r="G526" s="110"/>
      <c r="H526" s="109"/>
      <c r="I526" s="109"/>
      <c r="J526" s="111"/>
      <c r="K526" s="112"/>
      <c r="M526" s="84"/>
      <c r="N526" s="84"/>
      <c r="O526" s="84"/>
      <c r="P526" s="84"/>
      <c r="Q526" s="84"/>
    </row>
    <row r="527" spans="2:17">
      <c r="B527" s="108"/>
      <c r="C527" s="109"/>
      <c r="D527" s="109"/>
      <c r="E527" s="109"/>
      <c r="F527" s="109"/>
      <c r="G527" s="110"/>
      <c r="H527" s="109"/>
      <c r="I527" s="109"/>
      <c r="J527" s="111"/>
      <c r="K527" s="112"/>
      <c r="M527" s="84"/>
      <c r="N527" s="84"/>
      <c r="O527" s="84"/>
      <c r="P527" s="84"/>
      <c r="Q527" s="84"/>
    </row>
    <row r="528" spans="2:17">
      <c r="B528" s="108"/>
      <c r="C528" s="109"/>
      <c r="D528" s="109"/>
      <c r="E528" s="109"/>
      <c r="F528" s="109"/>
      <c r="G528" s="110"/>
      <c r="H528" s="109"/>
      <c r="I528" s="109"/>
      <c r="J528" s="111"/>
      <c r="K528" s="112"/>
      <c r="M528" s="84"/>
      <c r="N528" s="84"/>
      <c r="O528" s="84"/>
      <c r="P528" s="84"/>
      <c r="Q528" s="84"/>
    </row>
    <row r="529" spans="2:17">
      <c r="B529" s="108"/>
      <c r="C529" s="109"/>
      <c r="D529" s="109"/>
      <c r="E529" s="109"/>
      <c r="F529" s="109"/>
      <c r="G529" s="110"/>
      <c r="H529" s="109"/>
      <c r="I529" s="109"/>
      <c r="J529" s="111"/>
      <c r="K529" s="112"/>
      <c r="M529" s="84"/>
      <c r="N529" s="84"/>
      <c r="O529" s="84"/>
      <c r="P529" s="84"/>
      <c r="Q529" s="84"/>
    </row>
    <row r="530" spans="2:17">
      <c r="B530" s="108"/>
      <c r="C530" s="109"/>
      <c r="D530" s="109"/>
      <c r="E530" s="109"/>
      <c r="F530" s="109"/>
      <c r="G530" s="110"/>
      <c r="H530" s="109"/>
      <c r="I530" s="109"/>
      <c r="J530" s="111"/>
      <c r="K530" s="112"/>
      <c r="M530" s="84"/>
      <c r="N530" s="84"/>
      <c r="O530" s="84"/>
      <c r="P530" s="84"/>
      <c r="Q530" s="84"/>
    </row>
    <row r="531" spans="2:17">
      <c r="B531" s="108"/>
      <c r="C531" s="109"/>
      <c r="D531" s="109"/>
      <c r="E531" s="109"/>
      <c r="F531" s="109"/>
      <c r="G531" s="110"/>
      <c r="H531" s="109"/>
      <c r="I531" s="109"/>
      <c r="J531" s="111"/>
      <c r="K531" s="112"/>
      <c r="M531" s="84"/>
      <c r="N531" s="84"/>
      <c r="O531" s="84"/>
      <c r="P531" s="84"/>
      <c r="Q531" s="84"/>
    </row>
    <row r="532" spans="2:17">
      <c r="B532" s="108"/>
      <c r="C532" s="109"/>
      <c r="D532" s="109"/>
      <c r="E532" s="109"/>
      <c r="F532" s="109"/>
      <c r="G532" s="110"/>
      <c r="H532" s="109"/>
      <c r="I532" s="109"/>
      <c r="J532" s="111"/>
      <c r="K532" s="112"/>
      <c r="M532" s="84"/>
      <c r="N532" s="84"/>
      <c r="O532" s="84"/>
      <c r="P532" s="84"/>
      <c r="Q532" s="84"/>
    </row>
    <row r="533" spans="2:17">
      <c r="B533" s="108"/>
      <c r="C533" s="109"/>
      <c r="D533" s="109"/>
      <c r="E533" s="109"/>
      <c r="F533" s="109"/>
      <c r="G533" s="110"/>
      <c r="H533" s="109"/>
      <c r="I533" s="109"/>
      <c r="J533" s="111"/>
      <c r="K533" s="112"/>
      <c r="M533" s="84"/>
      <c r="N533" s="84"/>
      <c r="O533" s="84"/>
      <c r="P533" s="84"/>
      <c r="Q533" s="84"/>
    </row>
    <row r="534" spans="2:17">
      <c r="B534" s="108"/>
      <c r="C534" s="109"/>
      <c r="D534" s="109"/>
      <c r="E534" s="109"/>
      <c r="F534" s="109"/>
      <c r="G534" s="110"/>
      <c r="H534" s="109"/>
      <c r="I534" s="109"/>
      <c r="J534" s="111"/>
      <c r="K534" s="112"/>
      <c r="M534" s="84"/>
      <c r="N534" s="84"/>
      <c r="O534" s="84"/>
      <c r="P534" s="84"/>
      <c r="Q534" s="84"/>
    </row>
    <row r="535" spans="2:17">
      <c r="B535" s="108"/>
      <c r="C535" s="109"/>
      <c r="D535" s="109"/>
      <c r="E535" s="109"/>
      <c r="F535" s="109"/>
      <c r="G535" s="110"/>
      <c r="H535" s="109"/>
      <c r="I535" s="109"/>
      <c r="J535" s="111"/>
      <c r="K535" s="112"/>
      <c r="M535" s="84"/>
      <c r="N535" s="84"/>
      <c r="O535" s="84"/>
      <c r="P535" s="84"/>
      <c r="Q535" s="84"/>
    </row>
    <row r="536" spans="2:17">
      <c r="B536" s="108"/>
      <c r="C536" s="109"/>
      <c r="D536" s="109"/>
      <c r="E536" s="109"/>
      <c r="F536" s="109"/>
      <c r="G536" s="110"/>
      <c r="H536" s="109"/>
      <c r="I536" s="109"/>
      <c r="J536" s="111"/>
      <c r="K536" s="112"/>
      <c r="M536" s="84"/>
      <c r="N536" s="84"/>
      <c r="O536" s="84"/>
      <c r="P536" s="84"/>
      <c r="Q536" s="84"/>
    </row>
    <row r="537" spans="2:17">
      <c r="B537" s="108"/>
      <c r="C537" s="109"/>
      <c r="D537" s="109"/>
      <c r="E537" s="109"/>
      <c r="F537" s="109"/>
      <c r="G537" s="110"/>
      <c r="H537" s="109"/>
      <c r="I537" s="109"/>
      <c r="J537" s="111"/>
      <c r="K537" s="112"/>
      <c r="M537" s="84"/>
      <c r="N537" s="84"/>
      <c r="O537" s="84"/>
      <c r="P537" s="84"/>
      <c r="Q537" s="84"/>
    </row>
    <row r="538" spans="2:17">
      <c r="B538" s="108"/>
      <c r="C538" s="109"/>
      <c r="D538" s="109"/>
      <c r="E538" s="109"/>
      <c r="F538" s="109"/>
      <c r="G538" s="110"/>
      <c r="H538" s="109"/>
      <c r="I538" s="109"/>
      <c r="J538" s="111"/>
      <c r="K538" s="112"/>
      <c r="M538" s="84"/>
      <c r="N538" s="84"/>
      <c r="O538" s="84"/>
      <c r="P538" s="84"/>
      <c r="Q538" s="84"/>
    </row>
    <row r="539" spans="2:17">
      <c r="B539" s="108"/>
      <c r="C539" s="109"/>
      <c r="D539" s="109"/>
      <c r="E539" s="109"/>
      <c r="F539" s="109"/>
      <c r="G539" s="110"/>
      <c r="H539" s="109"/>
      <c r="I539" s="109"/>
      <c r="J539" s="111"/>
      <c r="K539" s="112"/>
      <c r="M539" s="84"/>
      <c r="N539" s="84"/>
      <c r="O539" s="84"/>
      <c r="P539" s="84"/>
      <c r="Q539" s="84"/>
    </row>
    <row r="540" spans="2:17">
      <c r="B540" s="108"/>
      <c r="C540" s="109"/>
      <c r="D540" s="109"/>
      <c r="E540" s="109"/>
      <c r="F540" s="109"/>
      <c r="G540" s="110"/>
      <c r="H540" s="109"/>
      <c r="I540" s="109"/>
      <c r="J540" s="111"/>
      <c r="K540" s="112"/>
      <c r="M540" s="84"/>
      <c r="N540" s="84"/>
      <c r="O540" s="84"/>
      <c r="P540" s="84"/>
      <c r="Q540" s="84"/>
    </row>
    <row r="541" spans="2:17">
      <c r="B541" s="108"/>
      <c r="C541" s="109"/>
      <c r="D541" s="109"/>
      <c r="E541" s="109"/>
      <c r="F541" s="109"/>
      <c r="G541" s="110"/>
      <c r="H541" s="109"/>
      <c r="I541" s="109"/>
      <c r="J541" s="111"/>
      <c r="K541" s="112"/>
      <c r="M541" s="84"/>
      <c r="N541" s="84"/>
      <c r="O541" s="84"/>
      <c r="P541" s="84"/>
      <c r="Q541" s="84"/>
    </row>
    <row r="542" spans="2:17">
      <c r="B542" s="108"/>
      <c r="C542" s="109"/>
      <c r="D542" s="109"/>
      <c r="E542" s="109"/>
      <c r="F542" s="109"/>
      <c r="G542" s="110"/>
      <c r="H542" s="109"/>
      <c r="I542" s="109"/>
      <c r="J542" s="111"/>
      <c r="K542" s="112"/>
      <c r="M542" s="84"/>
      <c r="N542" s="84"/>
      <c r="O542" s="84"/>
      <c r="P542" s="84"/>
      <c r="Q542" s="84"/>
    </row>
    <row r="543" spans="2:17">
      <c r="B543" s="108"/>
      <c r="C543" s="109"/>
      <c r="D543" s="109"/>
      <c r="E543" s="109"/>
      <c r="F543" s="109"/>
      <c r="G543" s="110"/>
      <c r="H543" s="109"/>
      <c r="I543" s="109"/>
      <c r="J543" s="111"/>
      <c r="K543" s="112"/>
      <c r="M543" s="84"/>
      <c r="N543" s="84"/>
      <c r="O543" s="84"/>
      <c r="P543" s="84"/>
      <c r="Q543" s="84"/>
    </row>
    <row r="544" spans="2:17">
      <c r="B544" s="108"/>
      <c r="C544" s="109"/>
      <c r="D544" s="109"/>
      <c r="E544" s="109"/>
      <c r="F544" s="109"/>
      <c r="G544" s="110"/>
      <c r="H544" s="109"/>
      <c r="I544" s="109"/>
      <c r="J544" s="111"/>
      <c r="K544" s="112"/>
      <c r="M544" s="84"/>
      <c r="N544" s="84"/>
      <c r="O544" s="84"/>
      <c r="P544" s="84"/>
      <c r="Q544" s="84"/>
    </row>
    <row r="545" spans="2:17">
      <c r="B545" s="108"/>
      <c r="C545" s="109"/>
      <c r="D545" s="109"/>
      <c r="E545" s="109"/>
      <c r="F545" s="109"/>
      <c r="G545" s="110"/>
      <c r="H545" s="109"/>
      <c r="I545" s="109"/>
      <c r="J545" s="111"/>
      <c r="K545" s="112"/>
      <c r="M545" s="84"/>
      <c r="N545" s="84"/>
      <c r="O545" s="84"/>
      <c r="P545" s="84"/>
      <c r="Q545" s="84"/>
    </row>
    <row r="546" spans="2:17">
      <c r="B546" s="108"/>
      <c r="C546" s="109"/>
      <c r="D546" s="109"/>
      <c r="E546" s="109"/>
      <c r="F546" s="109"/>
      <c r="G546" s="110"/>
      <c r="H546" s="109"/>
      <c r="I546" s="109"/>
      <c r="J546" s="111"/>
      <c r="K546" s="112"/>
      <c r="M546" s="84"/>
      <c r="N546" s="84"/>
      <c r="O546" s="84"/>
      <c r="P546" s="84"/>
      <c r="Q546" s="84"/>
    </row>
    <row r="547" spans="2:17">
      <c r="B547" s="108"/>
      <c r="C547" s="109"/>
      <c r="D547" s="109"/>
      <c r="E547" s="109"/>
      <c r="F547" s="109"/>
      <c r="G547" s="110"/>
      <c r="H547" s="109"/>
      <c r="I547" s="109"/>
      <c r="J547" s="111"/>
      <c r="K547" s="112"/>
      <c r="M547" s="84"/>
      <c r="N547" s="84"/>
      <c r="O547" s="84"/>
      <c r="P547" s="84"/>
      <c r="Q547" s="84"/>
    </row>
    <row r="548" spans="2:17">
      <c r="B548" s="108"/>
      <c r="C548" s="109"/>
      <c r="D548" s="109"/>
      <c r="E548" s="109"/>
      <c r="F548" s="109"/>
      <c r="G548" s="110"/>
      <c r="H548" s="109"/>
      <c r="I548" s="109"/>
      <c r="J548" s="111"/>
      <c r="K548" s="112"/>
      <c r="M548" s="84"/>
      <c r="N548" s="84"/>
      <c r="O548" s="84"/>
      <c r="P548" s="84"/>
      <c r="Q548" s="84"/>
    </row>
    <row r="549" spans="2:17">
      <c r="B549" s="108"/>
      <c r="C549" s="109"/>
      <c r="D549" s="109"/>
      <c r="E549" s="109"/>
      <c r="F549" s="109"/>
      <c r="G549" s="110"/>
      <c r="H549" s="109"/>
      <c r="I549" s="109"/>
      <c r="J549" s="111"/>
      <c r="K549" s="112"/>
      <c r="M549" s="84"/>
      <c r="N549" s="84"/>
      <c r="O549" s="84"/>
      <c r="P549" s="84"/>
      <c r="Q549" s="84"/>
    </row>
    <row r="550" spans="2:17">
      <c r="B550" s="108"/>
      <c r="C550" s="109"/>
      <c r="D550" s="109"/>
      <c r="E550" s="109"/>
      <c r="F550" s="109"/>
      <c r="G550" s="110"/>
      <c r="H550" s="109"/>
      <c r="I550" s="109"/>
      <c r="J550" s="111"/>
      <c r="K550" s="112"/>
      <c r="M550" s="84"/>
      <c r="N550" s="84"/>
      <c r="O550" s="84"/>
      <c r="P550" s="84"/>
      <c r="Q550" s="84"/>
    </row>
    <row r="551" spans="2:17">
      <c r="B551" s="108"/>
      <c r="C551" s="109"/>
      <c r="D551" s="109"/>
      <c r="E551" s="109"/>
      <c r="F551" s="109"/>
      <c r="G551" s="110"/>
      <c r="H551" s="109"/>
      <c r="I551" s="109"/>
      <c r="J551" s="111"/>
      <c r="K551" s="112"/>
      <c r="M551" s="84"/>
      <c r="N551" s="84"/>
      <c r="O551" s="84"/>
      <c r="P551" s="84"/>
      <c r="Q551" s="84"/>
    </row>
    <row r="552" spans="2:17">
      <c r="B552" s="108"/>
      <c r="C552" s="109"/>
      <c r="D552" s="109"/>
      <c r="E552" s="109"/>
      <c r="F552" s="109"/>
      <c r="G552" s="110"/>
      <c r="H552" s="109"/>
      <c r="I552" s="109"/>
      <c r="J552" s="111"/>
      <c r="K552" s="112"/>
      <c r="M552" s="84"/>
      <c r="N552" s="84"/>
      <c r="O552" s="84"/>
      <c r="P552" s="84"/>
      <c r="Q552" s="84"/>
    </row>
    <row r="553" spans="2:17">
      <c r="B553" s="108"/>
      <c r="C553" s="109"/>
      <c r="D553" s="109"/>
      <c r="E553" s="109"/>
      <c r="F553" s="109"/>
      <c r="G553" s="110"/>
      <c r="H553" s="109"/>
      <c r="I553" s="109"/>
      <c r="J553" s="111"/>
      <c r="K553" s="112"/>
      <c r="M553" s="84"/>
      <c r="N553" s="84"/>
      <c r="O553" s="84"/>
      <c r="P553" s="84"/>
      <c r="Q553" s="84"/>
    </row>
    <row r="554" spans="2:17">
      <c r="B554" s="108"/>
      <c r="C554" s="109"/>
      <c r="D554" s="109"/>
      <c r="E554" s="109"/>
      <c r="F554" s="109"/>
      <c r="G554" s="110"/>
      <c r="H554" s="109"/>
      <c r="I554" s="109"/>
      <c r="J554" s="111"/>
      <c r="K554" s="112"/>
      <c r="M554" s="84"/>
      <c r="N554" s="84"/>
      <c r="O554" s="84"/>
      <c r="P554" s="84"/>
      <c r="Q554" s="84"/>
    </row>
    <row r="555" spans="2:17">
      <c r="B555" s="108"/>
      <c r="C555" s="109"/>
      <c r="D555" s="109"/>
      <c r="E555" s="109"/>
      <c r="F555" s="109"/>
      <c r="G555" s="110"/>
      <c r="H555" s="109"/>
      <c r="I555" s="109"/>
      <c r="J555" s="111"/>
      <c r="K555" s="112"/>
      <c r="M555" s="84"/>
      <c r="N555" s="84"/>
      <c r="O555" s="84"/>
      <c r="P555" s="84"/>
      <c r="Q555" s="84"/>
    </row>
    <row r="556" spans="2:17">
      <c r="B556" s="108"/>
      <c r="C556" s="109"/>
      <c r="D556" s="109"/>
      <c r="E556" s="109"/>
      <c r="F556" s="109"/>
      <c r="G556" s="110"/>
      <c r="H556" s="109"/>
      <c r="I556" s="109"/>
      <c r="J556" s="111"/>
      <c r="K556" s="112"/>
      <c r="M556" s="84"/>
      <c r="N556" s="84"/>
      <c r="O556" s="84"/>
      <c r="P556" s="84"/>
      <c r="Q556" s="84"/>
    </row>
    <row r="557" spans="2:17">
      <c r="B557" s="108"/>
      <c r="C557" s="109"/>
      <c r="D557" s="109"/>
      <c r="E557" s="109"/>
      <c r="F557" s="109"/>
      <c r="G557" s="110"/>
      <c r="H557" s="109"/>
      <c r="I557" s="109"/>
      <c r="J557" s="111"/>
      <c r="K557" s="112"/>
      <c r="M557" s="84"/>
      <c r="N557" s="84"/>
      <c r="O557" s="84"/>
      <c r="P557" s="84"/>
      <c r="Q557" s="84"/>
    </row>
    <row r="558" spans="2:17">
      <c r="B558" s="108"/>
      <c r="C558" s="109"/>
      <c r="D558" s="109"/>
      <c r="E558" s="109"/>
      <c r="F558" s="109"/>
      <c r="G558" s="110"/>
      <c r="H558" s="109"/>
      <c r="I558" s="109"/>
      <c r="J558" s="111"/>
      <c r="K558" s="112"/>
      <c r="M558" s="116"/>
    </row>
    <row r="559" spans="2:17">
      <c r="B559" s="108"/>
      <c r="C559" s="109"/>
      <c r="D559" s="109"/>
      <c r="E559" s="109"/>
      <c r="F559" s="109"/>
      <c r="G559" s="110"/>
      <c r="H559" s="109"/>
      <c r="I559" s="109"/>
      <c r="J559" s="111"/>
      <c r="K559" s="112"/>
      <c r="M559" s="116"/>
    </row>
    <row r="560" spans="2:17">
      <c r="B560" s="108"/>
      <c r="C560" s="109"/>
      <c r="D560" s="109"/>
      <c r="E560" s="109"/>
      <c r="F560" s="109"/>
      <c r="G560" s="110"/>
      <c r="H560" s="109"/>
      <c r="I560" s="109"/>
      <c r="J560" s="111"/>
      <c r="K560" s="112"/>
      <c r="M560" s="116"/>
    </row>
    <row r="561" spans="2:13">
      <c r="B561" s="108"/>
      <c r="C561" s="109"/>
      <c r="D561" s="109"/>
      <c r="E561" s="109"/>
      <c r="F561" s="109"/>
      <c r="G561" s="110"/>
      <c r="H561" s="109"/>
      <c r="I561" s="109"/>
      <c r="J561" s="111"/>
      <c r="K561" s="112"/>
      <c r="M561" s="116"/>
    </row>
    <row r="562" spans="2:13">
      <c r="B562" s="108"/>
      <c r="C562" s="109"/>
      <c r="D562" s="109"/>
      <c r="E562" s="109"/>
      <c r="F562" s="109"/>
      <c r="G562" s="110"/>
      <c r="H562" s="109"/>
      <c r="I562" s="109"/>
      <c r="J562" s="111"/>
      <c r="K562" s="112"/>
      <c r="M562" s="116"/>
    </row>
    <row r="563" spans="2:13">
      <c r="B563" s="113"/>
      <c r="C563" s="114"/>
      <c r="D563" s="114"/>
      <c r="E563" s="114"/>
      <c r="F563" s="114"/>
      <c r="G563" s="115"/>
      <c r="H563" s="114"/>
      <c r="I563" s="114"/>
      <c r="J563" s="111"/>
      <c r="K563" s="112"/>
      <c r="M563" s="116"/>
    </row>
    <row r="564" spans="2:13">
      <c r="H564" s="85"/>
      <c r="I564" s="117"/>
    </row>
    <row r="565" spans="2:13">
      <c r="H565" s="85"/>
      <c r="I565" s="117"/>
    </row>
    <row r="566" spans="2:13">
      <c r="H566" s="85"/>
      <c r="I566" s="117"/>
    </row>
    <row r="567" spans="2:13">
      <c r="H567" s="85"/>
      <c r="I567" s="117"/>
    </row>
    <row r="568" spans="2:13">
      <c r="H568" s="85"/>
      <c r="I568" s="117"/>
    </row>
    <row r="569" spans="2:13">
      <c r="H569" s="85"/>
      <c r="I569" s="117"/>
    </row>
    <row r="570" spans="2:13">
      <c r="H570" s="85"/>
      <c r="I570" s="117"/>
    </row>
    <row r="571" spans="2:13">
      <c r="H571" s="85"/>
      <c r="I571" s="117"/>
    </row>
    <row r="572" spans="2:13">
      <c r="H572" s="85"/>
      <c r="I572" s="117"/>
    </row>
    <row r="573" spans="2:13">
      <c r="H573" s="85"/>
      <c r="I573" s="117"/>
    </row>
    <row r="574" spans="2:13">
      <c r="H574" s="85"/>
      <c r="I574" s="117"/>
    </row>
    <row r="575" spans="2:13">
      <c r="H575" s="85"/>
      <c r="I575" s="117"/>
    </row>
    <row r="576" spans="2:13">
      <c r="H576" s="85"/>
      <c r="I576" s="117"/>
    </row>
    <row r="577" spans="8:9">
      <c r="H577" s="85"/>
      <c r="I577" s="117"/>
    </row>
    <row r="578" spans="8:9">
      <c r="H578" s="85"/>
      <c r="I578" s="117"/>
    </row>
    <row r="579" spans="8:9">
      <c r="H579" s="85"/>
      <c r="I579" s="117"/>
    </row>
    <row r="580" spans="8:9">
      <c r="H580" s="85"/>
      <c r="I580" s="117"/>
    </row>
    <row r="581" spans="8:9">
      <c r="H581" s="85"/>
      <c r="I581" s="117"/>
    </row>
    <row r="582" spans="8:9">
      <c r="H582" s="85"/>
      <c r="I582" s="117"/>
    </row>
    <row r="583" spans="8:9">
      <c r="H583" s="85"/>
      <c r="I583" s="117"/>
    </row>
    <row r="584" spans="8:9">
      <c r="H584" s="85"/>
      <c r="I584" s="117"/>
    </row>
    <row r="585" spans="8:9">
      <c r="H585" s="85"/>
      <c r="I585" s="117"/>
    </row>
    <row r="586" spans="8:9">
      <c r="H586" s="85"/>
      <c r="I586" s="117"/>
    </row>
    <row r="587" spans="8:9">
      <c r="H587" s="85"/>
      <c r="I587" s="117"/>
    </row>
    <row r="588" spans="8:9">
      <c r="H588" s="85"/>
      <c r="I588" s="117"/>
    </row>
    <row r="589" spans="8:9">
      <c r="H589" s="85"/>
      <c r="I589" s="117"/>
    </row>
    <row r="590" spans="8:9">
      <c r="H590" s="85"/>
      <c r="I590" s="117"/>
    </row>
    <row r="591" spans="8:9">
      <c r="H591" s="85"/>
      <c r="I591" s="117"/>
    </row>
    <row r="592" spans="8:9">
      <c r="H592" s="85"/>
      <c r="I592" s="117"/>
    </row>
    <row r="593" spans="8:9">
      <c r="H593" s="85"/>
      <c r="I593" s="117"/>
    </row>
    <row r="594" spans="8:9">
      <c r="H594" s="85"/>
      <c r="I594" s="117"/>
    </row>
    <row r="595" spans="8:9">
      <c r="H595" s="85"/>
      <c r="I595" s="117"/>
    </row>
    <row r="596" spans="8:9">
      <c r="H596" s="85"/>
      <c r="I596" s="117"/>
    </row>
    <row r="597" spans="8:9">
      <c r="H597" s="85"/>
      <c r="I597" s="117"/>
    </row>
    <row r="598" spans="8:9">
      <c r="H598" s="85"/>
      <c r="I598" s="117"/>
    </row>
    <row r="599" spans="8:9">
      <c r="H599" s="85"/>
      <c r="I599" s="117"/>
    </row>
    <row r="600" spans="8:9">
      <c r="H600" s="85"/>
      <c r="I600" s="117"/>
    </row>
    <row r="601" spans="8:9">
      <c r="H601" s="85"/>
      <c r="I601" s="117"/>
    </row>
    <row r="602" spans="8:9">
      <c r="H602" s="85"/>
      <c r="I602" s="117"/>
    </row>
    <row r="603" spans="8:9">
      <c r="H603" s="85"/>
      <c r="I603" s="117"/>
    </row>
    <row r="604" spans="8:9">
      <c r="H604" s="85"/>
      <c r="I604" s="117"/>
    </row>
    <row r="605" spans="8:9">
      <c r="H605" s="85"/>
      <c r="I605" s="117"/>
    </row>
    <row r="606" spans="8:9">
      <c r="H606" s="85"/>
      <c r="I606" s="117"/>
    </row>
    <row r="607" spans="8:9">
      <c r="H607" s="85"/>
      <c r="I607" s="117"/>
    </row>
    <row r="608" spans="8:9">
      <c r="H608" s="85"/>
      <c r="I608" s="117"/>
    </row>
    <row r="609" spans="8:9">
      <c r="H609" s="85"/>
      <c r="I609" s="117"/>
    </row>
    <row r="610" spans="8:9">
      <c r="H610" s="85"/>
      <c r="I610" s="117"/>
    </row>
    <row r="611" spans="8:9">
      <c r="H611" s="85"/>
      <c r="I611" s="117"/>
    </row>
    <row r="612" spans="8:9">
      <c r="H612" s="85"/>
      <c r="I612" s="117"/>
    </row>
    <row r="613" spans="8:9">
      <c r="H613" s="85"/>
      <c r="I613" s="117"/>
    </row>
    <row r="614" spans="8:9">
      <c r="H614" s="85"/>
      <c r="I614" s="117"/>
    </row>
    <row r="615" spans="8:9">
      <c r="H615" s="85"/>
      <c r="I615" s="117"/>
    </row>
    <row r="616" spans="8:9">
      <c r="H616" s="85"/>
      <c r="I616" s="117"/>
    </row>
    <row r="617" spans="8:9">
      <c r="H617" s="85"/>
      <c r="I617" s="117"/>
    </row>
    <row r="618" spans="8:9">
      <c r="H618" s="85"/>
      <c r="I618" s="117"/>
    </row>
    <row r="619" spans="8:9">
      <c r="H619" s="85"/>
      <c r="I619" s="117"/>
    </row>
    <row r="620" spans="8:9">
      <c r="H620" s="85"/>
      <c r="I620" s="117"/>
    </row>
    <row r="621" spans="8:9">
      <c r="H621" s="85"/>
      <c r="I621" s="117"/>
    </row>
    <row r="622" spans="8:9">
      <c r="H622" s="85"/>
      <c r="I622" s="117"/>
    </row>
    <row r="623" spans="8:9">
      <c r="H623" s="85"/>
      <c r="I623" s="117"/>
    </row>
    <row r="624" spans="8:9">
      <c r="H624" s="85"/>
      <c r="I624" s="117"/>
    </row>
    <row r="625" spans="8:9">
      <c r="H625" s="85"/>
      <c r="I625" s="117"/>
    </row>
    <row r="626" spans="8:9">
      <c r="H626" s="85"/>
      <c r="I626" s="117"/>
    </row>
    <row r="627" spans="8:9">
      <c r="H627" s="85"/>
      <c r="I627" s="117"/>
    </row>
    <row r="628" spans="8:9">
      <c r="H628" s="85"/>
      <c r="I628" s="117"/>
    </row>
    <row r="629" spans="8:9">
      <c r="H629" s="85"/>
      <c r="I629" s="117"/>
    </row>
    <row r="630" spans="8:9">
      <c r="H630" s="85"/>
      <c r="I630" s="117"/>
    </row>
    <row r="631" spans="8:9">
      <c r="H631" s="85"/>
      <c r="I631" s="117"/>
    </row>
    <row r="632" spans="8:9">
      <c r="H632" s="85"/>
      <c r="I632" s="117"/>
    </row>
    <row r="633" spans="8:9">
      <c r="H633" s="85"/>
      <c r="I633" s="117"/>
    </row>
    <row r="634" spans="8:9">
      <c r="H634" s="85"/>
      <c r="I634" s="117"/>
    </row>
    <row r="635" spans="8:9">
      <c r="H635" s="85"/>
      <c r="I635" s="117"/>
    </row>
    <row r="636" spans="8:9">
      <c r="H636" s="85"/>
      <c r="I636" s="117"/>
    </row>
    <row r="637" spans="8:9">
      <c r="H637" s="85"/>
      <c r="I637" s="117"/>
    </row>
    <row r="638" spans="8:9">
      <c r="H638" s="85"/>
      <c r="I638" s="117"/>
    </row>
    <row r="639" spans="8:9">
      <c r="H639" s="85"/>
      <c r="I639" s="117"/>
    </row>
    <row r="640" spans="8:9">
      <c r="H640" s="85"/>
      <c r="I640" s="117"/>
    </row>
    <row r="641" spans="8:9">
      <c r="H641" s="85"/>
      <c r="I641" s="117"/>
    </row>
    <row r="642" spans="8:9">
      <c r="H642" s="85"/>
      <c r="I642" s="117"/>
    </row>
    <row r="643" spans="8:9">
      <c r="H643" s="85"/>
      <c r="I643" s="117"/>
    </row>
    <row r="644" spans="8:9">
      <c r="H644" s="85"/>
      <c r="I644" s="117"/>
    </row>
    <row r="645" spans="8:9">
      <c r="H645" s="85"/>
      <c r="I645" s="117"/>
    </row>
    <row r="646" spans="8:9">
      <c r="H646" s="85"/>
      <c r="I646" s="117"/>
    </row>
    <row r="647" spans="8:9">
      <c r="H647" s="85"/>
      <c r="I647" s="117"/>
    </row>
    <row r="648" spans="8:9">
      <c r="H648" s="85"/>
      <c r="I648" s="117"/>
    </row>
    <row r="649" spans="8:9">
      <c r="H649" s="85"/>
      <c r="I649" s="117"/>
    </row>
    <row r="650" spans="8:9">
      <c r="H650" s="85"/>
      <c r="I650" s="117"/>
    </row>
    <row r="651" spans="8:9">
      <c r="H651" s="85"/>
      <c r="I651" s="117"/>
    </row>
    <row r="652" spans="8:9">
      <c r="H652" s="85"/>
      <c r="I652" s="117"/>
    </row>
    <row r="653" spans="8:9">
      <c r="H653" s="85"/>
      <c r="I653" s="117"/>
    </row>
    <row r="654" spans="8:9">
      <c r="H654" s="85"/>
      <c r="I654" s="117"/>
    </row>
    <row r="655" spans="8:9">
      <c r="H655" s="85"/>
      <c r="I655" s="117"/>
    </row>
    <row r="656" spans="8:9">
      <c r="H656" s="85"/>
      <c r="I656" s="117"/>
    </row>
    <row r="657" spans="8:9">
      <c r="H657" s="85"/>
      <c r="I657" s="117"/>
    </row>
    <row r="658" spans="8:9">
      <c r="H658" s="85"/>
      <c r="I658" s="117"/>
    </row>
    <row r="659" spans="8:9">
      <c r="H659" s="85"/>
      <c r="I659" s="117"/>
    </row>
    <row r="660" spans="8:9">
      <c r="H660" s="85"/>
      <c r="I660" s="117"/>
    </row>
    <row r="661" spans="8:9">
      <c r="H661" s="85"/>
      <c r="I661" s="117"/>
    </row>
    <row r="662" spans="8:9">
      <c r="H662" s="85"/>
      <c r="I662" s="117"/>
    </row>
    <row r="663" spans="8:9">
      <c r="H663" s="85"/>
      <c r="I663" s="117"/>
    </row>
    <row r="664" spans="8:9">
      <c r="H664" s="85"/>
      <c r="I664" s="117"/>
    </row>
    <row r="665" spans="8:9">
      <c r="H665" s="85"/>
      <c r="I665" s="117"/>
    </row>
    <row r="666" spans="8:9">
      <c r="H666" s="85"/>
      <c r="I666" s="117"/>
    </row>
    <row r="667" spans="8:9">
      <c r="H667" s="85"/>
      <c r="I667" s="117"/>
    </row>
    <row r="668" spans="8:9">
      <c r="H668" s="85"/>
      <c r="I668" s="117"/>
    </row>
    <row r="669" spans="8:9">
      <c r="H669" s="85"/>
      <c r="I669" s="117"/>
    </row>
    <row r="670" spans="8:9">
      <c r="H670" s="85"/>
      <c r="I670" s="117"/>
    </row>
    <row r="671" spans="8:9">
      <c r="H671" s="85"/>
      <c r="I671" s="117"/>
    </row>
    <row r="672" spans="8:9">
      <c r="H672" s="85"/>
      <c r="I672" s="117"/>
    </row>
    <row r="673" spans="8:9">
      <c r="H673" s="85"/>
      <c r="I673" s="117"/>
    </row>
    <row r="674" spans="8:9">
      <c r="H674" s="85"/>
      <c r="I674" s="117"/>
    </row>
    <row r="675" spans="8:9">
      <c r="H675" s="85"/>
      <c r="I675" s="117"/>
    </row>
    <row r="676" spans="8:9">
      <c r="H676" s="85"/>
      <c r="I676" s="117"/>
    </row>
    <row r="677" spans="8:9">
      <c r="H677" s="85"/>
      <c r="I677" s="117"/>
    </row>
    <row r="678" spans="8:9">
      <c r="H678" s="85"/>
      <c r="I678" s="117"/>
    </row>
    <row r="679" spans="8:9">
      <c r="H679" s="85"/>
      <c r="I679" s="117"/>
    </row>
    <row r="680" spans="8:9">
      <c r="H680" s="85"/>
      <c r="I680" s="117"/>
    </row>
    <row r="681" spans="8:9">
      <c r="H681" s="85"/>
      <c r="I681" s="117"/>
    </row>
    <row r="682" spans="8:9">
      <c r="H682" s="85"/>
      <c r="I682" s="117"/>
    </row>
    <row r="683" spans="8:9">
      <c r="H683" s="85"/>
      <c r="I683" s="117"/>
    </row>
    <row r="684" spans="8:9">
      <c r="H684" s="85"/>
      <c r="I684" s="117"/>
    </row>
    <row r="685" spans="8:9">
      <c r="H685" s="85"/>
      <c r="I685" s="117"/>
    </row>
    <row r="686" spans="8:9">
      <c r="H686" s="85"/>
      <c r="I686" s="117"/>
    </row>
    <row r="687" spans="8:9">
      <c r="H687" s="85"/>
      <c r="I687" s="117"/>
    </row>
    <row r="688" spans="8:9">
      <c r="H688" s="85"/>
      <c r="I688" s="117"/>
    </row>
    <row r="689" spans="8:9">
      <c r="H689" s="85"/>
      <c r="I689" s="117"/>
    </row>
    <row r="690" spans="8:9">
      <c r="H690" s="85"/>
      <c r="I690" s="117"/>
    </row>
    <row r="691" spans="8:9">
      <c r="H691" s="85"/>
      <c r="I691" s="117"/>
    </row>
    <row r="692" spans="8:9">
      <c r="H692" s="85"/>
      <c r="I692" s="117"/>
    </row>
    <row r="693" spans="8:9">
      <c r="H693" s="85"/>
      <c r="I693" s="117"/>
    </row>
    <row r="694" spans="8:9">
      <c r="H694" s="85"/>
      <c r="I694" s="117"/>
    </row>
    <row r="695" spans="8:9">
      <c r="H695" s="85"/>
      <c r="I695" s="117"/>
    </row>
    <row r="696" spans="8:9">
      <c r="H696" s="85"/>
      <c r="I696" s="117"/>
    </row>
    <row r="697" spans="8:9">
      <c r="H697" s="85"/>
      <c r="I697" s="117"/>
    </row>
    <row r="698" spans="8:9">
      <c r="H698" s="85"/>
      <c r="I698" s="117"/>
    </row>
    <row r="699" spans="8:9">
      <c r="H699" s="85"/>
      <c r="I699" s="117"/>
    </row>
    <row r="700" spans="8:9">
      <c r="H700" s="85"/>
      <c r="I700" s="117"/>
    </row>
    <row r="701" spans="8:9">
      <c r="H701" s="85"/>
      <c r="I701" s="117"/>
    </row>
    <row r="702" spans="8:9">
      <c r="H702" s="85"/>
      <c r="I702" s="117"/>
    </row>
    <row r="703" spans="8:9">
      <c r="H703" s="85"/>
      <c r="I703" s="117"/>
    </row>
    <row r="704" spans="8:9">
      <c r="H704" s="85"/>
      <c r="I704" s="117"/>
    </row>
    <row r="705" spans="8:9">
      <c r="H705" s="85"/>
      <c r="I705" s="117"/>
    </row>
    <row r="706" spans="8:9">
      <c r="H706" s="85"/>
      <c r="I706" s="117"/>
    </row>
    <row r="707" spans="8:9">
      <c r="H707" s="85"/>
      <c r="I707" s="117"/>
    </row>
    <row r="708" spans="8:9">
      <c r="H708" s="85"/>
      <c r="I708" s="117"/>
    </row>
    <row r="709" spans="8:9">
      <c r="H709" s="85"/>
      <c r="I709" s="117"/>
    </row>
    <row r="710" spans="8:9">
      <c r="H710" s="85"/>
      <c r="I710" s="117"/>
    </row>
    <row r="711" spans="8:9">
      <c r="H711" s="85"/>
      <c r="I711" s="117"/>
    </row>
    <row r="712" spans="8:9">
      <c r="H712" s="85"/>
      <c r="I712" s="117"/>
    </row>
    <row r="713" spans="8:9">
      <c r="H713" s="85"/>
      <c r="I713" s="117"/>
    </row>
    <row r="714" spans="8:9">
      <c r="H714" s="85"/>
      <c r="I714" s="117"/>
    </row>
    <row r="715" spans="8:9">
      <c r="H715" s="85"/>
      <c r="I715" s="117"/>
    </row>
    <row r="716" spans="8:9">
      <c r="H716" s="85"/>
      <c r="I716" s="117"/>
    </row>
    <row r="717" spans="8:9">
      <c r="H717" s="85"/>
      <c r="I717" s="117"/>
    </row>
    <row r="718" spans="8:9">
      <c r="H718" s="85"/>
      <c r="I718" s="117"/>
    </row>
    <row r="719" spans="8:9">
      <c r="H719" s="85"/>
      <c r="I719" s="117"/>
    </row>
    <row r="720" spans="8:9">
      <c r="H720" s="85"/>
      <c r="I720" s="117"/>
    </row>
    <row r="721" spans="8:9">
      <c r="H721" s="85"/>
      <c r="I721" s="117"/>
    </row>
    <row r="722" spans="8:9">
      <c r="H722" s="85"/>
      <c r="I722" s="117"/>
    </row>
    <row r="723" spans="8:9">
      <c r="H723" s="85"/>
      <c r="I723" s="117"/>
    </row>
    <row r="724" spans="8:9">
      <c r="H724" s="85"/>
      <c r="I724" s="117"/>
    </row>
    <row r="725" spans="8:9">
      <c r="H725" s="85"/>
      <c r="I725" s="117"/>
    </row>
    <row r="726" spans="8:9">
      <c r="H726" s="85"/>
      <c r="I726" s="117"/>
    </row>
    <row r="727" spans="8:9">
      <c r="H727" s="85"/>
      <c r="I727" s="117"/>
    </row>
    <row r="728" spans="8:9">
      <c r="H728" s="85"/>
      <c r="I728" s="117"/>
    </row>
    <row r="729" spans="8:9">
      <c r="H729" s="85"/>
      <c r="I729" s="117"/>
    </row>
    <row r="730" spans="8:9">
      <c r="H730" s="85"/>
      <c r="I730" s="117"/>
    </row>
    <row r="731" spans="8:9">
      <c r="H731" s="85"/>
      <c r="I731" s="117"/>
    </row>
    <row r="732" spans="8:9">
      <c r="H732" s="85"/>
      <c r="I732" s="117"/>
    </row>
    <row r="733" spans="8:9">
      <c r="H733" s="85"/>
      <c r="I733" s="117"/>
    </row>
    <row r="734" spans="8:9">
      <c r="H734" s="85"/>
      <c r="I734" s="117"/>
    </row>
    <row r="735" spans="8:9">
      <c r="H735" s="85"/>
      <c r="I735" s="117"/>
    </row>
    <row r="736" spans="8:9">
      <c r="H736" s="85"/>
      <c r="I736" s="117"/>
    </row>
    <row r="737" spans="8:9">
      <c r="H737" s="85"/>
      <c r="I737" s="117"/>
    </row>
    <row r="738" spans="8:9">
      <c r="H738" s="85"/>
      <c r="I738" s="117"/>
    </row>
    <row r="739" spans="8:9">
      <c r="H739" s="85"/>
      <c r="I739" s="117"/>
    </row>
    <row r="740" spans="8:9">
      <c r="H740" s="85"/>
      <c r="I740" s="117"/>
    </row>
    <row r="741" spans="8:9">
      <c r="H741" s="85"/>
      <c r="I741" s="117"/>
    </row>
    <row r="742" spans="8:9">
      <c r="H742" s="85"/>
      <c r="I742" s="117"/>
    </row>
    <row r="743" spans="8:9">
      <c r="H743" s="85"/>
      <c r="I743" s="117"/>
    </row>
    <row r="744" spans="8:9">
      <c r="H744" s="85"/>
      <c r="I744" s="117"/>
    </row>
    <row r="745" spans="8:9">
      <c r="H745" s="85"/>
      <c r="I745" s="117"/>
    </row>
    <row r="746" spans="8:9">
      <c r="H746" s="85"/>
      <c r="I746" s="117"/>
    </row>
    <row r="747" spans="8:9">
      <c r="H747" s="85"/>
      <c r="I747" s="117"/>
    </row>
    <row r="748" spans="8:9">
      <c r="H748" s="85"/>
      <c r="I748" s="117"/>
    </row>
    <row r="749" spans="8:9">
      <c r="H749" s="85"/>
      <c r="I749" s="117"/>
    </row>
    <row r="750" spans="8:9">
      <c r="H750" s="85"/>
      <c r="I750" s="117"/>
    </row>
    <row r="751" spans="8:9">
      <c r="H751" s="85"/>
      <c r="I751" s="117"/>
    </row>
    <row r="752" spans="8:9">
      <c r="H752" s="85"/>
      <c r="I752" s="117"/>
    </row>
    <row r="753" spans="8:9">
      <c r="H753" s="85"/>
      <c r="I753" s="117"/>
    </row>
    <row r="754" spans="8:9">
      <c r="H754" s="85"/>
      <c r="I754" s="117"/>
    </row>
    <row r="755" spans="8:9">
      <c r="H755" s="85"/>
      <c r="I755" s="117"/>
    </row>
    <row r="756" spans="8:9">
      <c r="H756" s="85"/>
      <c r="I756" s="117"/>
    </row>
    <row r="757" spans="8:9">
      <c r="H757" s="85"/>
      <c r="I757" s="117"/>
    </row>
    <row r="758" spans="8:9">
      <c r="H758" s="85"/>
      <c r="I758" s="117"/>
    </row>
    <row r="759" spans="8:9">
      <c r="H759" s="85"/>
      <c r="I759" s="117"/>
    </row>
    <row r="760" spans="8:9">
      <c r="H760" s="85"/>
      <c r="I760" s="117"/>
    </row>
    <row r="761" spans="8:9">
      <c r="H761" s="85"/>
      <c r="I761" s="117"/>
    </row>
    <row r="762" spans="8:9">
      <c r="H762" s="85"/>
      <c r="I762" s="117"/>
    </row>
    <row r="763" spans="8:9">
      <c r="H763" s="85"/>
      <c r="I763" s="117"/>
    </row>
    <row r="764" spans="8:9">
      <c r="H764" s="85"/>
      <c r="I764" s="117"/>
    </row>
    <row r="765" spans="8:9">
      <c r="H765" s="85"/>
      <c r="I765" s="117"/>
    </row>
    <row r="766" spans="8:9">
      <c r="H766" s="85"/>
      <c r="I766" s="117"/>
    </row>
    <row r="767" spans="8:9">
      <c r="H767" s="85"/>
      <c r="I767" s="117"/>
    </row>
    <row r="768" spans="8:9">
      <c r="H768" s="85"/>
      <c r="I768" s="117"/>
    </row>
    <row r="769" spans="8:9">
      <c r="H769" s="85"/>
      <c r="I769" s="117"/>
    </row>
    <row r="770" spans="8:9">
      <c r="H770" s="85"/>
      <c r="I770" s="117"/>
    </row>
    <row r="771" spans="8:9">
      <c r="H771" s="85"/>
      <c r="I771" s="117"/>
    </row>
    <row r="772" spans="8:9">
      <c r="H772" s="85"/>
      <c r="I772" s="117"/>
    </row>
    <row r="773" spans="8:9">
      <c r="H773" s="85"/>
      <c r="I773" s="117"/>
    </row>
    <row r="774" spans="8:9">
      <c r="H774" s="85"/>
      <c r="I774" s="117"/>
    </row>
    <row r="775" spans="8:9">
      <c r="H775" s="85"/>
      <c r="I775" s="117"/>
    </row>
    <row r="776" spans="8:9">
      <c r="H776" s="85"/>
      <c r="I776" s="117"/>
    </row>
    <row r="777" spans="8:9">
      <c r="H777" s="85"/>
      <c r="I777" s="117"/>
    </row>
    <row r="778" spans="8:9">
      <c r="H778" s="85"/>
      <c r="I778" s="117"/>
    </row>
    <row r="779" spans="8:9">
      <c r="H779" s="85"/>
      <c r="I779" s="117"/>
    </row>
    <row r="780" spans="8:9">
      <c r="H780" s="85"/>
      <c r="I780" s="117"/>
    </row>
    <row r="781" spans="8:9">
      <c r="H781" s="85"/>
      <c r="I781" s="117"/>
    </row>
    <row r="782" spans="8:9">
      <c r="H782" s="85"/>
      <c r="I782" s="117"/>
    </row>
    <row r="783" spans="8:9">
      <c r="H783" s="85"/>
      <c r="I783" s="117"/>
    </row>
    <row r="784" spans="8:9">
      <c r="H784" s="85"/>
      <c r="I784" s="117"/>
    </row>
    <row r="785" spans="8:9">
      <c r="H785" s="85"/>
      <c r="I785" s="117"/>
    </row>
    <row r="786" spans="8:9">
      <c r="H786" s="85"/>
      <c r="I786" s="117"/>
    </row>
    <row r="787" spans="8:9">
      <c r="H787" s="85"/>
      <c r="I787" s="117"/>
    </row>
    <row r="788" spans="8:9">
      <c r="H788" s="85"/>
      <c r="I788" s="117"/>
    </row>
    <row r="789" spans="8:9">
      <c r="H789" s="85"/>
      <c r="I789" s="117"/>
    </row>
    <row r="790" spans="8:9">
      <c r="H790" s="85"/>
      <c r="I790" s="117"/>
    </row>
    <row r="791" spans="8:9">
      <c r="H791" s="85"/>
      <c r="I791" s="117"/>
    </row>
    <row r="792" spans="8:9">
      <c r="H792" s="85"/>
      <c r="I792" s="117"/>
    </row>
    <row r="793" spans="8:9">
      <c r="H793" s="85"/>
      <c r="I793" s="117"/>
    </row>
    <row r="794" spans="8:9">
      <c r="H794" s="85"/>
      <c r="I794" s="117"/>
    </row>
    <row r="795" spans="8:9">
      <c r="H795" s="85"/>
      <c r="I795" s="117"/>
    </row>
    <row r="796" spans="8:9">
      <c r="H796" s="85"/>
      <c r="I796" s="117"/>
    </row>
    <row r="797" spans="8:9">
      <c r="H797" s="85"/>
      <c r="I797" s="117"/>
    </row>
    <row r="798" spans="8:9">
      <c r="H798" s="85"/>
      <c r="I798" s="117"/>
    </row>
    <row r="799" spans="8:9">
      <c r="H799" s="85"/>
      <c r="I799" s="117"/>
    </row>
    <row r="800" spans="8:9">
      <c r="H800" s="85"/>
      <c r="I800" s="117"/>
    </row>
    <row r="801" spans="8:9">
      <c r="H801" s="85"/>
      <c r="I801" s="117"/>
    </row>
    <row r="802" spans="8:9">
      <c r="H802" s="85"/>
      <c r="I802" s="117"/>
    </row>
    <row r="803" spans="8:9">
      <c r="H803" s="85"/>
      <c r="I803" s="117"/>
    </row>
    <row r="804" spans="8:9">
      <c r="H804" s="85"/>
      <c r="I804" s="117"/>
    </row>
    <row r="805" spans="8:9">
      <c r="H805" s="85"/>
      <c r="I805" s="117"/>
    </row>
    <row r="806" spans="8:9">
      <c r="H806" s="85"/>
      <c r="I806" s="117"/>
    </row>
    <row r="807" spans="8:9">
      <c r="H807" s="85"/>
      <c r="I807" s="117"/>
    </row>
    <row r="808" spans="8:9">
      <c r="H808" s="85"/>
      <c r="I808" s="117"/>
    </row>
    <row r="809" spans="8:9">
      <c r="H809" s="85"/>
      <c r="I809" s="117"/>
    </row>
    <row r="810" spans="8:9">
      <c r="H810" s="85"/>
      <c r="I810" s="117"/>
    </row>
    <row r="811" spans="8:9">
      <c r="H811" s="85"/>
      <c r="I811" s="117"/>
    </row>
    <row r="812" spans="8:9">
      <c r="H812" s="85"/>
      <c r="I812" s="117"/>
    </row>
    <row r="813" spans="8:9">
      <c r="H813" s="85"/>
      <c r="I813" s="117"/>
    </row>
    <row r="814" spans="8:9">
      <c r="H814" s="85"/>
      <c r="I814" s="117"/>
    </row>
    <row r="815" spans="8:9">
      <c r="H815" s="85"/>
      <c r="I815" s="117"/>
    </row>
    <row r="816" spans="8:9">
      <c r="H816" s="85"/>
      <c r="I816" s="117"/>
    </row>
    <row r="817" spans="8:9">
      <c r="H817" s="85"/>
      <c r="I817" s="117"/>
    </row>
    <row r="818" spans="8:9">
      <c r="H818" s="85"/>
      <c r="I818" s="117"/>
    </row>
    <row r="819" spans="8:9">
      <c r="H819" s="85"/>
      <c r="I819" s="117"/>
    </row>
    <row r="820" spans="8:9">
      <c r="H820" s="85"/>
      <c r="I820" s="117"/>
    </row>
    <row r="821" spans="8:9">
      <c r="H821" s="85"/>
      <c r="I821" s="117"/>
    </row>
    <row r="822" spans="8:9">
      <c r="H822" s="85"/>
      <c r="I822" s="117"/>
    </row>
    <row r="823" spans="8:9">
      <c r="H823" s="85"/>
      <c r="I823" s="117"/>
    </row>
    <row r="824" spans="8:9">
      <c r="H824" s="85"/>
      <c r="I824" s="117"/>
    </row>
    <row r="825" spans="8:9">
      <c r="H825" s="85"/>
      <c r="I825" s="117"/>
    </row>
    <row r="826" spans="8:9">
      <c r="H826" s="85"/>
      <c r="I826" s="117"/>
    </row>
    <row r="827" spans="8:9">
      <c r="H827" s="85"/>
      <c r="I827" s="117"/>
    </row>
    <row r="828" spans="8:9">
      <c r="H828" s="85"/>
      <c r="I828" s="117"/>
    </row>
    <row r="829" spans="8:9">
      <c r="H829" s="85"/>
      <c r="I829" s="117"/>
    </row>
    <row r="830" spans="8:9">
      <c r="H830" s="85"/>
      <c r="I830" s="117"/>
    </row>
    <row r="831" spans="8:9">
      <c r="H831" s="85"/>
      <c r="I831" s="117"/>
    </row>
    <row r="832" spans="8:9">
      <c r="H832" s="85"/>
      <c r="I832" s="117"/>
    </row>
    <row r="833" spans="8:9">
      <c r="H833" s="85"/>
      <c r="I833" s="117"/>
    </row>
    <row r="834" spans="8:9">
      <c r="H834" s="85"/>
      <c r="I834" s="117"/>
    </row>
    <row r="835" spans="8:9">
      <c r="H835" s="85"/>
      <c r="I835" s="117"/>
    </row>
    <row r="836" spans="8:9">
      <c r="H836" s="85"/>
      <c r="I836" s="117"/>
    </row>
    <row r="837" spans="8:9">
      <c r="H837" s="85"/>
      <c r="I837" s="117"/>
    </row>
    <row r="838" spans="8:9">
      <c r="H838" s="85"/>
      <c r="I838" s="117"/>
    </row>
    <row r="839" spans="8:9">
      <c r="H839" s="85"/>
      <c r="I839" s="117"/>
    </row>
    <row r="840" spans="8:9">
      <c r="H840" s="85"/>
      <c r="I840" s="117"/>
    </row>
    <row r="841" spans="8:9">
      <c r="H841" s="85"/>
      <c r="I841" s="117"/>
    </row>
    <row r="842" spans="8:9">
      <c r="H842" s="85"/>
      <c r="I842" s="117"/>
    </row>
    <row r="843" spans="8:9">
      <c r="H843" s="85"/>
      <c r="I843" s="117"/>
    </row>
    <row r="844" spans="8:9">
      <c r="H844" s="85"/>
      <c r="I844" s="117"/>
    </row>
    <row r="845" spans="8:9">
      <c r="H845" s="85"/>
      <c r="I845" s="117"/>
    </row>
    <row r="846" spans="8:9">
      <c r="H846" s="85"/>
      <c r="I846" s="117"/>
    </row>
    <row r="847" spans="8:9">
      <c r="H847" s="85"/>
      <c r="I847" s="117"/>
    </row>
    <row r="848" spans="8:9">
      <c r="H848" s="85"/>
      <c r="I848" s="117"/>
    </row>
    <row r="849" spans="8:9">
      <c r="H849" s="85"/>
      <c r="I849" s="117"/>
    </row>
    <row r="850" spans="8:9">
      <c r="H850" s="85"/>
      <c r="I850" s="117"/>
    </row>
    <row r="851" spans="8:9">
      <c r="H851" s="85"/>
      <c r="I851" s="117"/>
    </row>
    <row r="852" spans="8:9">
      <c r="H852" s="85"/>
      <c r="I852" s="117"/>
    </row>
    <row r="853" spans="8:9">
      <c r="H853" s="85"/>
      <c r="I853" s="117"/>
    </row>
    <row r="854" spans="8:9">
      <c r="H854" s="85"/>
      <c r="I854" s="117"/>
    </row>
    <row r="855" spans="8:9">
      <c r="H855" s="85"/>
      <c r="I855" s="117"/>
    </row>
    <row r="856" spans="8:9">
      <c r="H856" s="85"/>
      <c r="I856" s="117"/>
    </row>
    <row r="857" spans="8:9">
      <c r="H857" s="85"/>
      <c r="I857" s="117"/>
    </row>
    <row r="858" spans="8:9">
      <c r="H858" s="85"/>
      <c r="I858" s="117"/>
    </row>
    <row r="859" spans="8:9">
      <c r="H859" s="85"/>
      <c r="I859" s="117"/>
    </row>
    <row r="860" spans="8:9">
      <c r="H860" s="85"/>
      <c r="I860" s="117"/>
    </row>
    <row r="861" spans="8:9">
      <c r="H861" s="85"/>
      <c r="I861" s="117"/>
    </row>
    <row r="862" spans="8:9">
      <c r="H862" s="85"/>
      <c r="I862" s="117"/>
    </row>
    <row r="863" spans="8:9">
      <c r="H863" s="85"/>
      <c r="I863" s="117"/>
    </row>
    <row r="864" spans="8:9">
      <c r="H864" s="85"/>
      <c r="I864" s="117"/>
    </row>
    <row r="865" spans="8:9">
      <c r="H865" s="85"/>
      <c r="I865" s="117"/>
    </row>
    <row r="866" spans="8:9">
      <c r="H866" s="85"/>
      <c r="I866" s="117"/>
    </row>
    <row r="867" spans="8:9">
      <c r="H867" s="85"/>
      <c r="I867" s="117"/>
    </row>
    <row r="868" spans="8:9">
      <c r="H868" s="85"/>
      <c r="I868" s="117"/>
    </row>
    <row r="869" spans="8:9">
      <c r="H869" s="85"/>
      <c r="I869" s="117"/>
    </row>
    <row r="870" spans="8:9">
      <c r="H870" s="85"/>
      <c r="I870" s="117"/>
    </row>
    <row r="871" spans="8:9">
      <c r="H871" s="85"/>
      <c r="I871" s="117"/>
    </row>
    <row r="872" spans="8:9">
      <c r="H872" s="85"/>
      <c r="I872" s="117"/>
    </row>
    <row r="873" spans="8:9">
      <c r="H873" s="85"/>
      <c r="I873" s="117"/>
    </row>
    <row r="874" spans="8:9">
      <c r="H874" s="85"/>
      <c r="I874" s="117"/>
    </row>
    <row r="875" spans="8:9">
      <c r="H875" s="85"/>
      <c r="I875" s="117"/>
    </row>
    <row r="876" spans="8:9">
      <c r="H876" s="85"/>
      <c r="I876" s="117"/>
    </row>
    <row r="877" spans="8:9">
      <c r="H877" s="85"/>
      <c r="I877" s="117"/>
    </row>
    <row r="878" spans="8:9">
      <c r="H878" s="85"/>
      <c r="I878" s="117"/>
    </row>
    <row r="879" spans="8:9">
      <c r="H879" s="85"/>
      <c r="I879" s="117"/>
    </row>
    <row r="880" spans="8:9">
      <c r="H880" s="85"/>
      <c r="I880" s="117"/>
    </row>
    <row r="881" spans="8:9">
      <c r="H881" s="85"/>
      <c r="I881" s="117"/>
    </row>
    <row r="882" spans="8:9">
      <c r="H882" s="85"/>
      <c r="I882" s="117"/>
    </row>
    <row r="883" spans="8:9">
      <c r="H883" s="85"/>
      <c r="I883" s="117"/>
    </row>
    <row r="884" spans="8:9">
      <c r="H884" s="85"/>
      <c r="I884" s="117"/>
    </row>
    <row r="885" spans="8:9">
      <c r="H885" s="85"/>
      <c r="I885" s="117"/>
    </row>
    <row r="886" spans="8:9">
      <c r="H886" s="85"/>
      <c r="I886" s="117"/>
    </row>
    <row r="887" spans="8:9">
      <c r="H887" s="85"/>
      <c r="I887" s="117"/>
    </row>
    <row r="888" spans="8:9">
      <c r="H888" s="85"/>
      <c r="I888" s="117"/>
    </row>
    <row r="889" spans="8:9">
      <c r="H889" s="85"/>
      <c r="I889" s="117"/>
    </row>
    <row r="890" spans="8:9">
      <c r="H890" s="85"/>
      <c r="I890" s="117"/>
    </row>
    <row r="891" spans="8:9">
      <c r="H891" s="85"/>
      <c r="I891" s="117"/>
    </row>
    <row r="892" spans="8:9">
      <c r="H892" s="85"/>
      <c r="I892" s="117"/>
    </row>
    <row r="893" spans="8:9">
      <c r="H893" s="85"/>
      <c r="I893" s="117"/>
    </row>
    <row r="894" spans="8:9">
      <c r="H894" s="85"/>
      <c r="I894" s="117"/>
    </row>
    <row r="895" spans="8:9">
      <c r="H895" s="85"/>
      <c r="I895" s="117"/>
    </row>
    <row r="896" spans="8:9">
      <c r="H896" s="85"/>
      <c r="I896" s="117"/>
    </row>
    <row r="897" spans="8:9">
      <c r="H897" s="85"/>
      <c r="I897" s="117"/>
    </row>
    <row r="898" spans="8:9">
      <c r="H898" s="85"/>
      <c r="I898" s="117"/>
    </row>
    <row r="899" spans="8:9">
      <c r="H899" s="85"/>
      <c r="I899" s="117"/>
    </row>
    <row r="900" spans="8:9">
      <c r="H900" s="85"/>
      <c r="I900" s="117"/>
    </row>
    <row r="901" spans="8:9">
      <c r="H901" s="85"/>
      <c r="I901" s="117"/>
    </row>
    <row r="902" spans="8:9">
      <c r="H902" s="85"/>
      <c r="I902" s="117"/>
    </row>
    <row r="903" spans="8:9">
      <c r="H903" s="85"/>
      <c r="I903" s="117"/>
    </row>
    <row r="904" spans="8:9">
      <c r="H904" s="85"/>
      <c r="I904" s="117"/>
    </row>
    <row r="905" spans="8:9">
      <c r="H905" s="85"/>
      <c r="I905" s="117"/>
    </row>
    <row r="906" spans="8:9">
      <c r="H906" s="85"/>
      <c r="I906" s="117"/>
    </row>
    <row r="907" spans="8:9">
      <c r="H907" s="85"/>
      <c r="I907" s="117"/>
    </row>
    <row r="908" spans="8:9">
      <c r="H908" s="85"/>
      <c r="I908" s="117"/>
    </row>
    <row r="909" spans="8:9">
      <c r="H909" s="85"/>
      <c r="I909" s="117"/>
    </row>
    <row r="910" spans="8:9">
      <c r="H910" s="85"/>
      <c r="I910" s="117"/>
    </row>
    <row r="911" spans="8:9">
      <c r="H911" s="85"/>
      <c r="I911" s="117"/>
    </row>
    <row r="912" spans="8:9">
      <c r="H912" s="85"/>
      <c r="I912" s="117"/>
    </row>
    <row r="913" spans="8:9">
      <c r="H913" s="85"/>
      <c r="I913" s="117"/>
    </row>
    <row r="914" spans="8:9">
      <c r="H914" s="85"/>
      <c r="I914" s="117"/>
    </row>
    <row r="915" spans="8:9">
      <c r="H915" s="85"/>
      <c r="I915" s="117"/>
    </row>
    <row r="916" spans="8:9">
      <c r="H916" s="85"/>
      <c r="I916" s="117"/>
    </row>
    <row r="917" spans="8:9">
      <c r="H917" s="85"/>
      <c r="I917" s="117"/>
    </row>
    <row r="918" spans="8:9">
      <c r="H918" s="85"/>
      <c r="I918" s="117"/>
    </row>
    <row r="919" spans="8:9">
      <c r="H919" s="85"/>
      <c r="I919" s="117"/>
    </row>
    <row r="920" spans="8:9">
      <c r="H920" s="85"/>
      <c r="I920" s="117"/>
    </row>
    <row r="921" spans="8:9">
      <c r="H921" s="85"/>
      <c r="I921" s="117"/>
    </row>
    <row r="922" spans="8:9">
      <c r="H922" s="85"/>
      <c r="I922" s="117"/>
    </row>
    <row r="923" spans="8:9">
      <c r="H923" s="85"/>
      <c r="I923" s="117"/>
    </row>
    <row r="924" spans="8:9">
      <c r="H924" s="85"/>
      <c r="I924" s="117"/>
    </row>
    <row r="925" spans="8:9">
      <c r="H925" s="85"/>
      <c r="I925" s="117"/>
    </row>
    <row r="926" spans="8:9">
      <c r="H926" s="85"/>
      <c r="I926" s="117"/>
    </row>
    <row r="927" spans="8:9">
      <c r="H927" s="85"/>
      <c r="I927" s="117"/>
    </row>
    <row r="928" spans="8:9">
      <c r="H928" s="85"/>
      <c r="I928" s="117"/>
    </row>
    <row r="929" spans="8:9">
      <c r="H929" s="85"/>
      <c r="I929" s="117"/>
    </row>
    <row r="930" spans="8:9">
      <c r="H930" s="85"/>
      <c r="I930" s="117"/>
    </row>
    <row r="931" spans="8:9">
      <c r="H931" s="85"/>
      <c r="I931" s="117"/>
    </row>
    <row r="932" spans="8:9">
      <c r="H932" s="85"/>
      <c r="I932" s="117"/>
    </row>
    <row r="933" spans="8:9">
      <c r="H933" s="85"/>
      <c r="I933" s="117"/>
    </row>
    <row r="934" spans="8:9">
      <c r="H934" s="85"/>
      <c r="I934" s="117"/>
    </row>
    <row r="935" spans="8:9">
      <c r="H935" s="85"/>
      <c r="I935" s="117"/>
    </row>
    <row r="936" spans="8:9">
      <c r="H936" s="85"/>
      <c r="I936" s="117"/>
    </row>
    <row r="937" spans="8:9">
      <c r="H937" s="85"/>
      <c r="I937" s="117"/>
    </row>
    <row r="938" spans="8:9">
      <c r="H938" s="85"/>
      <c r="I938" s="117"/>
    </row>
    <row r="939" spans="8:9">
      <c r="H939" s="85"/>
      <c r="I939" s="117"/>
    </row>
    <row r="940" spans="8:9">
      <c r="H940" s="85"/>
      <c r="I940" s="117"/>
    </row>
    <row r="941" spans="8:9">
      <c r="H941" s="85"/>
      <c r="I941" s="117"/>
    </row>
    <row r="942" spans="8:9">
      <c r="H942" s="85"/>
      <c r="I942" s="117"/>
    </row>
    <row r="943" spans="8:9">
      <c r="H943" s="85"/>
      <c r="I943" s="117"/>
    </row>
    <row r="944" spans="8:9">
      <c r="H944" s="85"/>
      <c r="I944" s="117"/>
    </row>
    <row r="945" spans="8:9">
      <c r="H945" s="85"/>
      <c r="I945" s="117"/>
    </row>
    <row r="946" spans="8:9">
      <c r="H946" s="85"/>
      <c r="I946" s="117"/>
    </row>
    <row r="947" spans="8:9">
      <c r="H947" s="85"/>
      <c r="I947" s="117"/>
    </row>
    <row r="948" spans="8:9">
      <c r="H948" s="85"/>
      <c r="I948" s="117"/>
    </row>
    <row r="949" spans="8:9">
      <c r="H949" s="85"/>
      <c r="I949" s="117"/>
    </row>
    <row r="950" spans="8:9">
      <c r="H950" s="85"/>
      <c r="I950" s="117"/>
    </row>
    <row r="951" spans="8:9">
      <c r="H951" s="85"/>
      <c r="I951" s="117"/>
    </row>
    <row r="952" spans="8:9">
      <c r="H952" s="85"/>
      <c r="I952" s="117"/>
    </row>
    <row r="953" spans="8:9">
      <c r="H953" s="85"/>
      <c r="I953" s="117"/>
    </row>
    <row r="954" spans="8:9">
      <c r="H954" s="85"/>
      <c r="I954" s="117"/>
    </row>
    <row r="955" spans="8:9">
      <c r="H955" s="85"/>
      <c r="I955" s="117"/>
    </row>
    <row r="956" spans="8:9">
      <c r="H956" s="85"/>
      <c r="I956" s="117"/>
    </row>
    <row r="957" spans="8:9">
      <c r="H957" s="85"/>
      <c r="I957" s="117"/>
    </row>
    <row r="958" spans="8:9">
      <c r="H958" s="85"/>
      <c r="I958" s="117"/>
    </row>
    <row r="959" spans="8:9">
      <c r="H959" s="85"/>
      <c r="I959" s="117"/>
    </row>
    <row r="960" spans="8:9">
      <c r="H960" s="85"/>
      <c r="I960" s="117"/>
    </row>
    <row r="961" spans="8:9">
      <c r="H961" s="85"/>
      <c r="I961" s="117"/>
    </row>
    <row r="962" spans="8:9">
      <c r="H962" s="85"/>
      <c r="I962" s="117"/>
    </row>
    <row r="963" spans="8:9">
      <c r="H963" s="85"/>
      <c r="I963" s="117"/>
    </row>
    <row r="964" spans="8:9">
      <c r="H964" s="85"/>
      <c r="I964" s="117"/>
    </row>
    <row r="965" spans="8:9">
      <c r="H965" s="85"/>
      <c r="I965" s="117"/>
    </row>
    <row r="966" spans="8:9">
      <c r="H966" s="85"/>
      <c r="I966" s="117"/>
    </row>
    <row r="967" spans="8:9">
      <c r="H967" s="85"/>
      <c r="I967" s="117"/>
    </row>
    <row r="968" spans="8:9">
      <c r="H968" s="85"/>
      <c r="I968" s="117"/>
    </row>
    <row r="969" spans="8:9">
      <c r="H969" s="85"/>
      <c r="I969" s="117"/>
    </row>
    <row r="970" spans="8:9">
      <c r="H970" s="85"/>
      <c r="I970" s="117"/>
    </row>
    <row r="971" spans="8:9">
      <c r="H971" s="85"/>
      <c r="I971" s="117"/>
    </row>
    <row r="972" spans="8:9">
      <c r="H972" s="85"/>
      <c r="I972" s="117"/>
    </row>
    <row r="973" spans="8:9">
      <c r="H973" s="85"/>
      <c r="I973" s="117"/>
    </row>
    <row r="974" spans="8:9">
      <c r="H974" s="85"/>
      <c r="I974" s="117"/>
    </row>
    <row r="975" spans="8:9">
      <c r="H975" s="85"/>
      <c r="I975" s="117"/>
    </row>
    <row r="976" spans="8:9">
      <c r="H976" s="85"/>
      <c r="I976" s="117"/>
    </row>
    <row r="977" spans="8:9">
      <c r="H977" s="85"/>
      <c r="I977" s="117"/>
    </row>
    <row r="978" spans="8:9">
      <c r="H978" s="85"/>
      <c r="I978" s="117"/>
    </row>
    <row r="979" spans="8:9">
      <c r="H979" s="85"/>
      <c r="I979" s="117"/>
    </row>
    <row r="980" spans="8:9">
      <c r="H980" s="85"/>
      <c r="I980" s="117"/>
    </row>
    <row r="981" spans="8:9">
      <c r="H981" s="85"/>
      <c r="I981" s="117"/>
    </row>
    <row r="982" spans="8:9">
      <c r="H982" s="85"/>
      <c r="I982" s="117"/>
    </row>
    <row r="983" spans="8:9">
      <c r="H983" s="85"/>
      <c r="I983" s="117"/>
    </row>
    <row r="984" spans="8:9">
      <c r="H984" s="85"/>
      <c r="I984" s="117"/>
    </row>
    <row r="985" spans="8:9">
      <c r="H985" s="85"/>
      <c r="I985" s="117"/>
    </row>
    <row r="986" spans="8:9">
      <c r="H986" s="85"/>
      <c r="I986" s="117"/>
    </row>
    <row r="987" spans="8:9">
      <c r="H987" s="85"/>
      <c r="I987" s="117"/>
    </row>
    <row r="988" spans="8:9">
      <c r="H988" s="85"/>
      <c r="I988" s="117"/>
    </row>
    <row r="989" spans="8:9">
      <c r="H989" s="85"/>
      <c r="I989" s="117"/>
    </row>
    <row r="990" spans="8:9">
      <c r="H990" s="85"/>
      <c r="I990" s="117"/>
    </row>
    <row r="991" spans="8:9">
      <c r="H991" s="85"/>
      <c r="I991" s="117"/>
    </row>
    <row r="992" spans="8:9">
      <c r="H992" s="85"/>
      <c r="I992" s="117"/>
    </row>
    <row r="993" spans="8:9">
      <c r="H993" s="85"/>
      <c r="I993" s="117"/>
    </row>
    <row r="994" spans="8:9">
      <c r="H994" s="85"/>
      <c r="I994" s="117"/>
    </row>
    <row r="995" spans="8:9">
      <c r="H995" s="85"/>
      <c r="I995" s="117"/>
    </row>
    <row r="996" spans="8:9">
      <c r="H996" s="85"/>
      <c r="I996" s="117"/>
    </row>
    <row r="997" spans="8:9">
      <c r="H997" s="85"/>
      <c r="I997" s="117"/>
    </row>
    <row r="998" spans="8:9">
      <c r="H998" s="85"/>
      <c r="I998" s="117"/>
    </row>
    <row r="999" spans="8:9">
      <c r="H999" s="85"/>
      <c r="I999" s="117"/>
    </row>
    <row r="1000" spans="8:9">
      <c r="H1000" s="85"/>
      <c r="I1000" s="117"/>
    </row>
    <row r="1001" spans="8:9">
      <c r="H1001" s="85"/>
      <c r="I1001" s="117"/>
    </row>
    <row r="1002" spans="8:9">
      <c r="H1002" s="85"/>
      <c r="I1002" s="117"/>
    </row>
    <row r="1003" spans="8:9">
      <c r="H1003" s="85"/>
      <c r="I1003" s="117"/>
    </row>
    <row r="1004" spans="8:9">
      <c r="H1004" s="85"/>
      <c r="I1004" s="117"/>
    </row>
    <row r="1005" spans="8:9">
      <c r="H1005" s="85"/>
      <c r="I1005" s="117"/>
    </row>
    <row r="1006" spans="8:9">
      <c r="H1006" s="85"/>
      <c r="I1006" s="117"/>
    </row>
    <row r="1007" spans="8:9">
      <c r="H1007" s="85"/>
      <c r="I1007" s="117"/>
    </row>
    <row r="1008" spans="8:9">
      <c r="H1008" s="85"/>
      <c r="I1008" s="117"/>
    </row>
    <row r="1009" spans="8:9">
      <c r="H1009" s="85"/>
      <c r="I1009" s="117"/>
    </row>
    <row r="1010" spans="8:9">
      <c r="H1010" s="85"/>
      <c r="I1010" s="117"/>
    </row>
    <row r="1011" spans="8:9">
      <c r="H1011" s="85"/>
      <c r="I1011" s="117"/>
    </row>
    <row r="1012" spans="8:9">
      <c r="H1012" s="85"/>
      <c r="I1012" s="117"/>
    </row>
    <row r="1013" spans="8:9">
      <c r="H1013" s="85"/>
      <c r="I1013" s="117"/>
    </row>
    <row r="1014" spans="8:9">
      <c r="H1014" s="85"/>
      <c r="I1014" s="117"/>
    </row>
    <row r="1015" spans="8:9">
      <c r="H1015" s="85"/>
      <c r="I1015" s="117"/>
    </row>
    <row r="1016" spans="8:9">
      <c r="H1016" s="85"/>
      <c r="I1016" s="117"/>
    </row>
    <row r="1017" spans="8:9">
      <c r="H1017" s="85"/>
      <c r="I1017" s="117"/>
    </row>
    <row r="1018" spans="8:9">
      <c r="H1018" s="85"/>
      <c r="I1018" s="117"/>
    </row>
    <row r="1019" spans="8:9">
      <c r="H1019" s="85"/>
      <c r="I1019" s="117"/>
    </row>
    <row r="1020" spans="8:9">
      <c r="H1020" s="85"/>
      <c r="I1020" s="117"/>
    </row>
    <row r="1021" spans="8:9">
      <c r="H1021" s="85"/>
      <c r="I1021" s="117"/>
    </row>
    <row r="1022" spans="8:9">
      <c r="H1022" s="85"/>
      <c r="I1022" s="117"/>
    </row>
    <row r="1023" spans="8:9">
      <c r="H1023" s="85"/>
      <c r="I1023" s="117"/>
    </row>
    <row r="1024" spans="8:9">
      <c r="H1024" s="85"/>
      <c r="I1024" s="117"/>
    </row>
    <row r="1025" spans="8:9">
      <c r="H1025" s="85"/>
      <c r="I1025" s="117"/>
    </row>
    <row r="1026" spans="8:9">
      <c r="H1026" s="85"/>
      <c r="I1026" s="117"/>
    </row>
    <row r="1027" spans="8:9">
      <c r="H1027" s="85"/>
      <c r="I1027" s="117"/>
    </row>
    <row r="1028" spans="8:9">
      <c r="H1028" s="85"/>
      <c r="I1028" s="117"/>
    </row>
    <row r="1029" spans="8:9">
      <c r="H1029" s="85"/>
      <c r="I1029" s="117"/>
    </row>
    <row r="1030" spans="8:9">
      <c r="H1030" s="85"/>
      <c r="I1030" s="117"/>
    </row>
    <row r="1031" spans="8:9">
      <c r="H1031" s="85"/>
      <c r="I1031" s="117"/>
    </row>
    <row r="1032" spans="8:9">
      <c r="H1032" s="85"/>
      <c r="I1032" s="117"/>
    </row>
    <row r="1033" spans="8:9">
      <c r="H1033" s="85"/>
      <c r="I1033" s="117"/>
    </row>
    <row r="1034" spans="8:9">
      <c r="H1034" s="85"/>
      <c r="I1034" s="117"/>
    </row>
    <row r="1035" spans="8:9">
      <c r="H1035" s="85"/>
      <c r="I1035" s="117"/>
    </row>
    <row r="1036" spans="8:9">
      <c r="H1036" s="85"/>
      <c r="I1036" s="117"/>
    </row>
    <row r="1037" spans="8:9">
      <c r="H1037" s="85"/>
      <c r="I1037" s="117"/>
    </row>
    <row r="1038" spans="8:9">
      <c r="H1038" s="85"/>
      <c r="I1038" s="117"/>
    </row>
    <row r="1039" spans="8:9">
      <c r="H1039" s="85"/>
      <c r="I1039" s="117"/>
    </row>
    <row r="1040" spans="8:9">
      <c r="H1040" s="85"/>
      <c r="I1040" s="117"/>
    </row>
    <row r="1041" spans="8:9">
      <c r="H1041" s="85"/>
      <c r="I1041" s="117"/>
    </row>
    <row r="1042" spans="8:9">
      <c r="H1042" s="85"/>
      <c r="I1042" s="117"/>
    </row>
    <row r="1043" spans="8:9">
      <c r="H1043" s="85"/>
      <c r="I1043" s="117"/>
    </row>
    <row r="1044" spans="8:9">
      <c r="H1044" s="85"/>
      <c r="I1044" s="117"/>
    </row>
    <row r="1045" spans="8:9">
      <c r="H1045" s="85"/>
      <c r="I1045" s="117"/>
    </row>
    <row r="1046" spans="8:9">
      <c r="H1046" s="85"/>
      <c r="I1046" s="117"/>
    </row>
    <row r="1047" spans="8:9">
      <c r="H1047" s="85"/>
      <c r="I1047" s="117"/>
    </row>
    <row r="1048" spans="8:9">
      <c r="H1048" s="85"/>
      <c r="I1048" s="117"/>
    </row>
    <row r="1049" spans="8:9">
      <c r="H1049" s="85"/>
      <c r="I1049" s="117"/>
    </row>
    <row r="1050" spans="8:9">
      <c r="H1050" s="85"/>
      <c r="I1050" s="117"/>
    </row>
    <row r="1051" spans="8:9">
      <c r="H1051" s="85"/>
      <c r="I1051" s="117"/>
    </row>
    <row r="1052" spans="8:9">
      <c r="H1052" s="85"/>
      <c r="I1052" s="117"/>
    </row>
    <row r="1053" spans="8:9">
      <c r="H1053" s="85"/>
      <c r="I1053" s="117"/>
    </row>
    <row r="1054" spans="8:9">
      <c r="H1054" s="85"/>
      <c r="I1054" s="117"/>
    </row>
    <row r="1055" spans="8:9">
      <c r="H1055" s="85"/>
      <c r="I1055" s="117"/>
    </row>
    <row r="1056" spans="8:9">
      <c r="H1056" s="85"/>
      <c r="I1056" s="117"/>
    </row>
    <row r="1057" spans="8:9">
      <c r="H1057" s="85"/>
      <c r="I1057" s="117"/>
    </row>
    <row r="1058" spans="8:9">
      <c r="H1058" s="85"/>
      <c r="I1058" s="117"/>
    </row>
    <row r="1059" spans="8:9">
      <c r="H1059" s="85"/>
      <c r="I1059" s="117"/>
    </row>
    <row r="1060" spans="8:9">
      <c r="H1060" s="85"/>
      <c r="I1060" s="117"/>
    </row>
    <row r="1061" spans="8:9">
      <c r="H1061" s="85"/>
      <c r="I1061" s="117"/>
    </row>
    <row r="1062" spans="8:9">
      <c r="H1062" s="85"/>
      <c r="I1062" s="117"/>
    </row>
    <row r="1063" spans="8:9">
      <c r="H1063" s="85"/>
      <c r="I1063" s="117"/>
    </row>
    <row r="1064" spans="8:9">
      <c r="H1064" s="85"/>
      <c r="I1064" s="117"/>
    </row>
    <row r="1065" spans="8:9">
      <c r="H1065" s="85"/>
      <c r="I1065" s="117"/>
    </row>
    <row r="1066" spans="8:9">
      <c r="H1066" s="85"/>
      <c r="I1066" s="117"/>
    </row>
    <row r="1067" spans="8:9">
      <c r="H1067" s="85"/>
      <c r="I1067" s="117"/>
    </row>
    <row r="1068" spans="8:9">
      <c r="H1068" s="85"/>
      <c r="I1068" s="117"/>
    </row>
    <row r="1069" spans="8:9">
      <c r="H1069" s="85"/>
      <c r="I1069" s="117"/>
    </row>
    <row r="1070" spans="8:9">
      <c r="H1070" s="85"/>
      <c r="I1070" s="117"/>
    </row>
    <row r="1071" spans="8:9">
      <c r="H1071" s="85"/>
      <c r="I1071" s="117"/>
    </row>
    <row r="1072" spans="8:9">
      <c r="H1072" s="85"/>
      <c r="I1072" s="117"/>
    </row>
    <row r="1073" spans="8:9">
      <c r="H1073" s="85"/>
      <c r="I1073" s="117"/>
    </row>
    <row r="1074" spans="8:9">
      <c r="H1074" s="85"/>
      <c r="I1074" s="117"/>
    </row>
    <row r="1075" spans="8:9">
      <c r="H1075" s="85"/>
      <c r="I1075" s="117"/>
    </row>
    <row r="1076" spans="8:9">
      <c r="H1076" s="85"/>
      <c r="I1076" s="117"/>
    </row>
    <row r="1077" spans="8:9">
      <c r="H1077" s="85"/>
      <c r="I1077" s="117"/>
    </row>
    <row r="1078" spans="8:9">
      <c r="H1078" s="85"/>
      <c r="I1078" s="117"/>
    </row>
    <row r="1079" spans="8:9">
      <c r="H1079" s="85"/>
      <c r="I1079" s="117"/>
    </row>
    <row r="1080" spans="8:9">
      <c r="H1080" s="85"/>
      <c r="I1080" s="117"/>
    </row>
    <row r="1081" spans="8:9">
      <c r="H1081" s="85"/>
      <c r="I1081" s="117"/>
    </row>
    <row r="1082" spans="8:9">
      <c r="H1082" s="85"/>
      <c r="I1082" s="117"/>
    </row>
    <row r="1083" spans="8:9">
      <c r="H1083" s="85"/>
      <c r="I1083" s="117"/>
    </row>
    <row r="1084" spans="8:9">
      <c r="H1084" s="85"/>
      <c r="I1084" s="117"/>
    </row>
    <row r="1085" spans="8:9">
      <c r="H1085" s="85"/>
      <c r="I1085" s="117"/>
    </row>
    <row r="1086" spans="8:9">
      <c r="H1086" s="85"/>
      <c r="I1086" s="117"/>
    </row>
    <row r="1087" spans="8:9">
      <c r="H1087" s="85"/>
      <c r="I1087" s="117"/>
    </row>
    <row r="1088" spans="8:9">
      <c r="H1088" s="85"/>
      <c r="I1088" s="117"/>
    </row>
    <row r="1089" spans="8:9">
      <c r="H1089" s="85"/>
      <c r="I1089" s="117"/>
    </row>
    <row r="1090" spans="8:9">
      <c r="H1090" s="85"/>
      <c r="I1090" s="117"/>
    </row>
    <row r="1091" spans="8:9">
      <c r="H1091" s="85"/>
      <c r="I1091" s="117"/>
    </row>
    <row r="1092" spans="8:9">
      <c r="H1092" s="85"/>
      <c r="I1092" s="117"/>
    </row>
    <row r="1093" spans="8:9">
      <c r="H1093" s="85"/>
      <c r="I1093" s="117"/>
    </row>
    <row r="1094" spans="8:9">
      <c r="H1094" s="85"/>
      <c r="I1094" s="117"/>
    </row>
    <row r="1095" spans="8:9">
      <c r="H1095" s="85"/>
      <c r="I1095" s="117"/>
    </row>
    <row r="1096" spans="8:9">
      <c r="H1096" s="85"/>
      <c r="I1096" s="117"/>
    </row>
    <row r="1097" spans="8:9">
      <c r="H1097" s="85"/>
      <c r="I1097" s="117"/>
    </row>
    <row r="1098" spans="8:9">
      <c r="H1098" s="85"/>
      <c r="I1098" s="117"/>
    </row>
    <row r="1099" spans="8:9">
      <c r="H1099" s="85"/>
      <c r="I1099" s="117"/>
    </row>
    <row r="1100" spans="8:9">
      <c r="H1100" s="85"/>
      <c r="I1100" s="117"/>
    </row>
    <row r="1101" spans="8:9">
      <c r="H1101" s="85"/>
      <c r="I1101" s="117"/>
    </row>
    <row r="1102" spans="8:9">
      <c r="H1102" s="85"/>
      <c r="I1102" s="117"/>
    </row>
    <row r="1103" spans="8:9">
      <c r="H1103" s="85"/>
      <c r="I1103" s="117"/>
    </row>
    <row r="1104" spans="8:9">
      <c r="H1104" s="85"/>
      <c r="I1104" s="117"/>
    </row>
    <row r="1105" spans="8:9">
      <c r="H1105" s="85"/>
      <c r="I1105" s="117"/>
    </row>
    <row r="1106" spans="8:9">
      <c r="H1106" s="85"/>
      <c r="I1106" s="117"/>
    </row>
    <row r="1107" spans="8:9">
      <c r="H1107" s="85"/>
      <c r="I1107" s="117"/>
    </row>
    <row r="1108" spans="8:9">
      <c r="H1108" s="85"/>
      <c r="I1108" s="117"/>
    </row>
    <row r="1109" spans="8:9">
      <c r="H1109" s="85"/>
      <c r="I1109" s="117"/>
    </row>
    <row r="1110" spans="8:9">
      <c r="H1110" s="85"/>
      <c r="I1110" s="117"/>
    </row>
    <row r="1111" spans="8:9">
      <c r="H1111" s="85"/>
      <c r="I1111" s="117"/>
    </row>
    <row r="1112" spans="8:9">
      <c r="H1112" s="85"/>
      <c r="I1112" s="117"/>
    </row>
    <row r="1113" spans="8:9">
      <c r="H1113" s="85"/>
      <c r="I1113" s="117"/>
    </row>
    <row r="1114" spans="8:9">
      <c r="H1114" s="85"/>
      <c r="I1114" s="117"/>
    </row>
    <row r="1115" spans="8:9">
      <c r="H1115" s="85"/>
      <c r="I1115" s="117"/>
    </row>
    <row r="1116" spans="8:9">
      <c r="H1116" s="85"/>
      <c r="I1116" s="117"/>
    </row>
    <row r="1117" spans="8:9">
      <c r="H1117" s="85"/>
      <c r="I1117" s="117"/>
    </row>
    <row r="1118" spans="8:9">
      <c r="H1118" s="85"/>
      <c r="I1118" s="117"/>
    </row>
    <row r="1119" spans="8:9">
      <c r="H1119" s="85"/>
      <c r="I1119" s="117"/>
    </row>
    <row r="1120" spans="8:9">
      <c r="H1120" s="85"/>
      <c r="I1120" s="117"/>
    </row>
    <row r="1121" spans="8:9">
      <c r="H1121" s="85"/>
      <c r="I1121" s="117"/>
    </row>
    <row r="1122" spans="8:9">
      <c r="H1122" s="85"/>
      <c r="I1122" s="117"/>
    </row>
    <row r="1123" spans="8:9">
      <c r="H1123" s="85"/>
      <c r="I1123" s="117"/>
    </row>
    <row r="1124" spans="8:9">
      <c r="H1124" s="85"/>
      <c r="I1124" s="117"/>
    </row>
    <row r="1125" spans="8:9">
      <c r="H1125" s="85"/>
      <c r="I1125" s="117"/>
    </row>
    <row r="1126" spans="8:9">
      <c r="H1126" s="85"/>
      <c r="I1126" s="117"/>
    </row>
    <row r="1127" spans="8:9">
      <c r="H1127" s="85"/>
      <c r="I1127" s="117"/>
    </row>
    <row r="1128" spans="8:9">
      <c r="H1128" s="85"/>
      <c r="I1128" s="117"/>
    </row>
    <row r="1129" spans="8:9">
      <c r="H1129" s="85"/>
      <c r="I1129" s="117"/>
    </row>
    <row r="1130" spans="8:9">
      <c r="H1130" s="85"/>
      <c r="I1130" s="117"/>
    </row>
    <row r="1131" spans="8:9">
      <c r="H1131" s="85"/>
      <c r="I1131" s="117"/>
    </row>
    <row r="1132" spans="8:9">
      <c r="H1132" s="85"/>
      <c r="I1132" s="117"/>
    </row>
    <row r="1133" spans="8:9">
      <c r="H1133" s="85"/>
      <c r="I1133" s="117"/>
    </row>
    <row r="1134" spans="8:9">
      <c r="H1134" s="85"/>
      <c r="I1134" s="117"/>
    </row>
    <row r="1135" spans="8:9">
      <c r="H1135" s="85"/>
      <c r="I1135" s="117"/>
    </row>
    <row r="1136" spans="8:9">
      <c r="H1136" s="85"/>
      <c r="I1136" s="117"/>
    </row>
    <row r="1137" spans="8:9">
      <c r="H1137" s="85"/>
      <c r="I1137" s="117"/>
    </row>
    <row r="1138" spans="8:9">
      <c r="H1138" s="85"/>
      <c r="I1138" s="117"/>
    </row>
    <row r="1139" spans="8:9">
      <c r="H1139" s="85"/>
      <c r="I1139" s="117"/>
    </row>
    <row r="1140" spans="8:9">
      <c r="H1140" s="85"/>
      <c r="I1140" s="117"/>
    </row>
    <row r="1141" spans="8:9">
      <c r="H1141" s="85"/>
      <c r="I1141" s="117"/>
    </row>
    <row r="1142" spans="8:9">
      <c r="H1142" s="85"/>
      <c r="I1142" s="117"/>
    </row>
    <row r="1143" spans="8:9">
      <c r="H1143" s="85"/>
      <c r="I1143" s="117"/>
    </row>
    <row r="1144" spans="8:9">
      <c r="H1144" s="85"/>
      <c r="I1144" s="117"/>
    </row>
    <row r="1145" spans="8:9">
      <c r="H1145" s="85"/>
      <c r="I1145" s="117"/>
    </row>
    <row r="1146" spans="8:9">
      <c r="H1146" s="85"/>
      <c r="I1146" s="117"/>
    </row>
    <row r="1147" spans="8:9">
      <c r="H1147" s="85"/>
      <c r="I1147" s="117"/>
    </row>
    <row r="1148" spans="8:9">
      <c r="H1148" s="85"/>
      <c r="I1148" s="117"/>
    </row>
    <row r="1149" spans="8:9">
      <c r="H1149" s="85"/>
      <c r="I1149" s="117"/>
    </row>
    <row r="1150" spans="8:9">
      <c r="H1150" s="85"/>
      <c r="I1150" s="117"/>
    </row>
    <row r="1151" spans="8:9">
      <c r="H1151" s="85"/>
      <c r="I1151" s="117"/>
    </row>
    <row r="1152" spans="8:9">
      <c r="H1152" s="85"/>
      <c r="I1152" s="117"/>
    </row>
    <row r="1153" spans="8:9">
      <c r="H1153" s="85"/>
      <c r="I1153" s="117"/>
    </row>
    <row r="1154" spans="8:9">
      <c r="H1154" s="85"/>
      <c r="I1154" s="117"/>
    </row>
    <row r="1155" spans="8:9">
      <c r="H1155" s="85"/>
      <c r="I1155" s="117"/>
    </row>
    <row r="1156" spans="8:9">
      <c r="H1156" s="85"/>
      <c r="I1156" s="117"/>
    </row>
    <row r="1157" spans="8:9">
      <c r="H1157" s="85"/>
      <c r="I1157" s="117"/>
    </row>
    <row r="1158" spans="8:9">
      <c r="H1158" s="85"/>
      <c r="I1158" s="117"/>
    </row>
    <row r="1159" spans="8:9">
      <c r="H1159" s="85"/>
      <c r="I1159" s="117"/>
    </row>
    <row r="1160" spans="8:9">
      <c r="H1160" s="85"/>
      <c r="I1160" s="117"/>
    </row>
    <row r="1161" spans="8:9">
      <c r="H1161" s="85"/>
      <c r="I1161" s="117"/>
    </row>
    <row r="1162" spans="8:9">
      <c r="H1162" s="85"/>
      <c r="I1162" s="117"/>
    </row>
    <row r="1163" spans="8:9">
      <c r="H1163" s="85"/>
      <c r="I1163" s="117"/>
    </row>
    <row r="1164" spans="8:9">
      <c r="H1164" s="85"/>
      <c r="I1164" s="117"/>
    </row>
    <row r="1165" spans="8:9">
      <c r="H1165" s="85"/>
      <c r="I1165" s="117"/>
    </row>
    <row r="1166" spans="8:9">
      <c r="H1166" s="85"/>
      <c r="I1166" s="117"/>
    </row>
    <row r="1167" spans="8:9">
      <c r="H1167" s="85"/>
      <c r="I1167" s="117"/>
    </row>
    <row r="1168" spans="8:9">
      <c r="H1168" s="85"/>
      <c r="I1168" s="117"/>
    </row>
    <row r="1169" spans="8:9">
      <c r="H1169" s="85"/>
      <c r="I1169" s="117"/>
    </row>
    <row r="1170" spans="8:9">
      <c r="H1170" s="85"/>
      <c r="I1170" s="117"/>
    </row>
    <row r="1171" spans="8:9">
      <c r="H1171" s="85"/>
      <c r="I1171" s="117"/>
    </row>
    <row r="1172" spans="8:9">
      <c r="H1172" s="85"/>
      <c r="I1172" s="117"/>
    </row>
    <row r="1173" spans="8:9">
      <c r="H1173" s="85"/>
      <c r="I1173" s="117"/>
    </row>
    <row r="1174" spans="8:9">
      <c r="H1174" s="85"/>
      <c r="I1174" s="117"/>
    </row>
    <row r="1175" spans="8:9">
      <c r="H1175" s="85"/>
      <c r="I1175" s="117"/>
    </row>
    <row r="1176" spans="8:9">
      <c r="H1176" s="85"/>
      <c r="I1176" s="117"/>
    </row>
    <row r="1177" spans="8:9">
      <c r="H1177" s="85"/>
      <c r="I1177" s="117"/>
    </row>
    <row r="1178" spans="8:9">
      <c r="H1178" s="85"/>
      <c r="I1178" s="117"/>
    </row>
    <row r="1179" spans="8:9">
      <c r="H1179" s="85"/>
      <c r="I1179" s="117"/>
    </row>
    <row r="1180" spans="8:9">
      <c r="H1180" s="85"/>
      <c r="I1180" s="117"/>
    </row>
    <row r="1181" spans="8:9">
      <c r="H1181" s="85"/>
      <c r="I1181" s="117"/>
    </row>
    <row r="1182" spans="8:9">
      <c r="H1182" s="85"/>
      <c r="I1182" s="117"/>
    </row>
    <row r="1183" spans="8:9">
      <c r="H1183" s="85"/>
      <c r="I1183" s="117"/>
    </row>
    <row r="1184" spans="8:9">
      <c r="H1184" s="85"/>
      <c r="I1184" s="117"/>
    </row>
    <row r="1185" spans="8:9">
      <c r="H1185" s="85"/>
      <c r="I1185" s="117"/>
    </row>
    <row r="1186" spans="8:9">
      <c r="H1186" s="85"/>
      <c r="I1186" s="117"/>
    </row>
    <row r="1187" spans="8:9">
      <c r="H1187" s="85"/>
      <c r="I1187" s="117"/>
    </row>
    <row r="1188" spans="8:9">
      <c r="H1188" s="85"/>
      <c r="I1188" s="117"/>
    </row>
    <row r="1189" spans="8:9">
      <c r="H1189" s="85"/>
      <c r="I1189" s="117"/>
    </row>
    <row r="1190" spans="8:9">
      <c r="H1190" s="85"/>
      <c r="I1190" s="117"/>
    </row>
    <row r="1191" spans="8:9">
      <c r="H1191" s="85"/>
      <c r="I1191" s="117"/>
    </row>
    <row r="1192" spans="8:9">
      <c r="H1192" s="85"/>
      <c r="I1192" s="117"/>
    </row>
    <row r="1193" spans="8:9">
      <c r="H1193" s="85"/>
      <c r="I1193" s="117"/>
    </row>
    <row r="1194" spans="8:9">
      <c r="H1194" s="85"/>
      <c r="I1194" s="117"/>
    </row>
    <row r="1195" spans="8:9">
      <c r="H1195" s="85"/>
      <c r="I1195" s="117"/>
    </row>
    <row r="1196" spans="8:9">
      <c r="H1196" s="85"/>
      <c r="I1196" s="117"/>
    </row>
    <row r="1197" spans="8:9">
      <c r="H1197" s="85"/>
      <c r="I1197" s="117"/>
    </row>
    <row r="1198" spans="8:9">
      <c r="H1198" s="85"/>
      <c r="I1198" s="117"/>
    </row>
    <row r="1199" spans="8:9">
      <c r="H1199" s="85"/>
      <c r="I1199" s="117"/>
    </row>
    <row r="1200" spans="8:9">
      <c r="H1200" s="85"/>
      <c r="I1200" s="117"/>
    </row>
    <row r="1201" spans="8:9">
      <c r="H1201" s="85"/>
      <c r="I1201" s="117"/>
    </row>
    <row r="1202" spans="8:9">
      <c r="H1202" s="85"/>
      <c r="I1202" s="117"/>
    </row>
    <row r="1203" spans="8:9">
      <c r="H1203" s="85"/>
      <c r="I1203" s="117"/>
    </row>
    <row r="1204" spans="8:9">
      <c r="H1204" s="85"/>
      <c r="I1204" s="117"/>
    </row>
    <row r="1205" spans="8:9">
      <c r="H1205" s="85"/>
      <c r="I1205" s="117"/>
    </row>
    <row r="1206" spans="8:9">
      <c r="H1206" s="85"/>
      <c r="I1206" s="117"/>
    </row>
    <row r="1207" spans="8:9">
      <c r="H1207" s="85"/>
      <c r="I1207" s="117"/>
    </row>
    <row r="1208" spans="8:9">
      <c r="H1208" s="85"/>
      <c r="I1208" s="117"/>
    </row>
    <row r="1209" spans="8:9">
      <c r="H1209" s="85"/>
      <c r="I1209" s="117"/>
    </row>
    <row r="1210" spans="8:9">
      <c r="H1210" s="85"/>
      <c r="I1210" s="117"/>
    </row>
    <row r="1211" spans="8:9">
      <c r="H1211" s="85"/>
      <c r="I1211" s="117"/>
    </row>
    <row r="1212" spans="8:9">
      <c r="H1212" s="85"/>
      <c r="I1212" s="117"/>
    </row>
    <row r="1213" spans="8:9">
      <c r="H1213" s="85"/>
      <c r="I1213" s="117"/>
    </row>
    <row r="1214" spans="8:9">
      <c r="H1214" s="85"/>
      <c r="I1214" s="117"/>
    </row>
    <row r="1215" spans="8:9">
      <c r="H1215" s="85"/>
      <c r="I1215" s="117"/>
    </row>
    <row r="1216" spans="8:9">
      <c r="H1216" s="85"/>
      <c r="I1216" s="117"/>
    </row>
    <row r="1217" spans="8:9">
      <c r="H1217" s="85"/>
      <c r="I1217" s="117"/>
    </row>
    <row r="1218" spans="8:9">
      <c r="H1218" s="85"/>
      <c r="I1218" s="117"/>
    </row>
    <row r="1219" spans="8:9">
      <c r="H1219" s="85"/>
      <c r="I1219" s="117"/>
    </row>
    <row r="1220" spans="8:9">
      <c r="H1220" s="85"/>
      <c r="I1220" s="117"/>
    </row>
    <row r="1221" spans="8:9">
      <c r="H1221" s="85"/>
      <c r="I1221" s="117"/>
    </row>
    <row r="1222" spans="8:9">
      <c r="H1222" s="85"/>
      <c r="I1222" s="117"/>
    </row>
    <row r="1223" spans="8:9">
      <c r="H1223" s="85"/>
      <c r="I1223" s="117"/>
    </row>
    <row r="1224" spans="8:9">
      <c r="H1224" s="85"/>
      <c r="I1224" s="117"/>
    </row>
    <row r="1225" spans="8:9">
      <c r="H1225" s="85"/>
      <c r="I1225" s="117"/>
    </row>
    <row r="1226" spans="8:9">
      <c r="H1226" s="85"/>
      <c r="I1226" s="117"/>
    </row>
    <row r="1227" spans="8:9">
      <c r="H1227" s="85"/>
      <c r="I1227" s="117"/>
    </row>
    <row r="1228" spans="8:9">
      <c r="H1228" s="85"/>
      <c r="I1228" s="117"/>
    </row>
    <row r="1229" spans="8:9">
      <c r="H1229" s="85"/>
      <c r="I1229" s="117"/>
    </row>
    <row r="1230" spans="8:9">
      <c r="H1230" s="85"/>
      <c r="I1230" s="117"/>
    </row>
    <row r="1231" spans="8:9">
      <c r="H1231" s="85"/>
      <c r="I1231" s="117"/>
    </row>
    <row r="1232" spans="8:9">
      <c r="H1232" s="85"/>
      <c r="I1232" s="117"/>
    </row>
    <row r="1233" spans="8:9">
      <c r="H1233" s="85"/>
      <c r="I1233" s="117"/>
    </row>
    <row r="1234" spans="8:9">
      <c r="H1234" s="85"/>
      <c r="I1234" s="117"/>
    </row>
    <row r="1235" spans="8:9">
      <c r="H1235" s="85"/>
      <c r="I1235" s="117"/>
    </row>
    <row r="1236" spans="8:9">
      <c r="H1236" s="85"/>
      <c r="I1236" s="117"/>
    </row>
    <row r="1237" spans="8:9">
      <c r="H1237" s="85"/>
      <c r="I1237" s="117"/>
    </row>
    <row r="1238" spans="8:9">
      <c r="H1238" s="85"/>
      <c r="I1238" s="117"/>
    </row>
    <row r="1239" spans="8:9">
      <c r="H1239" s="85"/>
      <c r="I1239" s="117"/>
    </row>
    <row r="1240" spans="8:9">
      <c r="H1240" s="85"/>
      <c r="I1240" s="117"/>
    </row>
    <row r="1241" spans="8:9">
      <c r="H1241" s="85"/>
      <c r="I1241" s="117"/>
    </row>
    <row r="1242" spans="8:9">
      <c r="H1242" s="85"/>
      <c r="I1242" s="117"/>
    </row>
    <row r="1243" spans="8:9">
      <c r="H1243" s="85"/>
      <c r="I1243" s="117"/>
    </row>
    <row r="1244" spans="8:9">
      <c r="H1244" s="85"/>
      <c r="I1244" s="117"/>
    </row>
    <row r="1245" spans="8:9">
      <c r="H1245" s="85"/>
      <c r="I1245" s="117"/>
    </row>
    <row r="1246" spans="8:9">
      <c r="H1246" s="85"/>
      <c r="I1246" s="117"/>
    </row>
    <row r="1247" spans="8:9">
      <c r="H1247" s="85"/>
      <c r="I1247" s="117"/>
    </row>
    <row r="1248" spans="8:9">
      <c r="H1248" s="85"/>
      <c r="I1248" s="117"/>
    </row>
    <row r="1249" spans="8:9">
      <c r="H1249" s="85"/>
      <c r="I1249" s="117"/>
    </row>
    <row r="1250" spans="8:9">
      <c r="H1250" s="85"/>
      <c r="I1250" s="117"/>
    </row>
    <row r="1251" spans="8:9">
      <c r="H1251" s="85"/>
      <c r="I1251" s="117"/>
    </row>
    <row r="1252" spans="8:9">
      <c r="H1252" s="85"/>
      <c r="I1252" s="117"/>
    </row>
    <row r="1253" spans="8:9">
      <c r="H1253" s="85"/>
      <c r="I1253" s="117"/>
    </row>
    <row r="1254" spans="8:9">
      <c r="H1254" s="85"/>
      <c r="I1254" s="117"/>
    </row>
    <row r="1255" spans="8:9">
      <c r="H1255" s="85"/>
      <c r="I1255" s="117"/>
    </row>
    <row r="1256" spans="8:9">
      <c r="H1256" s="85"/>
      <c r="I1256" s="117"/>
    </row>
    <row r="1257" spans="8:9">
      <c r="H1257" s="85"/>
      <c r="I1257" s="117"/>
    </row>
    <row r="1258" spans="8:9">
      <c r="H1258" s="85"/>
      <c r="I1258" s="117"/>
    </row>
    <row r="1259" spans="8:9">
      <c r="H1259" s="85"/>
      <c r="I1259" s="117"/>
    </row>
    <row r="1260" spans="8:9">
      <c r="H1260" s="85"/>
      <c r="I1260" s="117"/>
    </row>
    <row r="1261" spans="8:9">
      <c r="H1261" s="85"/>
      <c r="I1261" s="117"/>
    </row>
    <row r="1262" spans="8:9">
      <c r="H1262" s="85"/>
      <c r="I1262" s="117"/>
    </row>
    <row r="1263" spans="8:9">
      <c r="H1263" s="85"/>
      <c r="I1263" s="117"/>
    </row>
    <row r="1264" spans="8:9">
      <c r="H1264" s="85"/>
      <c r="I1264" s="117"/>
    </row>
    <row r="1265" spans="8:9">
      <c r="H1265" s="85"/>
      <c r="I1265" s="117"/>
    </row>
    <row r="1266" spans="8:9">
      <c r="H1266" s="85"/>
      <c r="I1266" s="117"/>
    </row>
    <row r="1267" spans="8:9">
      <c r="H1267" s="85"/>
      <c r="I1267" s="117"/>
    </row>
    <row r="1268" spans="8:9">
      <c r="H1268" s="85"/>
      <c r="I1268" s="117"/>
    </row>
    <row r="1269" spans="8:9">
      <c r="H1269" s="85"/>
      <c r="I1269" s="117"/>
    </row>
    <row r="1270" spans="8:9">
      <c r="H1270" s="85"/>
      <c r="I1270" s="117"/>
    </row>
    <row r="1271" spans="8:9">
      <c r="H1271" s="85"/>
      <c r="I1271" s="117"/>
    </row>
    <row r="1272" spans="8:9">
      <c r="H1272" s="85"/>
      <c r="I1272" s="117"/>
    </row>
    <row r="1273" spans="8:9">
      <c r="H1273" s="85"/>
      <c r="I1273" s="117"/>
    </row>
    <row r="1274" spans="8:9">
      <c r="H1274" s="85"/>
      <c r="I1274" s="117"/>
    </row>
    <row r="1275" spans="8:9">
      <c r="H1275" s="85"/>
      <c r="I1275" s="117"/>
    </row>
    <row r="1276" spans="8:9">
      <c r="H1276" s="85"/>
      <c r="I1276" s="117"/>
    </row>
    <row r="1277" spans="8:9">
      <c r="H1277" s="85"/>
      <c r="I1277" s="117"/>
    </row>
    <row r="1278" spans="8:9">
      <c r="H1278" s="85"/>
      <c r="I1278" s="117"/>
    </row>
    <row r="1279" spans="8:9">
      <c r="H1279" s="85"/>
      <c r="I1279" s="117"/>
    </row>
    <row r="1280" spans="8:9">
      <c r="H1280" s="85"/>
      <c r="I1280" s="117"/>
    </row>
    <row r="1281" spans="8:9">
      <c r="H1281" s="85"/>
      <c r="I1281" s="117"/>
    </row>
    <row r="1282" spans="8:9">
      <c r="H1282" s="85"/>
      <c r="I1282" s="117"/>
    </row>
    <row r="1283" spans="8:9">
      <c r="H1283" s="85"/>
    </row>
    <row r="1284" spans="8:9">
      <c r="H1284" s="85"/>
    </row>
    <row r="1285" spans="8:9">
      <c r="H1285" s="85"/>
    </row>
    <row r="1286" spans="8:9">
      <c r="H1286" s="85"/>
    </row>
    <row r="1287" spans="8:9">
      <c r="H1287" s="85"/>
    </row>
    <row r="1288" spans="8:9">
      <c r="H1288" s="85"/>
    </row>
    <row r="1289" spans="8:9">
      <c r="H1289" s="85"/>
    </row>
    <row r="1290" spans="8:9">
      <c r="H1290" s="85"/>
    </row>
    <row r="1291" spans="8:9">
      <c r="H1291" s="85"/>
    </row>
    <row r="1292" spans="8:9">
      <c r="H1292" s="85"/>
    </row>
    <row r="1293" spans="8:9">
      <c r="H1293" s="85"/>
    </row>
    <row r="1294" spans="8:9">
      <c r="H1294" s="85"/>
    </row>
    <row r="1295" spans="8:9">
      <c r="H1295" s="85"/>
    </row>
    <row r="1296" spans="8:9">
      <c r="H1296" s="85"/>
    </row>
    <row r="1297" spans="8:8">
      <c r="H1297" s="85"/>
    </row>
    <row r="1298" spans="8:8">
      <c r="H1298" s="85"/>
    </row>
    <row r="1299" spans="8:8">
      <c r="H1299" s="85"/>
    </row>
    <row r="1300" spans="8:8">
      <c r="H1300" s="85"/>
    </row>
    <row r="1301" spans="8:8">
      <c r="H1301" s="85"/>
    </row>
    <row r="1302" spans="8:8">
      <c r="H1302" s="85"/>
    </row>
    <row r="1303" spans="8:8">
      <c r="H1303" s="85"/>
    </row>
    <row r="1304" spans="8:8">
      <c r="H1304" s="85"/>
    </row>
    <row r="1305" spans="8:8">
      <c r="H1305" s="85"/>
    </row>
    <row r="1306" spans="8:8">
      <c r="H1306" s="85"/>
    </row>
    <row r="1307" spans="8:8">
      <c r="H1307" s="85"/>
    </row>
    <row r="1308" spans="8:8">
      <c r="H1308" s="85"/>
    </row>
    <row r="1309" spans="8:8">
      <c r="H1309" s="85"/>
    </row>
    <row r="1310" spans="8:8">
      <c r="H1310" s="85"/>
    </row>
    <row r="1311" spans="8:8">
      <c r="H1311" s="85"/>
    </row>
    <row r="1312" spans="8:8">
      <c r="H1312" s="85"/>
    </row>
    <row r="1313" spans="8:8">
      <c r="H1313" s="85"/>
    </row>
    <row r="1314" spans="8:8">
      <c r="H1314" s="85"/>
    </row>
    <row r="1315" spans="8:8">
      <c r="H1315" s="85"/>
    </row>
    <row r="1316" spans="8:8">
      <c r="H1316" s="85"/>
    </row>
    <row r="1317" spans="8:8">
      <c r="H1317" s="85"/>
    </row>
    <row r="1318" spans="8:8">
      <c r="H1318" s="85"/>
    </row>
    <row r="1319" spans="8:8">
      <c r="H1319" s="85"/>
    </row>
    <row r="1320" spans="8:8">
      <c r="H1320" s="85"/>
    </row>
    <row r="1321" spans="8:8">
      <c r="H1321" s="85"/>
    </row>
    <row r="1322" spans="8:8">
      <c r="H1322" s="85"/>
    </row>
    <row r="1323" spans="8:8">
      <c r="H1323" s="85"/>
    </row>
    <row r="1324" spans="8:8">
      <c r="H1324" s="85"/>
    </row>
    <row r="1325" spans="8:8">
      <c r="H1325" s="85"/>
    </row>
    <row r="1326" spans="8:8">
      <c r="H1326" s="85"/>
    </row>
    <row r="1327" spans="8:8">
      <c r="H1327" s="85"/>
    </row>
    <row r="1328" spans="8:8">
      <c r="H1328" s="85"/>
    </row>
    <row r="1329" spans="8:8">
      <c r="H1329" s="85"/>
    </row>
    <row r="1330" spans="8:8">
      <c r="H1330" s="85"/>
    </row>
    <row r="1331" spans="8:8">
      <c r="H1331" s="85"/>
    </row>
    <row r="1332" spans="8:8">
      <c r="H1332" s="85"/>
    </row>
    <row r="1333" spans="8:8">
      <c r="H1333" s="85"/>
    </row>
    <row r="1334" spans="8:8">
      <c r="H1334" s="85"/>
    </row>
    <row r="1335" spans="8:8">
      <c r="H1335" s="85"/>
    </row>
    <row r="1336" spans="8:8">
      <c r="H1336" s="85"/>
    </row>
    <row r="1337" spans="8:8">
      <c r="H1337" s="85"/>
    </row>
    <row r="1338" spans="8:8">
      <c r="H1338" s="85"/>
    </row>
    <row r="1339" spans="8:8">
      <c r="H1339" s="85"/>
    </row>
    <row r="1340" spans="8:8">
      <c r="H1340" s="85"/>
    </row>
    <row r="1341" spans="8:8">
      <c r="H1341" s="85"/>
    </row>
    <row r="1342" spans="8:8">
      <c r="H1342" s="85"/>
    </row>
    <row r="1343" spans="8:8">
      <c r="H1343" s="85"/>
    </row>
    <row r="1344" spans="8:8">
      <c r="H1344" s="85"/>
    </row>
    <row r="1345" spans="8:8">
      <c r="H1345" s="85"/>
    </row>
    <row r="1346" spans="8:8">
      <c r="H1346" s="85"/>
    </row>
    <row r="1347" spans="8:8">
      <c r="H1347" s="85"/>
    </row>
    <row r="1348" spans="8:8">
      <c r="H1348" s="85"/>
    </row>
    <row r="1349" spans="8:8">
      <c r="H1349" s="85"/>
    </row>
    <row r="1350" spans="8:8">
      <c r="H1350" s="85"/>
    </row>
    <row r="1351" spans="8:8">
      <c r="H1351" s="85"/>
    </row>
    <row r="1352" spans="8:8">
      <c r="H1352" s="85"/>
    </row>
    <row r="1353" spans="8:8">
      <c r="H1353" s="85"/>
    </row>
    <row r="1354" spans="8:8">
      <c r="H1354" s="85"/>
    </row>
    <row r="1355" spans="8:8">
      <c r="H1355" s="85"/>
    </row>
    <row r="1356" spans="8:8">
      <c r="H1356" s="85"/>
    </row>
    <row r="1357" spans="8:8">
      <c r="H1357" s="85"/>
    </row>
    <row r="1358" spans="8:8">
      <c r="H1358" s="85"/>
    </row>
    <row r="1359" spans="8:8">
      <c r="H1359" s="85"/>
    </row>
    <row r="1360" spans="8:8">
      <c r="H1360" s="85"/>
    </row>
    <row r="1361" spans="8:8">
      <c r="H1361" s="85"/>
    </row>
    <row r="1362" spans="8:8">
      <c r="H1362" s="85"/>
    </row>
    <row r="1363" spans="8:8">
      <c r="H1363" s="85"/>
    </row>
    <row r="1364" spans="8:8">
      <c r="H1364" s="85"/>
    </row>
    <row r="1365" spans="8:8">
      <c r="H1365" s="85"/>
    </row>
    <row r="1366" spans="8:8">
      <c r="H1366" s="85"/>
    </row>
    <row r="1367" spans="8:8">
      <c r="H1367" s="85"/>
    </row>
    <row r="1368" spans="8:8">
      <c r="H1368" s="85"/>
    </row>
    <row r="1369" spans="8:8">
      <c r="H1369" s="85"/>
    </row>
    <row r="1370" spans="8:8">
      <c r="H1370" s="85"/>
    </row>
    <row r="1371" spans="8:8">
      <c r="H1371" s="85"/>
    </row>
    <row r="1372" spans="8:8">
      <c r="H1372" s="85"/>
    </row>
    <row r="1373" spans="8:8">
      <c r="H1373" s="85"/>
    </row>
    <row r="1374" spans="8:8">
      <c r="H1374" s="85"/>
    </row>
    <row r="1375" spans="8:8">
      <c r="H1375" s="85"/>
    </row>
    <row r="1376" spans="8:8">
      <c r="H1376" s="85"/>
    </row>
    <row r="1377" spans="8:8">
      <c r="H1377" s="85"/>
    </row>
    <row r="1378" spans="8:8">
      <c r="H1378" s="85"/>
    </row>
    <row r="1379" spans="8:8">
      <c r="H1379" s="85"/>
    </row>
    <row r="1380" spans="8:8">
      <c r="H1380" s="85"/>
    </row>
    <row r="1381" spans="8:8">
      <c r="H1381" s="85"/>
    </row>
    <row r="1382" spans="8:8">
      <c r="H1382" s="85"/>
    </row>
    <row r="1383" spans="8:8">
      <c r="H1383" s="85"/>
    </row>
    <row r="1384" spans="8:8">
      <c r="H1384" s="85"/>
    </row>
    <row r="1385" spans="8:8">
      <c r="H1385" s="85"/>
    </row>
    <row r="1386" spans="8:8">
      <c r="H1386" s="85"/>
    </row>
    <row r="1387" spans="8:8">
      <c r="H1387" s="85"/>
    </row>
    <row r="1388" spans="8:8">
      <c r="H1388" s="85"/>
    </row>
    <row r="1389" spans="8:8">
      <c r="H1389" s="85"/>
    </row>
    <row r="1390" spans="8:8">
      <c r="H1390" s="85"/>
    </row>
    <row r="1391" spans="8:8">
      <c r="H1391" s="85"/>
    </row>
    <row r="1392" spans="8:8">
      <c r="H1392" s="85"/>
    </row>
    <row r="1393" spans="8:8">
      <c r="H1393" s="85"/>
    </row>
    <row r="1394" spans="8:8">
      <c r="H1394" s="85"/>
    </row>
    <row r="1395" spans="8:8">
      <c r="H1395" s="85"/>
    </row>
    <row r="1396" spans="8:8">
      <c r="H1396" s="85"/>
    </row>
    <row r="1397" spans="8:8">
      <c r="H1397" s="85"/>
    </row>
    <row r="1398" spans="8:8">
      <c r="H1398" s="85"/>
    </row>
    <row r="1399" spans="8:8">
      <c r="H1399" s="85"/>
    </row>
    <row r="1400" spans="8:8">
      <c r="H1400" s="85"/>
    </row>
    <row r="1401" spans="8:8">
      <c r="H1401" s="85"/>
    </row>
    <row r="1402" spans="8:8">
      <c r="H1402" s="85"/>
    </row>
    <row r="1403" spans="8:8">
      <c r="H1403" s="85"/>
    </row>
    <row r="1404" spans="8:8">
      <c r="H1404" s="85"/>
    </row>
    <row r="1405" spans="8:8">
      <c r="H1405" s="85"/>
    </row>
    <row r="1406" spans="8:8">
      <c r="H1406" s="85"/>
    </row>
    <row r="1407" spans="8:8">
      <c r="H1407" s="85"/>
    </row>
    <row r="1408" spans="8:8">
      <c r="H1408" s="85"/>
    </row>
    <row r="1409" spans="8:8">
      <c r="H1409" s="85"/>
    </row>
    <row r="1410" spans="8:8">
      <c r="H1410" s="85"/>
    </row>
    <row r="1411" spans="8:8">
      <c r="H1411" s="85"/>
    </row>
    <row r="1412" spans="8:8">
      <c r="H1412" s="85"/>
    </row>
    <row r="1413" spans="8:8">
      <c r="H1413" s="85"/>
    </row>
    <row r="1414" spans="8:8">
      <c r="H1414" s="85"/>
    </row>
    <row r="1415" spans="8:8">
      <c r="H1415" s="85"/>
    </row>
    <row r="1416" spans="8:8">
      <c r="H1416" s="85"/>
    </row>
    <row r="1417" spans="8:8">
      <c r="H1417" s="85"/>
    </row>
    <row r="1418" spans="8:8">
      <c r="H1418" s="85"/>
    </row>
    <row r="1419" spans="8:8">
      <c r="H1419" s="85"/>
    </row>
    <row r="1420" spans="8:8">
      <c r="H1420" s="85"/>
    </row>
    <row r="1421" spans="8:8">
      <c r="H1421" s="85"/>
    </row>
    <row r="1422" spans="8:8">
      <c r="H1422" s="85"/>
    </row>
    <row r="1423" spans="8:8">
      <c r="H1423" s="85"/>
    </row>
    <row r="1424" spans="8:8">
      <c r="H1424" s="85"/>
    </row>
    <row r="1425" spans="8:8">
      <c r="H1425" s="85"/>
    </row>
    <row r="1426" spans="8:8">
      <c r="H1426" s="85"/>
    </row>
    <row r="1427" spans="8:8">
      <c r="H1427" s="85"/>
    </row>
    <row r="1428" spans="8:8">
      <c r="H1428" s="85"/>
    </row>
    <row r="1429" spans="8:8">
      <c r="H1429" s="85"/>
    </row>
    <row r="1430" spans="8:8">
      <c r="H1430" s="85"/>
    </row>
    <row r="1431" spans="8:8">
      <c r="H1431" s="85"/>
    </row>
    <row r="1432" spans="8:8">
      <c r="H1432" s="85"/>
    </row>
    <row r="1433" spans="8:8">
      <c r="H1433" s="85"/>
    </row>
    <row r="1434" spans="8:8">
      <c r="H1434" s="85"/>
    </row>
    <row r="1435" spans="8:8">
      <c r="H1435" s="85"/>
    </row>
    <row r="1436" spans="8:8">
      <c r="H1436" s="85"/>
    </row>
    <row r="1437" spans="8:8">
      <c r="H1437" s="85"/>
    </row>
    <row r="1438" spans="8:8">
      <c r="H1438" s="85"/>
    </row>
    <row r="1439" spans="8:8">
      <c r="H1439" s="85"/>
    </row>
    <row r="1440" spans="8:8">
      <c r="H1440" s="85"/>
    </row>
    <row r="1441" spans="8:8">
      <c r="H1441" s="85"/>
    </row>
    <row r="1442" spans="8:8">
      <c r="H1442" s="85"/>
    </row>
    <row r="1443" spans="8:8">
      <c r="H1443" s="85"/>
    </row>
    <row r="1444" spans="8:8">
      <c r="H1444" s="85"/>
    </row>
    <row r="1445" spans="8:8">
      <c r="H1445" s="85"/>
    </row>
    <row r="1446" spans="8:8">
      <c r="H1446" s="85"/>
    </row>
    <row r="1447" spans="8:8">
      <c r="H1447" s="85"/>
    </row>
    <row r="1448" spans="8:8">
      <c r="H1448" s="85"/>
    </row>
    <row r="1449" spans="8:8">
      <c r="H1449" s="85"/>
    </row>
    <row r="1450" spans="8:8">
      <c r="H1450" s="85"/>
    </row>
    <row r="1451" spans="8:8">
      <c r="H1451" s="85"/>
    </row>
    <row r="1452" spans="8:8">
      <c r="H1452" s="85"/>
    </row>
    <row r="1453" spans="8:8">
      <c r="H1453" s="85"/>
    </row>
    <row r="1454" spans="8:8">
      <c r="H1454" s="85"/>
    </row>
    <row r="1455" spans="8:8">
      <c r="H1455" s="85"/>
    </row>
    <row r="1456" spans="8:8">
      <c r="H1456" s="85"/>
    </row>
    <row r="1457" spans="8:8">
      <c r="H1457" s="85"/>
    </row>
    <row r="1458" spans="8:8">
      <c r="H1458" s="85"/>
    </row>
    <row r="1459" spans="8:8">
      <c r="H1459" s="85"/>
    </row>
    <row r="1460" spans="8:8">
      <c r="H1460" s="85"/>
    </row>
    <row r="1461" spans="8:8">
      <c r="H1461" s="85"/>
    </row>
    <row r="1462" spans="8:8">
      <c r="H1462" s="85"/>
    </row>
    <row r="1463" spans="8:8">
      <c r="H1463" s="85"/>
    </row>
    <row r="1464" spans="8:8">
      <c r="H1464" s="85"/>
    </row>
    <row r="1465" spans="8:8">
      <c r="H1465" s="85"/>
    </row>
    <row r="1466" spans="8:8">
      <c r="H1466" s="85"/>
    </row>
    <row r="1467" spans="8:8">
      <c r="H1467" s="85"/>
    </row>
    <row r="1468" spans="8:8">
      <c r="H1468" s="85"/>
    </row>
    <row r="1469" spans="8:8">
      <c r="H1469" s="85"/>
    </row>
    <row r="1470" spans="8:8">
      <c r="H1470" s="85"/>
    </row>
    <row r="1471" spans="8:8">
      <c r="H1471" s="85"/>
    </row>
    <row r="1472" spans="8:8">
      <c r="H1472" s="85"/>
    </row>
    <row r="1473" spans="8:8">
      <c r="H1473" s="85"/>
    </row>
    <row r="1474" spans="8:8">
      <c r="H1474" s="85"/>
    </row>
    <row r="1475" spans="8:8">
      <c r="H1475" s="85"/>
    </row>
    <row r="1476" spans="8:8">
      <c r="H1476" s="85"/>
    </row>
    <row r="1477" spans="8:8">
      <c r="H1477" s="85"/>
    </row>
    <row r="1478" spans="8:8">
      <c r="H1478" s="85"/>
    </row>
    <row r="1479" spans="8:8">
      <c r="H1479" s="85"/>
    </row>
    <row r="1480" spans="8:8">
      <c r="H1480" s="85"/>
    </row>
    <row r="1481" spans="8:8">
      <c r="H1481" s="85"/>
    </row>
    <row r="1482" spans="8:8">
      <c r="H1482" s="85"/>
    </row>
    <row r="1483" spans="8:8">
      <c r="H1483" s="85"/>
    </row>
    <row r="1484" spans="8:8">
      <c r="H1484" s="85"/>
    </row>
    <row r="1485" spans="8:8">
      <c r="H1485" s="85"/>
    </row>
    <row r="1486" spans="8:8">
      <c r="H1486" s="85"/>
    </row>
    <row r="1487" spans="8:8">
      <c r="H1487" s="85"/>
    </row>
    <row r="1488" spans="8:8">
      <c r="H1488" s="85"/>
    </row>
    <row r="1489" spans="8:8">
      <c r="H1489" s="85"/>
    </row>
    <row r="1490" spans="8:8">
      <c r="H1490" s="85"/>
    </row>
    <row r="1491" spans="8:8">
      <c r="H1491" s="85"/>
    </row>
    <row r="1492" spans="8:8">
      <c r="H1492" s="85"/>
    </row>
    <row r="1493" spans="8:8">
      <c r="H1493" s="85"/>
    </row>
    <row r="1494" spans="8:8">
      <c r="H1494" s="85"/>
    </row>
    <row r="1495" spans="8:8">
      <c r="H1495" s="85"/>
    </row>
    <row r="1496" spans="8:8">
      <c r="H1496" s="85"/>
    </row>
    <row r="1497" spans="8:8">
      <c r="H1497" s="85"/>
    </row>
    <row r="1498" spans="8:8">
      <c r="H1498" s="85"/>
    </row>
    <row r="1499" spans="8:8">
      <c r="H1499" s="85"/>
    </row>
    <row r="1500" spans="8:8">
      <c r="H1500" s="85"/>
    </row>
    <row r="1501" spans="8:8">
      <c r="H1501" s="85"/>
    </row>
    <row r="1502" spans="8:8">
      <c r="H1502" s="85"/>
    </row>
    <row r="1503" spans="8:8">
      <c r="H1503" s="85"/>
    </row>
    <row r="1504" spans="8:8">
      <c r="H1504" s="85"/>
    </row>
    <row r="1505" spans="8:8">
      <c r="H1505" s="85"/>
    </row>
    <row r="1506" spans="8:8">
      <c r="H1506" s="85"/>
    </row>
    <row r="1507" spans="8:8">
      <c r="H1507" s="85"/>
    </row>
    <row r="1508" spans="8:8">
      <c r="H1508" s="85"/>
    </row>
    <row r="1509" spans="8:8">
      <c r="H1509" s="85"/>
    </row>
    <row r="1510" spans="8:8">
      <c r="H1510" s="85"/>
    </row>
    <row r="1511" spans="8:8">
      <c r="H1511" s="85"/>
    </row>
    <row r="1512" spans="8:8">
      <c r="H1512" s="85"/>
    </row>
    <row r="1513" spans="8:8">
      <c r="H1513" s="85"/>
    </row>
    <row r="1514" spans="8:8">
      <c r="H1514" s="85"/>
    </row>
    <row r="1515" spans="8:8">
      <c r="H1515" s="85"/>
    </row>
    <row r="1516" spans="8:8">
      <c r="H1516" s="85"/>
    </row>
    <row r="1517" spans="8:8">
      <c r="H1517" s="85"/>
    </row>
    <row r="1518" spans="8:8">
      <c r="H1518" s="85"/>
    </row>
    <row r="1519" spans="8:8">
      <c r="H1519" s="85"/>
    </row>
    <row r="1520" spans="8:8">
      <c r="H1520" s="85"/>
    </row>
    <row r="1521" spans="8:8">
      <c r="H1521" s="85"/>
    </row>
    <row r="1522" spans="8:8">
      <c r="H1522" s="85"/>
    </row>
    <row r="1523" spans="8:8">
      <c r="H1523" s="85"/>
    </row>
    <row r="1524" spans="8:8">
      <c r="H1524" s="85"/>
    </row>
    <row r="1525" spans="8:8">
      <c r="H1525" s="85"/>
    </row>
    <row r="1526" spans="8:8">
      <c r="H1526" s="85"/>
    </row>
    <row r="1527" spans="8:8">
      <c r="H1527" s="85"/>
    </row>
    <row r="1528" spans="8:8">
      <c r="H1528" s="85"/>
    </row>
    <row r="1529" spans="8:8">
      <c r="H1529" s="85"/>
    </row>
    <row r="1530" spans="8:8">
      <c r="H1530" s="85"/>
    </row>
    <row r="1531" spans="8:8">
      <c r="H1531" s="85"/>
    </row>
    <row r="1532" spans="8:8">
      <c r="H1532" s="85"/>
    </row>
    <row r="1533" spans="8:8">
      <c r="H1533" s="85"/>
    </row>
    <row r="1534" spans="8:8">
      <c r="H1534" s="85"/>
    </row>
    <row r="1535" spans="8:8">
      <c r="H1535" s="85"/>
    </row>
    <row r="1536" spans="8:8">
      <c r="H1536" s="85"/>
    </row>
    <row r="1537" spans="8:8">
      <c r="H1537" s="85"/>
    </row>
    <row r="1538" spans="8:8">
      <c r="H1538" s="85"/>
    </row>
  </sheetData>
  <mergeCells count="227">
    <mergeCell ref="B2:I2"/>
    <mergeCell ref="B4:C4"/>
    <mergeCell ref="E4:F4"/>
    <mergeCell ref="B5:C5"/>
    <mergeCell ref="E5:F5"/>
    <mergeCell ref="B6:C6"/>
    <mergeCell ref="E6:F6"/>
    <mergeCell ref="B7:C7"/>
    <mergeCell ref="E7:F7"/>
    <mergeCell ref="B8:C8"/>
    <mergeCell ref="E8:F8"/>
    <mergeCell ref="B9:C9"/>
    <mergeCell ref="E9:F9"/>
    <mergeCell ref="B10:C10"/>
    <mergeCell ref="E10:F10"/>
    <mergeCell ref="B12:C12"/>
    <mergeCell ref="E12:G12"/>
    <mergeCell ref="H12:J12"/>
    <mergeCell ref="B13:C13"/>
    <mergeCell ref="E13:G13"/>
    <mergeCell ref="H13:J13"/>
    <mergeCell ref="B14:C14"/>
    <mergeCell ref="E14:G14"/>
    <mergeCell ref="H14:J14"/>
    <mergeCell ref="B15:C15"/>
    <mergeCell ref="E15:G15"/>
    <mergeCell ref="H15:J15"/>
    <mergeCell ref="B16:C16"/>
    <mergeCell ref="E16:G16"/>
    <mergeCell ref="H16:J16"/>
    <mergeCell ref="B17:C17"/>
    <mergeCell ref="E17:G17"/>
    <mergeCell ref="H17:J17"/>
    <mergeCell ref="B18:C18"/>
    <mergeCell ref="E18:G18"/>
    <mergeCell ref="H18:J18"/>
    <mergeCell ref="C22:D22"/>
    <mergeCell ref="C23:D23"/>
    <mergeCell ref="C24:D24"/>
    <mergeCell ref="C25:D25"/>
    <mergeCell ref="C26:D26"/>
    <mergeCell ref="C27:D27"/>
    <mergeCell ref="C28:D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88:D188"/>
    <mergeCell ref="C189:D189"/>
    <mergeCell ref="C190:D190"/>
    <mergeCell ref="C191:D191"/>
    <mergeCell ref="C192:D192"/>
    <mergeCell ref="C175:D175"/>
    <mergeCell ref="C176:D176"/>
    <mergeCell ref="C177:D177"/>
    <mergeCell ref="C178:D178"/>
    <mergeCell ref="C179:D179"/>
    <mergeCell ref="C180:D180"/>
    <mergeCell ref="C181:D181"/>
    <mergeCell ref="C182:D182"/>
    <mergeCell ref="C183:D183"/>
    <mergeCell ref="K20:K21"/>
    <mergeCell ref="C20:D21"/>
    <mergeCell ref="C202:D202"/>
    <mergeCell ref="C203:D203"/>
    <mergeCell ref="B20:B21"/>
    <mergeCell ref="E20:E21"/>
    <mergeCell ref="F20:F21"/>
    <mergeCell ref="G20:G21"/>
    <mergeCell ref="H20:H21"/>
    <mergeCell ref="I20:I21"/>
    <mergeCell ref="J20:J21"/>
    <mergeCell ref="C193:D193"/>
    <mergeCell ref="C194:D194"/>
    <mergeCell ref="C195:D195"/>
    <mergeCell ref="C196:D196"/>
    <mergeCell ref="C197:D197"/>
    <mergeCell ref="C198:D198"/>
    <mergeCell ref="C199:D199"/>
    <mergeCell ref="C200:D200"/>
    <mergeCell ref="C201:D201"/>
    <mergeCell ref="C184:D184"/>
    <mergeCell ref="C185:D185"/>
    <mergeCell ref="C186:D186"/>
    <mergeCell ref="C187:D187"/>
  </mergeCells>
  <conditionalFormatting sqref="C22:D22">
    <cfRule type="cellIs" dxfId="19" priority="5" operator="notEqual">
      <formula>""</formula>
    </cfRule>
  </conditionalFormatting>
  <conditionalFormatting sqref="C23:D23">
    <cfRule type="cellIs" dxfId="18" priority="4" operator="notEqual">
      <formula>""</formula>
    </cfRule>
  </conditionalFormatting>
  <conditionalFormatting sqref="C24:D24">
    <cfRule type="cellIs" dxfId="17" priority="3" operator="notEqual">
      <formula>""</formula>
    </cfRule>
  </conditionalFormatting>
  <conditionalFormatting sqref="C25:D25">
    <cfRule type="cellIs" dxfId="16" priority="2" operator="notEqual">
      <formula>""</formula>
    </cfRule>
  </conditionalFormatting>
  <conditionalFormatting sqref="C26:D26">
    <cfRule type="cellIs" dxfId="15" priority="1" operator="notEqual">
      <formula>""</formula>
    </cfRule>
  </conditionalFormatting>
  <conditionalFormatting sqref="E4:F10">
    <cfRule type="cellIs" dxfId="14" priority="23" stopIfTrue="1" operator="equal">
      <formula>""</formula>
    </cfRule>
    <cfRule type="cellIs" dxfId="13" priority="24" stopIfTrue="1" operator="notEqual">
      <formula>""""""</formula>
    </cfRule>
  </conditionalFormatting>
  <conditionalFormatting sqref="B22:B26 E22:K26 B27:K203">
    <cfRule type="cellIs" dxfId="12" priority="26" operator="notEqual">
      <formula>""</formula>
    </cfRule>
  </conditionalFormatting>
  <dataValidations count="7">
    <dataValidation type="list" allowBlank="1" showInputMessage="1" showErrorMessage="1" sqref="F22:F203 F563:F564" xr:uid="{00000000-0002-0000-0100-000000000000}">
      <formula1>Phase_Injected</formula1>
    </dataValidation>
    <dataValidation type="decimal" operator="greaterThanOrEqual" allowBlank="1" showInputMessage="1" showErrorMessage="1" sqref="E9:G9" xr:uid="{00000000-0002-0000-0100-000001000000}">
      <formula1>0</formula1>
    </dataValidation>
    <dataValidation type="list" allowBlank="1" showInputMessage="1" sqref="J22:J203" xr:uid="{00000000-0002-0000-0100-000002000000}">
      <formula1>Primary_Cause</formula1>
    </dataValidation>
    <dataValidation type="decimal" allowBlank="1" showInputMessage="1" showErrorMessage="1" sqref="E10:F10" xr:uid="{00000000-0002-0000-0100-000003000000}">
      <formula1>0</formula1>
      <formula2>100000000</formula2>
    </dataValidation>
    <dataValidation type="list" allowBlank="1" showInputMessage="1" showErrorMessage="1" sqref="E22:E203" xr:uid="{00000000-0002-0000-0100-000004000000}">
      <formula1>$P$1:$P$5</formula1>
    </dataValidation>
    <dataValidation type="list" allowBlank="1" showInputMessage="1" showErrorMessage="1" sqref="E204:E563" xr:uid="{00000000-0002-0000-0100-000005000000}">
      <formula1>$P$1:$P$6</formula1>
    </dataValidation>
    <dataValidation type="list" allowBlank="1" showInputMessage="1" showErrorMessage="1" sqref="F204:F562" xr:uid="{00000000-0002-0000-0100-000006000000}">
      <formula1>Inspection_log</formula1>
    </dataValidation>
  </dataValidations>
  <pageMargins left="0.75" right="0.75" top="1" bottom="1" header="0.5" footer="0.5"/>
  <pageSetup orientation="portrait"/>
  <headerFooter alignWithMargins="0"/>
  <ignoredErrors>
    <ignoredError sqref="K27:K203" unlockedFormula="1"/>
  </ignoredErrors>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
  <sheetViews>
    <sheetView workbookViewId="0"/>
  </sheetViews>
  <sheetFormatPr defaultColWidth="9" defaultRowHeight="13.1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T1147"/>
  <sheetViews>
    <sheetView showGridLines="0" workbookViewId="0"/>
  </sheetViews>
  <sheetFormatPr defaultColWidth="9.28515625" defaultRowHeight="13.15"/>
  <cols>
    <col min="1" max="1" width="0.7109375" style="60" customWidth="1"/>
    <col min="2" max="2" width="11.7109375" style="12" customWidth="1"/>
    <col min="3" max="3" width="15.7109375" style="12" customWidth="1"/>
    <col min="4" max="4" width="1.5703125" style="12" customWidth="1"/>
    <col min="5" max="5" width="12" style="12" customWidth="1"/>
    <col min="6" max="6" width="14.5703125" style="12" customWidth="1"/>
    <col min="7" max="8" width="14.7109375" style="12" customWidth="1"/>
    <col min="9" max="9" width="44" style="12" customWidth="1"/>
    <col min="10" max="10" width="24.7109375" style="12" customWidth="1"/>
    <col min="11" max="11" width="18.28515625" style="12" customWidth="1"/>
    <col min="12" max="12" width="15.7109375" style="12" customWidth="1"/>
    <col min="13" max="13" width="12.7109375" style="12" customWidth="1"/>
    <col min="14" max="15" width="12.7109375" style="61" customWidth="1"/>
    <col min="16" max="16" width="12.7109375" style="61" hidden="1" customWidth="1"/>
    <col min="17" max="17" width="7.5703125" style="61" hidden="1" customWidth="1"/>
    <col min="18" max="25" width="12.7109375" style="61" hidden="1" customWidth="1"/>
    <col min="26" max="29" width="12.7109375" style="62" customWidth="1"/>
    <col min="30" max="36" width="9.28515625" style="62" customWidth="1"/>
    <col min="37" max="54" width="9.28515625" style="61" customWidth="1"/>
    <col min="55" max="72" width="9.28515625" style="61"/>
    <col min="73" max="16384" width="9.28515625" style="62"/>
  </cols>
  <sheetData>
    <row r="1" spans="2:36" ht="5.25" customHeight="1">
      <c r="B1" s="60"/>
      <c r="C1" s="60"/>
      <c r="D1" s="60"/>
      <c r="E1" s="60"/>
      <c r="F1" s="60"/>
      <c r="G1" s="60"/>
      <c r="H1" s="60"/>
      <c r="I1" s="60"/>
      <c r="J1" s="60"/>
      <c r="K1" s="60"/>
      <c r="L1" s="60"/>
      <c r="M1" s="60"/>
      <c r="O1" s="61" t="s">
        <v>7</v>
      </c>
      <c r="P1" s="61" t="s">
        <v>160</v>
      </c>
      <c r="Q1" s="61" t="s">
        <v>160</v>
      </c>
      <c r="R1" s="61" t="s">
        <v>161</v>
      </c>
      <c r="S1" s="61">
        <f>COUNTA($H$32:$H$533)</f>
        <v>0</v>
      </c>
      <c r="T1" s="61" t="s">
        <v>161</v>
      </c>
      <c r="U1" s="61" t="s">
        <v>165</v>
      </c>
      <c r="V1" s="61" t="s">
        <v>211</v>
      </c>
      <c r="W1" s="61" t="s">
        <v>212</v>
      </c>
      <c r="X1" s="61" t="s">
        <v>213</v>
      </c>
      <c r="Z1" s="61"/>
      <c r="AA1" s="61" t="s">
        <v>214</v>
      </c>
      <c r="AB1" s="61" t="s">
        <v>215</v>
      </c>
      <c r="AC1" s="61" t="str">
        <f>IF('Inspection Details'!J30="","",'Inspection Details'!J30)</f>
        <v>SM</v>
      </c>
      <c r="AD1" s="61">
        <f t="array" ref="AD1">IF(AC1="","",SUM(IF(LEFT($B$32:$B$1033,2)=AC1,1,0)))</f>
        <v>0</v>
      </c>
      <c r="AE1" s="61">
        <f t="array" ref="AE1">IF(AC1="","",SUM(IF(LEFT($B$32:$B$1032,2)=AC1,IF($H$32:$H$1032="ACC",1,0)+IF($H$32:$H$1032="REW",1,0))))</f>
        <v>0</v>
      </c>
      <c r="AF1" s="61" t="s">
        <v>216</v>
      </c>
      <c r="AG1" s="61" t="s">
        <v>162</v>
      </c>
      <c r="AH1" s="61"/>
      <c r="AI1" s="61"/>
      <c r="AJ1" s="61"/>
    </row>
    <row r="2" spans="2:36" ht="31.5" customHeight="1">
      <c r="B2" s="245" t="s">
        <v>217</v>
      </c>
      <c r="C2" s="245"/>
      <c r="D2" s="245"/>
      <c r="E2" s="245"/>
      <c r="F2" s="245"/>
      <c r="G2" s="245"/>
      <c r="H2" s="245"/>
      <c r="I2" s="245"/>
      <c r="J2" s="60"/>
      <c r="K2" s="60"/>
      <c r="L2" s="60"/>
      <c r="M2" s="60"/>
      <c r="O2" s="61" t="s">
        <v>22</v>
      </c>
      <c r="P2" s="61" t="s">
        <v>218</v>
      </c>
      <c r="Q2" s="61" t="s">
        <v>219</v>
      </c>
      <c r="R2" s="61" t="s">
        <v>165</v>
      </c>
      <c r="S2" s="61">
        <f>COUNTA($E$32:$E$533)</f>
        <v>0</v>
      </c>
      <c r="T2" s="61">
        <f>SUM(Y1:Y40)/60</f>
        <v>0</v>
      </c>
      <c r="Z2" s="61"/>
      <c r="AA2" s="61"/>
      <c r="AB2" s="61"/>
      <c r="AC2" s="61" t="str">
        <f>IF('Inspection Details'!J31="","",'Inspection Details'!J31)</f>
        <v>HP</v>
      </c>
      <c r="AD2" s="61">
        <f t="array" ref="AD2">IF(AC2="","",SUM(IF(LEFT($B$32:$B$1033,2)=AC2,1,0)))</f>
        <v>0</v>
      </c>
      <c r="AE2" s="61">
        <f t="array" ref="AE2">IF(AC2="","",SUM(IF(LEFT($B$32:$B$1032,2)=AC2,IF($H$32:$H$1032="ACC",1,0)+IF($H$32:$H$1032="REW",1,0))))</f>
        <v>0</v>
      </c>
      <c r="AF2" s="61"/>
      <c r="AG2" s="61" t="s">
        <v>166</v>
      </c>
      <c r="AH2" s="61"/>
      <c r="AI2" s="61"/>
      <c r="AJ2" s="61"/>
    </row>
    <row r="3" spans="2:36" ht="13.5" customHeight="1">
      <c r="B3" s="60"/>
      <c r="C3" s="60"/>
      <c r="D3" s="60"/>
      <c r="E3" s="60"/>
      <c r="F3" s="60"/>
      <c r="G3" s="60"/>
      <c r="H3" s="60"/>
      <c r="I3" s="60"/>
      <c r="J3" s="60"/>
      <c r="K3" s="60"/>
      <c r="L3" s="60"/>
      <c r="M3" s="60"/>
      <c r="O3" s="61" t="s">
        <v>29</v>
      </c>
      <c r="P3" s="61" t="s">
        <v>220</v>
      </c>
      <c r="Q3" s="61" t="s">
        <v>220</v>
      </c>
      <c r="R3" s="61" t="s">
        <v>211</v>
      </c>
      <c r="S3" s="61">
        <f>COUNTA($F$32:$F$533)</f>
        <v>0</v>
      </c>
      <c r="T3" s="61">
        <f t="array" ref="T3">SUM(IF($E$32:$E$533=T$1,IF($F$32:$F$533=$Z3,IF($H$32:$H$533=$Q$1,1,IF($H$32:$H$533=$Q$5,1,0)))))</f>
        <v>0</v>
      </c>
      <c r="U3" s="61">
        <f t="array" ref="U3">SUM(IF($E$32:$E$533=U$1,IF($F$32:$F$533=$Z3,IF($H$32:$H$533=$Q$1,1,IF($H$32:$H$533=$Q$5,1,0)))))</f>
        <v>0</v>
      </c>
      <c r="V3" s="61">
        <f t="array" ref="V3">SUM(IF($E$32:$E$533=V$1,IF($F$32:$F$533=$Z3,IF($H$32:$H$533=$Q$1,1,IF($H$32:$H$533=$Q$5,1,0)))))</f>
        <v>0</v>
      </c>
      <c r="W3" s="61">
        <f t="array" ref="W3">SUM(IF($E$32:$E$533=W$1,IF($F$32:$F$533=$Z3,IF($H$32:$H$533=$Q$1,1,IF($H$32:$H$533=$Q$5,1,0)))))</f>
        <v>0</v>
      </c>
      <c r="X3" s="61">
        <f t="array" ref="X3">SUM(IF($E$32:$E$533=X$1,IF($F$32:$F$533=$Z3,IF($H$32:$H$533=$Q$1,1,IF($H$32:$H$533=$Q$5,1,0)))))</f>
        <v>0</v>
      </c>
      <c r="Z3" s="61" t="s">
        <v>7</v>
      </c>
      <c r="AA3" s="61"/>
      <c r="AB3" s="61"/>
      <c r="AC3" s="61" t="str">
        <f>IF('Inspection Details'!J32="","",'Inspection Details'!J32)</f>
        <v>AA</v>
      </c>
      <c r="AD3" s="61">
        <f t="array" ref="AD3">IF(AC3="","",SUM(IF(LEFT($B$32:$B$1033,2)=AC3,1,0)))</f>
        <v>0</v>
      </c>
      <c r="AE3" s="61">
        <f t="array" ref="AE3">IF(AC3="","",SUM(IF(LEFT($B$32:$B$1032,2)=AC3,IF($H$32:$H$1032="ACC",1,0)+IF($H$32:$H$1032="REW",1,0))))</f>
        <v>0</v>
      </c>
      <c r="AF3" s="61"/>
      <c r="AG3" s="61" t="s">
        <v>167</v>
      </c>
      <c r="AH3" s="61"/>
      <c r="AI3" s="61"/>
      <c r="AJ3" s="61"/>
    </row>
    <row r="4" spans="2:36" ht="15" customHeight="1">
      <c r="B4" s="220" t="s">
        <v>221</v>
      </c>
      <c r="C4" s="220"/>
      <c r="D4" s="63"/>
      <c r="E4" s="246" t="str">
        <f>'Inspection Details'!$F$8</f>
        <v>TFTP</v>
      </c>
      <c r="F4" s="246"/>
      <c r="G4" s="246"/>
      <c r="H4" s="63"/>
      <c r="I4" s="63"/>
      <c r="J4" s="60"/>
      <c r="K4" s="60"/>
      <c r="L4" s="60"/>
      <c r="M4" s="60"/>
      <c r="O4" s="61" t="s">
        <v>35</v>
      </c>
      <c r="P4" s="61" t="s">
        <v>222</v>
      </c>
      <c r="Q4" s="61" t="s">
        <v>222</v>
      </c>
      <c r="R4" s="61" t="s">
        <v>212</v>
      </c>
      <c r="S4" s="61">
        <f>S1-T16-S6</f>
        <v>0</v>
      </c>
      <c r="T4" s="61">
        <f t="array" ref="T4">SUM(IF($E$32:$E$533=T$1,IF($F$32:$F$533=$Z4,IF($H$32:$H$533=$Q$1,1,IF($H$32:$H$533=$Q$5,1,0)))))</f>
        <v>0</v>
      </c>
      <c r="U4" s="61">
        <f t="array" ref="U4">SUM(IF($E$32:$E$533=U$1,IF($F$32:$F$533=$Z4,IF($H$32:$H$533=$Q$1,1,IF($H$32:$H$533=$Q$5,1,0)))))</f>
        <v>0</v>
      </c>
      <c r="V4" s="61">
        <f t="array" ref="V4">SUM(IF($E$32:$E$533=V$1,IF($F$32:$F$533=$Z4,IF($H$32:$H$533=$Q$1,1,IF($H$32:$H$533=$Q$5,1,0)))))</f>
        <v>0</v>
      </c>
      <c r="W4" s="61">
        <f t="array" ref="W4">SUM(IF($E$32:$E$533=W$1,IF($F$32:$F$533=$Z4,IF($H$32:$H$533=$Q$1,1,IF($H$32:$H$533=$Q$5,1,0)))))</f>
        <v>0</v>
      </c>
      <c r="X4" s="61">
        <f t="array" ref="X4">SUM(IF($E$32:$E$533=X$1,IF($F$32:$F$533=$Z4,IF($H$32:$H$533=$Q$1,1,IF($H$32:$H$533=$Q$5,1,0)))))</f>
        <v>0</v>
      </c>
      <c r="Z4" s="61" t="s">
        <v>22</v>
      </c>
      <c r="AA4" s="61"/>
      <c r="AB4" s="61"/>
      <c r="AC4" s="61" t="str">
        <f>IF('Inspection Details'!J33="","",'Inspection Details'!J33)</f>
        <v>TS</v>
      </c>
      <c r="AD4" s="61">
        <f t="array" ref="AD4">IF(AC4="","",SUM(IF(LEFT($B$32:$B$1033,2)=AC4,1,0)))</f>
        <v>0</v>
      </c>
      <c r="AE4" s="61">
        <f t="array" ref="AE4">IF(AC4="","",SUM(IF(LEFT($B$32:$B$1032,2)=AC4,IF($H$32:$H$1032="ACC",1,0)+IF($H$32:$H$1032="REW",1,0))))</f>
        <v>0</v>
      </c>
      <c r="AF4" s="61"/>
      <c r="AG4" s="61" t="s">
        <v>170</v>
      </c>
      <c r="AH4" s="61"/>
      <c r="AI4" s="61"/>
      <c r="AJ4" s="61"/>
    </row>
    <row r="5" spans="2:36" ht="15" customHeight="1">
      <c r="B5" s="215" t="s">
        <v>171</v>
      </c>
      <c r="C5" s="215"/>
      <c r="D5" s="63"/>
      <c r="E5" s="247" t="str">
        <f>'Inspection Details'!$F$10</f>
        <v>Code</v>
      </c>
      <c r="F5" s="247"/>
      <c r="G5" s="247"/>
      <c r="H5" s="63"/>
      <c r="I5" s="63"/>
      <c r="J5" s="60"/>
      <c r="K5" s="60"/>
      <c r="L5" s="60"/>
      <c r="M5" s="60"/>
      <c r="O5" s="61" t="s">
        <v>11</v>
      </c>
      <c r="R5" s="61" t="s">
        <v>213</v>
      </c>
      <c r="T5" s="61">
        <f t="array" ref="T5">SUM(IF($E$32:$E$533=T$1,IF($F$32:$F$533=$Z5,IF($H$32:$H$533=$Q$1,1,IF($H$32:$H$533=$Q$5,1,0)))))</f>
        <v>0</v>
      </c>
      <c r="U5" s="61">
        <f t="array" ref="U5">SUM(IF($E$32:$E$533=U$1,IF($F$32:$F$533=$Z5,IF($H$32:$H$533=$Q$1,1,IF($H$32:$H$533=$Q$5,1,0)))))</f>
        <v>0</v>
      </c>
      <c r="V5" s="61">
        <f t="array" ref="V5">SUM(IF($E$32:$E$533=V$1,IF($F$32:$F$533=$Z5,IF($H$32:$H$533=$Q$1,1,IF($H$32:$H$533=$Q$5,1,0)))))</f>
        <v>0</v>
      </c>
      <c r="W5" s="61">
        <f t="array" ref="W5">SUM(IF($E$32:$E$533=W$1,IF($F$32:$F$533=$Z5,IF($H$32:$H$533=$Q$1,1,IF($H$32:$H$533=$Q$5,1,0)))))</f>
        <v>0</v>
      </c>
      <c r="X5" s="61">
        <f t="array" ref="X5">SUM(IF($E$32:$E$533=X$1,IF($F$32:$F$533=$Z5,IF($H$32:$H$533=$Q$1,1,IF($H$32:$H$533=$Q$5,1,0)))))</f>
        <v>0</v>
      </c>
      <c r="Z5" s="61" t="s">
        <v>29</v>
      </c>
      <c r="AA5" s="61"/>
      <c r="AB5" s="61"/>
      <c r="AC5" s="61" t="str">
        <f>IF('Inspection Details'!J34="","",'Inspection Details'!J34)</f>
        <v>SH</v>
      </c>
      <c r="AD5" s="61">
        <f t="array" ref="AD5">IF(AC5="","",SUM(IF(LEFT($B$32:$B$1033,2)=AC5,1,0)))</f>
        <v>0</v>
      </c>
      <c r="AE5" s="61">
        <f t="array" ref="AE5">IF(AC5="","",SUM(IF(LEFT($B$32:$B$1032,2)=AC5,IF($H$32:$H$1032="ACC",1,0)+IF($H$32:$H$1032="REW",1,0))))</f>
        <v>0</v>
      </c>
      <c r="AF5" s="61"/>
      <c r="AG5" s="61" t="s">
        <v>172</v>
      </c>
      <c r="AH5" s="61"/>
      <c r="AI5" s="61"/>
      <c r="AJ5" s="61"/>
    </row>
    <row r="6" spans="2:36" ht="15" customHeight="1">
      <c r="B6" s="248" t="s">
        <v>223</v>
      </c>
      <c r="C6" s="248"/>
      <c r="D6" s="63"/>
      <c r="E6" s="249" t="str">
        <f>'Inspection Details'!$F$24</f>
        <v>NA</v>
      </c>
      <c r="F6" s="250"/>
      <c r="G6" s="250"/>
      <c r="H6" s="63"/>
      <c r="I6" s="70" t="s">
        <v>224</v>
      </c>
      <c r="J6" s="60"/>
      <c r="K6" s="60"/>
      <c r="L6" s="60"/>
      <c r="M6" s="60"/>
      <c r="O6" s="61" t="s">
        <v>12</v>
      </c>
      <c r="S6" s="61">
        <f>COUNTIF($H$32:$H$533,$Q$2)</f>
        <v>0</v>
      </c>
      <c r="T6" s="61">
        <f t="array" ref="T6">SUM(IF($E$32:$E$533=T$1,IF($F$32:$F$533=$Z6,IF($H$32:$H$533=$Q$1,1,IF($H$32:$H$533=$Q$5,1,0)))))</f>
        <v>0</v>
      </c>
      <c r="U6" s="61">
        <f t="array" ref="U6">SUM(IF($E$32:$E$533=U$1,IF($F$32:$F$533=$Z6,IF($H$32:$H$533=$Q$1,1,IF($H$32:$H$533=$Q$5,1,0)))))</f>
        <v>0</v>
      </c>
      <c r="V6" s="61">
        <f t="array" ref="V6">SUM(IF($E$32:$E$533=V$1,IF($F$32:$F$533=$Z6,IF($H$32:$H$533=$Q$1,1,IF($H$32:$H$533=$Q$5,1,0)))))</f>
        <v>0</v>
      </c>
      <c r="W6" s="61">
        <f t="array" ref="W6">SUM(IF($E$32:$E$533=W$1,IF($F$32:$F$533=$Z6,IF($H$32:$H$533=$Q$1,1,IF($H$32:$H$533=$Q$5,1,0)))))</f>
        <v>0</v>
      </c>
      <c r="X6" s="61">
        <f t="array" ref="X6">SUM(IF($E$32:$E$533=X$1,IF($F$32:$F$533=$Z6,IF($H$32:$H$533=$Q$1,1,IF($H$32:$H$533=$Q$5,1,0)))))</f>
        <v>0</v>
      </c>
      <c r="Z6" s="61" t="s">
        <v>35</v>
      </c>
      <c r="AA6" s="61"/>
      <c r="AB6" s="61"/>
      <c r="AC6" s="61" t="str">
        <f>IF('Inspection Details'!J35="","",'Inspection Details'!J35)</f>
        <v/>
      </c>
      <c r="AD6" s="61" t="str">
        <f t="array" ref="AD6">IF(AC6="","",SUM(IF(LEFT($B$32:$B$1033,2)=AC6,1,0)))</f>
        <v/>
      </c>
      <c r="AE6" s="61" t="str">
        <f t="array" ref="AE6">IF(AC6="","",SUM(IF(LEFT($B$32:$B$1032,2)=AC6,IF($H$32:$H$1032="ACC",1,0)+IF($H$32:$H$1032="REW",1,0))))</f>
        <v/>
      </c>
      <c r="AF6" s="61"/>
      <c r="AG6" s="61" t="s">
        <v>174</v>
      </c>
      <c r="AH6" s="61"/>
      <c r="AI6" s="61"/>
      <c r="AJ6" s="61"/>
    </row>
    <row r="7" spans="2:36" ht="17.25" customHeight="1">
      <c r="B7" s="241" t="s">
        <v>225</v>
      </c>
      <c r="C7" s="241"/>
      <c r="D7" s="241"/>
      <c r="E7" s="241"/>
      <c r="F7" s="241"/>
      <c r="G7" s="241"/>
      <c r="H7" s="63"/>
      <c r="I7" s="63"/>
      <c r="J7" s="60"/>
      <c r="K7" s="60"/>
      <c r="L7" s="60"/>
      <c r="M7" s="60"/>
      <c r="O7" s="61" t="s">
        <v>51</v>
      </c>
      <c r="S7" s="61">
        <f>COUNTA($G$32:$G$533)</f>
        <v>0</v>
      </c>
      <c r="T7" s="61">
        <f t="array" ref="T7">SUM(IF($E$32:$E$533=T$1,IF($F$32:$F$533=$Z7,IF($H$32:$H$533=$Q$1,1,IF($H$32:$H$533=$Q$5,1,0)))))</f>
        <v>0</v>
      </c>
      <c r="U7" s="61">
        <f t="array" ref="U7">SUM(IF($E$32:$E$533=U$1,IF($F$32:$F$533=$Z7,IF($H$32:$H$533=$Q$1,1,IF($H$32:$H$533=$Q$5,1,0)))))</f>
        <v>0</v>
      </c>
      <c r="V7" s="61">
        <f t="array" ref="V7">SUM(IF($E$32:$E$533=V$1,IF($F$32:$F$533=$Z7,IF($H$32:$H$533=$Q$1,1,IF($H$32:$H$533=$Q$5,1,0)))))</f>
        <v>0</v>
      </c>
      <c r="W7" s="61">
        <f t="array" ref="W7">SUM(IF($E$32:$E$533=W$1,IF($F$32:$F$533=$Z7,IF($H$32:$H$533=$Q$1,1,IF($H$32:$H$533=$Q$5,1,0)))))</f>
        <v>0</v>
      </c>
      <c r="X7" s="61">
        <f t="array" ref="X7">SUM(IF($E$32:$E$533=X$1,IF($F$32:$F$533=$Z7,IF($H$32:$H$533=$Q$1,1,IF($H$32:$H$533=$Q$5,1,0)))))</f>
        <v>0</v>
      </c>
      <c r="Z7" s="61" t="s">
        <v>11</v>
      </c>
      <c r="AA7" s="61"/>
      <c r="AB7" s="61"/>
      <c r="AC7" s="61" t="str">
        <f>IF('Inspection Details'!J36="","",'Inspection Details'!J36)</f>
        <v/>
      </c>
      <c r="AD7" s="61" t="str">
        <f t="array" ref="AD7">IF(AC7="","",SUM(IF(LEFT($B$32:$B$1033,2)=AC7,1,0)))</f>
        <v/>
      </c>
      <c r="AE7" s="61" t="str">
        <f t="array" ref="AE7">IF(AC7="","",SUM(IF(LEFT($B$32:$B$1032,2)=AC7,IF($H$32:$H$1032="ACC",1,0)+IF($H$32:$H$1032="REW",1,0))))</f>
        <v/>
      </c>
      <c r="AF7" s="61"/>
      <c r="AG7" s="61" t="s">
        <v>226</v>
      </c>
      <c r="AH7" s="61"/>
      <c r="AI7" s="61"/>
      <c r="AJ7" s="61"/>
    </row>
    <row r="8" spans="2:36">
      <c r="B8" s="220" t="s">
        <v>227</v>
      </c>
      <c r="C8" s="220"/>
      <c r="D8" s="63"/>
      <c r="E8" s="242"/>
      <c r="F8" s="243"/>
      <c r="G8" s="244"/>
      <c r="H8" s="63"/>
      <c r="I8" s="70" t="s">
        <v>228</v>
      </c>
      <c r="J8" s="60"/>
      <c r="K8" s="60"/>
      <c r="L8" s="60"/>
      <c r="M8" s="60"/>
      <c r="O8" s="61" t="s">
        <v>55</v>
      </c>
      <c r="S8" s="61">
        <f>COUNTA($I$32:$I$533)</f>
        <v>0</v>
      </c>
      <c r="T8" s="61">
        <f t="array" ref="T8">SUM(IF($E$32:$E$533=T$1,IF($F$32:$F$533=$Z8,IF($H$32:$H$533=$Q$1,1,IF($H$32:$H$533=$Q$5,1,0)))))</f>
        <v>0</v>
      </c>
      <c r="U8" s="61">
        <f t="array" ref="U8">SUM(IF($E$32:$E$533=U$1,IF($F$32:$F$533=$Z8,IF($H$32:$H$533=$Q$1,1,IF($H$32:$H$533=$Q$5,1,0)))))</f>
        <v>0</v>
      </c>
      <c r="V8" s="61">
        <f t="array" ref="V8">SUM(IF($E$32:$E$533=V$1,IF($F$32:$F$533=$Z8,IF($H$32:$H$533=$Q$1,1,IF($H$32:$H$533=$Q$5,1,0)))))</f>
        <v>0</v>
      </c>
      <c r="W8" s="61">
        <f t="array" ref="W8">SUM(IF($E$32:$E$533=W$1,IF($F$32:$F$533=$Z8,IF($H$32:$H$533=$Q$1,1,IF($H$32:$H$533=$Q$5,1,0)))))</f>
        <v>0</v>
      </c>
      <c r="X8" s="61">
        <f t="array" ref="X8">SUM(IF($E$32:$E$533=X$1,IF($F$32:$F$533=$Z8,IF($H$32:$H$533=$Q$1,1,IF($H$32:$H$533=$Q$5,1,0)))))</f>
        <v>0</v>
      </c>
      <c r="Z8" s="61" t="s">
        <v>12</v>
      </c>
      <c r="AA8" s="61"/>
      <c r="AB8" s="61"/>
      <c r="AC8" s="61" t="str">
        <f>IF('Inspection Details'!J37="","",'Inspection Details'!J37)</f>
        <v/>
      </c>
      <c r="AD8" s="61" t="str">
        <f t="array" ref="AD8">IF(AC8="","",SUM(IF(LEFT($B$32:$B$1033,2)=AC8,1,0)))</f>
        <v/>
      </c>
      <c r="AE8" s="61" t="str">
        <f t="array" ref="AE8">IF(AC8="","",SUM(IF(LEFT($B$32:$B$1032,2)=AC8,IF($H$32:$H$1032="ACC",1,0)+IF($H$32:$H$1032="REW",1,0))))</f>
        <v/>
      </c>
      <c r="AF8" s="61"/>
      <c r="AG8" s="61" t="s">
        <v>229</v>
      </c>
      <c r="AH8" s="61"/>
      <c r="AI8" s="61"/>
      <c r="AJ8" s="61"/>
    </row>
    <row r="9" spans="2:36" ht="14.25" customHeight="1">
      <c r="B9" s="220" t="s">
        <v>230</v>
      </c>
      <c r="C9" s="220"/>
      <c r="D9" s="63"/>
      <c r="E9" s="238"/>
      <c r="F9" s="239"/>
      <c r="G9" s="240"/>
      <c r="H9" s="63"/>
      <c r="I9" s="63"/>
      <c r="J9" s="60"/>
      <c r="K9" s="60"/>
      <c r="L9" s="60"/>
      <c r="M9" s="60"/>
      <c r="O9" s="61" t="s">
        <v>59</v>
      </c>
      <c r="S9" s="61">
        <f>COUNTA(E8:E10)</f>
        <v>0</v>
      </c>
      <c r="T9" s="61">
        <f t="array" ref="T9">SUM(IF($E$32:$E$533=T$1,IF($F$32:$F$533=$Z9,IF($H$32:$H$533=$Q$1,1,IF($H$32:$H$533=$Q$5,1,0)))))</f>
        <v>0</v>
      </c>
      <c r="U9" s="61">
        <f t="array" ref="U9">SUM(IF($E$32:$E$533=U$1,IF($F$32:$F$533=$Z9,IF($H$32:$H$533=$Q$1,1,IF($H$32:$H$533=$Q$5,1,0)))))</f>
        <v>0</v>
      </c>
      <c r="V9" s="61">
        <f t="array" ref="V9">SUM(IF($E$32:$E$533=V$1,IF($F$32:$F$533=$Z9,IF($H$32:$H$533=$Q$1,1,IF($H$32:$H$533=$Q$5,1,0)))))</f>
        <v>0</v>
      </c>
      <c r="W9" s="61">
        <f t="array" ref="W9">SUM(IF($E$32:$E$533=W$1,IF($F$32:$F$533=$Z9,IF($H$32:$H$533=$Q$1,1,IF($H$32:$H$533=$Q$5,1,0)))))</f>
        <v>0</v>
      </c>
      <c r="X9" s="61">
        <f t="array" ref="X9">SUM(IF($E$32:$E$533=X$1,IF($F$32:$F$533=$Z9,IF($H$32:$H$533=$Q$1,1,IF($H$32:$H$533=$Q$5,1,0)))))</f>
        <v>0</v>
      </c>
      <c r="Z9" s="61" t="s">
        <v>51</v>
      </c>
      <c r="AA9" s="61"/>
      <c r="AB9" s="61"/>
      <c r="AC9" s="61" t="str">
        <f>IF('Inspection Details'!J38="","",'Inspection Details'!J38)</f>
        <v/>
      </c>
      <c r="AD9" s="61" t="str">
        <f t="array" ref="AD9">IF(AC9="","",SUM(IF(LEFT($B$32:$B$1033,2)=AC9,1,0)))</f>
        <v/>
      </c>
      <c r="AE9" s="61" t="str">
        <f t="array" ref="AE9">IF(AC9="","",SUM(IF(LEFT($B$32:$B$1032,2)=AC9,IF($H$32:$H$1032="ACC",1,0)+IF($H$32:$H$1032="REW",1,0))))</f>
        <v/>
      </c>
      <c r="AF9" s="61"/>
      <c r="AG9" s="61" t="s">
        <v>179</v>
      </c>
      <c r="AH9" s="61"/>
      <c r="AI9" s="61"/>
      <c r="AJ9" s="61"/>
    </row>
    <row r="10" spans="2:36" ht="15.75" customHeight="1">
      <c r="B10" s="220" t="s">
        <v>231</v>
      </c>
      <c r="C10" s="220"/>
      <c r="D10" s="63"/>
      <c r="E10" s="238"/>
      <c r="F10" s="239"/>
      <c r="G10" s="240"/>
      <c r="H10" s="63"/>
      <c r="I10" s="70" t="s">
        <v>232</v>
      </c>
      <c r="J10" s="60"/>
      <c r="K10" s="60"/>
      <c r="L10" s="60"/>
      <c r="M10" s="60"/>
      <c r="O10" s="61" t="s">
        <v>69</v>
      </c>
      <c r="S10" s="61">
        <f>COUNTA(E13:E15)</f>
        <v>0</v>
      </c>
      <c r="T10" s="61">
        <f t="array" ref="T10">SUM(IF($E$32:$E$533=T$1,IF($F$32:$F$533=$Z10,IF($H$32:$H$533=$Q$1,1,IF($H$32:$H$533=$Q$5,1,0)))))</f>
        <v>0</v>
      </c>
      <c r="U10" s="61">
        <f t="array" ref="U10">SUM(IF($E$32:$E$533=U$1,IF($F$32:$F$533=$Z10,IF($H$32:$H$533=$Q$1,1,IF($H$32:$H$533=$Q$5,1,0)))))</f>
        <v>0</v>
      </c>
      <c r="V10" s="61">
        <f t="array" ref="V10">SUM(IF($E$32:$E$533=V$1,IF($F$32:$F$533=$Z10,IF($H$32:$H$533=$Q$1,1,IF($H$32:$H$533=$Q$5,1,0)))))</f>
        <v>0</v>
      </c>
      <c r="W10" s="61">
        <f t="array" ref="W10">SUM(IF($E$32:$E$533=W$1,IF($F$32:$F$533=$Z10,IF($H$32:$H$533=$Q$1,1,IF($H$32:$H$533=$Q$5,1,0)))))</f>
        <v>0</v>
      </c>
      <c r="X10" s="61">
        <f t="array" ref="X10">SUM(IF($E$32:$E$533=X$1,IF($F$32:$F$533=$Z10,IF($H$32:$H$533=$Q$1,1,IF($H$32:$H$533=$Q$5,1,0)))))</f>
        <v>0</v>
      </c>
      <c r="Z10" s="61" t="s">
        <v>55</v>
      </c>
      <c r="AA10" s="61"/>
      <c r="AB10" s="61"/>
      <c r="AC10" s="61" t="str">
        <f>IF('Inspection Details'!J39="","",'Inspection Details'!J39)</f>
        <v/>
      </c>
      <c r="AD10" s="61" t="str">
        <f t="array" ref="AD10">IF(AC10="","",SUM(IF(LEFT($B$32:$B$1033,2)=AC10,1,0)))</f>
        <v/>
      </c>
      <c r="AE10" s="61" t="str">
        <f t="array" ref="AE10">IF(AC10="","",SUM(IF(LEFT($B$32:$B$1032,2)=AC10,IF($H$32:$H$1032="ACC",1,0)+IF($H$32:$H$1032="REW",1,0))))</f>
        <v/>
      </c>
      <c r="AF10" s="61"/>
      <c r="AG10" s="61" t="s">
        <v>233</v>
      </c>
      <c r="AH10" s="61"/>
      <c r="AI10" s="61"/>
      <c r="AJ10" s="61"/>
    </row>
    <row r="11" spans="2:36" ht="11.25" customHeight="1">
      <c r="B11" s="63"/>
      <c r="C11" s="63"/>
      <c r="D11" s="63"/>
      <c r="E11" s="63"/>
      <c r="F11" s="63"/>
      <c r="G11" s="63"/>
      <c r="H11" s="63"/>
      <c r="I11" s="63"/>
      <c r="J11" s="60"/>
      <c r="K11" s="60"/>
      <c r="L11" s="60"/>
      <c r="M11" s="60"/>
      <c r="O11" s="61" t="s">
        <v>75</v>
      </c>
      <c r="T11" s="61">
        <f t="array" ref="T11">SUM(IF($E$32:$E$533=T$1,IF($F$32:$F$533=$Z11,IF($H$32:$H$533=$Q$1,1,IF($H$32:$H$533=$Q$5,1,0)))))</f>
        <v>0</v>
      </c>
      <c r="U11" s="61">
        <f t="array" ref="U11">SUM(IF($E$32:$E$533=U$1,IF($F$32:$F$533=$Z11,IF($H$32:$H$533=$Q$1,1,IF($H$32:$H$533=$Q$5,1,0)))))</f>
        <v>0</v>
      </c>
      <c r="V11" s="61">
        <f t="array" ref="V11">SUM(IF($E$32:$E$533=V$1,IF($F$32:$F$533=$Z11,IF($H$32:$H$533=$Q$1,1,IF($H$32:$H$533=$Q$5,1,0)))))</f>
        <v>0</v>
      </c>
      <c r="W11" s="61">
        <f t="array" ref="W11">SUM(IF($E$32:$E$533=W$1,IF($F$32:$F$533=$Z11,IF($H$32:$H$533=$Q$1,1,IF($H$32:$H$533=$Q$5,1,0)))))</f>
        <v>0</v>
      </c>
      <c r="X11" s="61">
        <f t="array" ref="X11">SUM(IF($E$32:$E$533=X$1,IF($F$32:$F$533=$Z11,IF($H$32:$H$533=$Q$1,1,IF($H$32:$H$533=$Q$5,1,0)))))</f>
        <v>0</v>
      </c>
      <c r="Z11" s="61" t="s">
        <v>59</v>
      </c>
      <c r="AA11" s="61"/>
      <c r="AB11" s="61"/>
      <c r="AC11" s="61" t="str">
        <f>IF('Inspection Details'!J40="","",'Inspection Details'!J40)</f>
        <v/>
      </c>
      <c r="AD11" s="61" t="str">
        <f t="array" ref="AD11">IF(AC11="","",SUM(IF(LEFT($B$32:$B$1033,2)=AC11,1,0)))</f>
        <v/>
      </c>
      <c r="AE11" s="61" t="str">
        <f t="array" ref="AE11">IF(AC11="","",SUM(IF(LEFT($B$32:$B$1032,2)=AC11,IF($H$32:$H$1032="ACC",1,0)+IF($H$32:$H$1032="REW",1,0))))</f>
        <v/>
      </c>
      <c r="AF11" s="61"/>
      <c r="AG11" s="61" t="s">
        <v>181</v>
      </c>
      <c r="AH11" s="61"/>
      <c r="AI11" s="61"/>
      <c r="AJ11" s="61"/>
    </row>
    <row r="12" spans="2:36" ht="17.25" customHeight="1">
      <c r="B12" s="241" t="s">
        <v>217</v>
      </c>
      <c r="C12" s="241"/>
      <c r="D12" s="241"/>
      <c r="E12" s="241"/>
      <c r="F12" s="241"/>
      <c r="G12" s="241"/>
      <c r="H12" s="63"/>
      <c r="I12" s="63"/>
      <c r="J12" s="60"/>
      <c r="K12" s="60"/>
      <c r="L12" s="60"/>
      <c r="M12" s="60"/>
      <c r="O12" s="61" t="s">
        <v>2</v>
      </c>
      <c r="T12" s="61">
        <f t="array" ref="T12">SUM(IF($E$32:$E$533=T$1,IF($F$32:$F$533=$Z12,IF($H$32:$H$533=$Q$1,1,IF($H$32:$H$533=$Q$5,1,0)))))</f>
        <v>0</v>
      </c>
      <c r="U12" s="61">
        <f t="array" ref="U12">SUM(IF($E$32:$E$533=U$1,IF($F$32:$F$533=$Z12,IF($H$32:$H$533=$Q$1,1,IF($H$32:$H$533=$Q$5,1,0)))))</f>
        <v>0</v>
      </c>
      <c r="V12" s="61">
        <f t="array" ref="V12">SUM(IF($E$32:$E$533=V$1,IF($F$32:$F$533=$Z12,IF($H$32:$H$533=$Q$1,1,IF($H$32:$H$533=$Q$5,1,0)))))</f>
        <v>0</v>
      </c>
      <c r="W12" s="61">
        <f t="array" ref="W12">SUM(IF($E$32:$E$533=W$1,IF($F$32:$F$533=$Z12,IF($H$32:$H$533=$Q$1,1,IF($H$32:$H$533=$Q$5,1,0)))))</f>
        <v>0</v>
      </c>
      <c r="X12" s="61">
        <f t="array" ref="X12">SUM(IF($E$32:$E$533=X$1,IF($F$32:$F$533=$Z12,IF($H$32:$H$533=$Q$1,1,IF($H$32:$H$533=$Q$5,1,0)))))</f>
        <v>0</v>
      </c>
      <c r="Z12" s="61" t="s">
        <v>69</v>
      </c>
      <c r="AA12" s="61"/>
      <c r="AB12" s="61"/>
      <c r="AC12" s="61" t="str">
        <f>IF('Inspection Details'!J41="","",'Inspection Details'!J41)</f>
        <v/>
      </c>
      <c r="AD12" s="61" t="str">
        <f t="array" ref="AD12">IF(AC12="","",SUM(IF(LEFT($B$32:$B$1033,2)=AC12,1,0)))</f>
        <v/>
      </c>
      <c r="AE12" s="61" t="str">
        <f t="array" ref="AE12">IF(AC12="","",SUM(IF(LEFT($B$32:$B$1032,2)=AC12,IF($H$32:$H$1032="ACC",1,0)+IF($H$32:$H$1032="REW",1,0))))</f>
        <v/>
      </c>
      <c r="AF12" s="61"/>
      <c r="AG12" s="61"/>
      <c r="AH12" s="61"/>
      <c r="AI12" s="61"/>
      <c r="AJ12" s="61"/>
    </row>
    <row r="13" spans="2:36" ht="14.25" customHeight="1">
      <c r="B13" s="220" t="s">
        <v>227</v>
      </c>
      <c r="C13" s="220"/>
      <c r="D13" s="63"/>
      <c r="E13" s="242"/>
      <c r="F13" s="243"/>
      <c r="G13" s="244"/>
      <c r="H13" s="63"/>
      <c r="I13" s="63"/>
      <c r="J13" s="60"/>
      <c r="K13" s="60"/>
      <c r="L13" s="60"/>
      <c r="M13" s="60"/>
      <c r="T13" s="61">
        <f t="array" ref="T13">SUM(IF($E$32:$E$533=T$1,IF($F$32:$F$533=$Z13,IF($H$32:$H$533=$Q$1,1,IF($H$32:$H$533=$Q$5,1,0)))))</f>
        <v>0</v>
      </c>
      <c r="U13" s="61">
        <f t="array" ref="U13">SUM(IF($E$32:$E$533=U$1,IF($F$32:$F$533=$Z13,IF($H$32:$H$533=$Q$1,1,IF($H$32:$H$533=$Q$5,1,0)))))</f>
        <v>0</v>
      </c>
      <c r="V13" s="61">
        <f t="array" ref="V13">SUM(IF($E$32:$E$533=V$1,IF($F$32:$F$533=$Z13,IF($H$32:$H$533=$Q$1,1,IF($H$32:$H$533=$Q$5,1,0)))))</f>
        <v>0</v>
      </c>
      <c r="W13" s="61">
        <f t="array" ref="W13">SUM(IF($E$32:$E$533=W$1,IF($F$32:$F$533=$Z13,IF($H$32:$H$533=$Q$1,1,IF($H$32:$H$533=$Q$5,1,0)))))</f>
        <v>0</v>
      </c>
      <c r="X13" s="61">
        <f t="array" ref="X13">SUM(IF($E$32:$E$533=X$1,IF($F$32:$F$533=$Z13,IF($H$32:$H$533=$Q$1,1,IF($H$32:$H$533=$Q$5,1,0)))))</f>
        <v>0</v>
      </c>
      <c r="Z13" s="61" t="s">
        <v>75</v>
      </c>
      <c r="AA13" s="61"/>
      <c r="AB13" s="61"/>
      <c r="AC13" s="61" t="str">
        <f>IF('Inspection Details'!J42="","",'Inspection Details'!J42)</f>
        <v/>
      </c>
      <c r="AD13" s="61" t="str">
        <f t="array" ref="AD13">IF(AC13="","",SUM(IF(LEFT($B$32:$B$1033,2)=AC13,1,0)))</f>
        <v/>
      </c>
      <c r="AE13" s="61" t="str">
        <f t="array" ref="AE13">IF(AC13="","",SUM(IF(LEFT($B$32:$B$1032,2)=AC13,IF($H$32:$H$1032="ACC",1,0)+IF($H$32:$H$1032="REW",1,0))))</f>
        <v/>
      </c>
      <c r="AF13" s="61"/>
      <c r="AG13" s="61"/>
      <c r="AH13" s="61"/>
      <c r="AI13" s="61"/>
      <c r="AJ13" s="61"/>
    </row>
    <row r="14" spans="2:36" ht="15" customHeight="1">
      <c r="B14" s="220" t="s">
        <v>234</v>
      </c>
      <c r="C14" s="220"/>
      <c r="D14" s="63"/>
      <c r="E14" s="238"/>
      <c r="F14" s="239"/>
      <c r="G14" s="240"/>
      <c r="H14" s="63"/>
      <c r="I14" s="63"/>
      <c r="J14" s="60"/>
      <c r="K14" s="60"/>
      <c r="L14" s="60"/>
      <c r="M14" s="60"/>
      <c r="T14" s="61">
        <f t="array" ref="T14">SUM(IF($E$32:$E$533=T$1,IF($F$32:$F$533=$Z14,IF($H$32:$H$533=$Q$1,1,IF($H$32:$H$533=$Q$5,1,0)))))</f>
        <v>0</v>
      </c>
      <c r="U14" s="61">
        <f t="array" ref="U14">SUM(IF($E$32:$E$533=U$1,IF($F$32:$F$533=$Z14,IF($H$32:$H$533=$Q$1,1,IF($H$32:$H$533=$Q$5,1,0)))))</f>
        <v>0</v>
      </c>
      <c r="V14" s="61">
        <f t="array" ref="V14">SUM(IF($E$32:$E$533=V$1,IF($F$32:$F$533=$Z14,IF($H$32:$H$533=$Q$1,1,IF($H$32:$H$533=$Q$5,1,0)))))</f>
        <v>0</v>
      </c>
      <c r="W14" s="61">
        <f t="array" ref="W14">SUM(IF($E$32:$E$533=W$1,IF($F$32:$F$533=$Z14,IF($H$32:$H$533=$Q$1,1,IF($H$32:$H$533=$Q$5,1,0)))))</f>
        <v>0</v>
      </c>
      <c r="X14" s="61">
        <f t="array" ref="X14">SUM(IF($E$32:$E$533=X$1,IF($F$32:$F$533=$Z14,IF($H$32:$H$533=$Q$1,1,IF($H$32:$H$533=$Q$5,1,0)))))</f>
        <v>0</v>
      </c>
      <c r="Z14" s="61" t="s">
        <v>64</v>
      </c>
      <c r="AA14" s="61"/>
      <c r="AB14" s="61"/>
      <c r="AC14" s="61" t="str">
        <f>IF('Inspection Details'!J43="","",'Inspection Details'!J43)</f>
        <v/>
      </c>
      <c r="AD14" s="61" t="str">
        <f t="array" ref="AD14">IF(AC14="","",SUM(IF(LEFT($B$32:$B$1033,2)=AC14,1,0)))</f>
        <v/>
      </c>
      <c r="AE14" s="61" t="str">
        <f t="array" ref="AE14">IF(AC14="","",SUM(IF(LEFT($B$32:$B$1032,2)=AC14,IF($H$32:$H$1032="ACC",1,0)+IF($H$32:$H$1032="REW",1,0))))</f>
        <v/>
      </c>
      <c r="AF14" s="61"/>
      <c r="AG14" s="61"/>
      <c r="AH14" s="61"/>
      <c r="AI14" s="61"/>
      <c r="AJ14" s="61"/>
    </row>
    <row r="15" spans="2:36" ht="15" customHeight="1">
      <c r="B15" s="220" t="s">
        <v>231</v>
      </c>
      <c r="C15" s="220"/>
      <c r="D15" s="63"/>
      <c r="E15" s="231"/>
      <c r="F15" s="232"/>
      <c r="G15" s="233"/>
      <c r="H15" s="63"/>
      <c r="I15" s="63"/>
      <c r="J15" s="60"/>
      <c r="K15" s="60"/>
      <c r="L15" s="60"/>
      <c r="M15" s="60"/>
      <c r="T15" s="61">
        <f t="array" ref="T15">SUM(IF($E$32:$E$533=T$1,IF($F$32:$F$533=$Z15,IF($H$32:$H$533=$Q$1,1,IF($H$32:$H$533=$Q$5,1,0)))))</f>
        <v>0</v>
      </c>
      <c r="U15" s="61">
        <f t="array" ref="U15">SUM(IF($E$32:$E$533=U$1,IF($F$32:$F$533=$Z15,IF($H$32:$H$533=$Q$1,1,IF($H$32:$H$533=$Q$5,1,0)))))</f>
        <v>0</v>
      </c>
      <c r="V15" s="61">
        <f t="array" ref="V15">SUM(IF($E$32:$E$533=V$1,IF($F$32:$F$533=$Z15,IF($H$32:$H$533=$Q$1,1,IF($H$32:$H$533=$Q$5,1,0)))))</f>
        <v>0</v>
      </c>
      <c r="W15" s="61">
        <f t="array" ref="W15">SUM(IF($E$32:$E$533=W$1,IF($F$32:$F$533=$Z15,IF($H$32:$H$533=$Q$1,1,IF($H$32:$H$533=$Q$5,1,0)))))</f>
        <v>0</v>
      </c>
      <c r="X15" s="61">
        <f t="array" ref="X15">SUM(IF($E$32:$E$533=X$1,IF($F$32:$F$533=$Z15,IF($H$32:$H$533=$Q$1,1,IF($H$32:$H$533=$Q$5,1,0)))))</f>
        <v>0</v>
      </c>
      <c r="Z15" s="61" t="s">
        <v>2</v>
      </c>
      <c r="AA15" s="61"/>
      <c r="AB15" s="61"/>
      <c r="AC15" s="61" t="str">
        <f>IF('Inspection Details'!J44="","",'Inspection Details'!J44)</f>
        <v/>
      </c>
      <c r="AD15" s="61" t="str">
        <f t="array" ref="AD15">IF(AC15="","",SUM(IF(LEFT($B$32:$B$1033,2)=AC15,1,0)))</f>
        <v/>
      </c>
      <c r="AE15" s="61" t="str">
        <f t="array" ref="AE15">IF(AC15="","",SUM(IF(LEFT($B$32:$B$1032,2)=AC15,IF($H$32:$H$1032="ACC",1,0)+IF($H$32:$H$1032="REW",1,0))))</f>
        <v/>
      </c>
      <c r="AF15" s="61"/>
      <c r="AG15" s="61"/>
      <c r="AH15" s="61"/>
      <c r="AI15" s="61"/>
      <c r="AJ15" s="61"/>
    </row>
    <row r="16" spans="2:36" ht="15" customHeight="1">
      <c r="B16" s="63"/>
      <c r="C16" s="63"/>
      <c r="D16" s="63"/>
      <c r="E16" s="63"/>
      <c r="F16" s="63"/>
      <c r="G16" s="63"/>
      <c r="H16" s="63"/>
      <c r="I16" s="63"/>
      <c r="J16" s="60"/>
      <c r="K16" s="60"/>
      <c r="L16" s="60"/>
      <c r="M16" s="60"/>
      <c r="T16" s="61">
        <f>SUM(T3:X15)</f>
        <v>0</v>
      </c>
      <c r="Z16" s="61"/>
      <c r="AA16" s="61"/>
      <c r="AB16" s="61"/>
      <c r="AC16" s="61" t="str">
        <f>IF('Inspection Details'!J45="","",'Inspection Details'!J45)</f>
        <v/>
      </c>
      <c r="AD16" s="61" t="str">
        <f t="array" ref="AD16">IF(AC16="","",SUM(IF(LEFT($B$32:$B$1033,2)=AC16,1,0)))</f>
        <v/>
      </c>
      <c r="AE16" s="61" t="str">
        <f t="array" ref="AE16">IF(AC16="","",SUM(IF(LEFT($B$32:$B$1032,2)=AC16,IF($H$32:$H$1032="ACC",1,0)+IF($H$32:$H$1032="REW",1,0))))</f>
        <v/>
      </c>
      <c r="AF16" s="61"/>
      <c r="AG16" s="61"/>
      <c r="AH16" s="61"/>
      <c r="AI16" s="61"/>
      <c r="AJ16" s="61"/>
    </row>
    <row r="17" spans="2:36" ht="26.25" customHeight="1">
      <c r="B17" s="234" t="s">
        <v>235</v>
      </c>
      <c r="C17" s="235"/>
      <c r="D17" s="63"/>
      <c r="E17" s="236" t="s">
        <v>236</v>
      </c>
      <c r="F17" s="237"/>
      <c r="G17" s="63"/>
      <c r="H17" s="64"/>
      <c r="I17" s="63"/>
      <c r="J17" s="60"/>
      <c r="K17" s="60"/>
      <c r="L17" s="60"/>
      <c r="M17" s="60"/>
      <c r="Z17" s="61"/>
      <c r="AA17" s="61"/>
      <c r="AB17" s="61"/>
      <c r="AC17" s="61" t="str">
        <f>IF('Inspection Details'!J46="","",'Inspection Details'!J46)</f>
        <v/>
      </c>
      <c r="AD17" s="61" t="str">
        <f t="array" ref="AD17">IF(AC17="","",SUM(IF(LEFT($B$32:$B$1033,2)=AC17,1,0)))</f>
        <v/>
      </c>
      <c r="AE17" s="61" t="str">
        <f t="array" ref="AE17">IF(AC17="","",SUM(IF(LEFT($B$32:$B$1032,2)=AC17,IF($H$32:$H$1032="ACC",1,0)+IF($H$32:$H$1032="REW",1,0))))</f>
        <v/>
      </c>
      <c r="AF17" s="61"/>
      <c r="AG17" s="61"/>
      <c r="AH17" s="61"/>
      <c r="AI17" s="61"/>
      <c r="AJ17" s="61"/>
    </row>
    <row r="18" spans="2:36" ht="12.75" hidden="1" customHeight="1">
      <c r="B18" s="63"/>
      <c r="C18" s="63"/>
      <c r="D18" s="63"/>
      <c r="E18" s="63"/>
      <c r="F18" s="63"/>
      <c r="G18" s="63"/>
      <c r="H18" s="63"/>
      <c r="I18" s="63"/>
      <c r="J18" s="60"/>
      <c r="K18" s="60"/>
      <c r="L18" s="60"/>
      <c r="M18" s="60"/>
      <c r="Z18" s="61"/>
      <c r="AA18" s="61"/>
      <c r="AB18" s="61"/>
      <c r="AC18" s="61" t="str">
        <f>IF('Inspection Details'!J47="","",'Inspection Details'!J47)</f>
        <v/>
      </c>
      <c r="AD18" s="61" t="str">
        <f t="array" ref="AD18">IF(AC18="","",SUM(IF(LEFT($B$32:$B$1033,2)=AC18,1,0)))</f>
        <v/>
      </c>
      <c r="AE18" s="61" t="str">
        <f t="array" ref="AE18">IF(AC18="","",SUM(IF(LEFT($B$32:$B$1032,2)=AC18,IF($H$32:$H$1032="ACC",1,0)+IF($H$32:$H$1032="REW",1,0))))</f>
        <v/>
      </c>
      <c r="AF18" s="61"/>
      <c r="AG18" s="61"/>
      <c r="AH18" s="61"/>
      <c r="AI18" s="61"/>
      <c r="AJ18" s="61"/>
    </row>
    <row r="19" spans="2:36" ht="16.5" customHeight="1">
      <c r="B19" s="227" t="s">
        <v>237</v>
      </c>
      <c r="C19" s="227"/>
      <c r="D19" s="63"/>
      <c r="E19" s="227" t="s">
        <v>237</v>
      </c>
      <c r="F19" s="227"/>
      <c r="G19" s="63"/>
      <c r="H19" s="63"/>
      <c r="I19" s="63"/>
      <c r="J19" s="60"/>
      <c r="K19" s="60"/>
      <c r="L19" s="60"/>
      <c r="M19" s="60"/>
      <c r="Z19" s="61"/>
      <c r="AA19" s="61"/>
      <c r="AB19" s="61"/>
      <c r="AC19" s="61" t="str">
        <f>IF('Inspection Details'!J48="","",'Inspection Details'!J48)</f>
        <v/>
      </c>
      <c r="AD19" s="61" t="str">
        <f t="array" ref="AD19">IF(AC19="","",SUM(IF(LEFT($B$32:$B$1033,2)=AC19,1,0)))</f>
        <v/>
      </c>
      <c r="AE19" s="61" t="str">
        <f t="array" ref="AE19">IF(AC19="","",SUM(IF(LEFT($B$32:$B$1032,2)=AC19,IF($H$32:$H$1032="ACC",1,0)+IF($H$32:$H$1032="REW",1,0))))</f>
        <v/>
      </c>
      <c r="AF19" s="61"/>
      <c r="AG19" s="61"/>
      <c r="AH19" s="61"/>
      <c r="AI19" s="61"/>
      <c r="AJ19" s="61"/>
    </row>
    <row r="20" spans="2:36" ht="22.5" customHeight="1">
      <c r="B20" s="226" t="s">
        <v>238</v>
      </c>
      <c r="C20" s="226"/>
      <c r="D20" s="63"/>
      <c r="E20" s="227" t="s">
        <v>239</v>
      </c>
      <c r="F20" s="227"/>
      <c r="G20" s="65"/>
      <c r="H20" s="66"/>
      <c r="I20" s="60"/>
      <c r="J20" s="60"/>
      <c r="K20" s="60"/>
      <c r="L20" s="60"/>
      <c r="M20" s="60"/>
      <c r="O20" s="61" t="str">
        <f>IF(H20="","",H20/60)</f>
        <v/>
      </c>
      <c r="Z20" s="61"/>
      <c r="AA20" s="61"/>
      <c r="AB20" s="61"/>
      <c r="AC20" s="61" t="str">
        <f>IF('Inspection Details'!J49="","",'Inspection Details'!J49)</f>
        <v/>
      </c>
      <c r="AD20" s="61" t="str">
        <f t="array" ref="AD20">IF(AC20="","",SUM(IF(LEFT($B$32:$B$1033,2)=AC20,1,0)))</f>
        <v/>
      </c>
      <c r="AE20" s="61" t="str">
        <f t="array" ref="AE20">IF(AC20="","",SUM(IF(LEFT($B$32:$B$1032,2)=AC20,IF($H$32:$H$1032="ACC",1,0)+IF($H$32:$H$1032="REW",1,0))))</f>
        <v/>
      </c>
      <c r="AF20" s="61"/>
      <c r="AG20" s="61"/>
      <c r="AH20" s="61"/>
      <c r="AI20" s="61"/>
      <c r="AJ20" s="61"/>
    </row>
    <row r="21" spans="2:36" ht="15" customHeight="1">
      <c r="B21" s="226" t="s">
        <v>240</v>
      </c>
      <c r="C21" s="226"/>
      <c r="D21" s="63"/>
      <c r="E21" s="227" t="s">
        <v>240</v>
      </c>
      <c r="F21" s="227"/>
      <c r="G21" s="65"/>
      <c r="H21" s="63"/>
      <c r="I21" s="63"/>
      <c r="J21" s="60"/>
      <c r="K21" s="60"/>
      <c r="L21" s="60"/>
      <c r="M21" s="60"/>
      <c r="Z21" s="73"/>
      <c r="AA21" s="73"/>
      <c r="AB21" s="73"/>
      <c r="AC21" s="61" t="str">
        <f>IF('Inspection Details'!J50="","",'Inspection Details'!J50)</f>
        <v/>
      </c>
      <c r="AD21" s="61" t="str">
        <f t="array" ref="AD21">IF(AC21="","",SUM(IF(LEFT($B$32:$B$1033,2)=AC21,1,0)))</f>
        <v/>
      </c>
      <c r="AE21" s="61" t="str">
        <f t="array" ref="AE21">IF(AC21="","",SUM(IF(LEFT($B$32:$B$1032,2)=AC21,IF($H$32:$H$1032="ACC",1,0)+IF($H$32:$H$1032="REW",1,0))))</f>
        <v/>
      </c>
      <c r="AF21" s="61"/>
      <c r="AG21" s="73"/>
      <c r="AH21" s="73"/>
      <c r="AI21" s="73"/>
      <c r="AJ21" s="73"/>
    </row>
    <row r="22" spans="2:36" ht="18.75" customHeight="1">
      <c r="B22" s="226" t="s">
        <v>241</v>
      </c>
      <c r="C22" s="226"/>
      <c r="D22" s="63"/>
      <c r="E22" s="227" t="s">
        <v>241</v>
      </c>
      <c r="F22" s="227"/>
      <c r="G22" s="65"/>
      <c r="H22" s="66"/>
      <c r="I22" s="63"/>
      <c r="J22" s="60"/>
      <c r="K22" s="60"/>
      <c r="L22" s="60"/>
      <c r="M22" s="60"/>
      <c r="O22" s="61" t="str">
        <f>IF(H22="","",H22/60)</f>
        <v/>
      </c>
      <c r="Z22" s="73"/>
      <c r="AA22" s="73"/>
      <c r="AB22" s="73"/>
      <c r="AC22" s="61" t="str">
        <f>IF('Inspection Details'!J51="","",'Inspection Details'!J51)</f>
        <v/>
      </c>
      <c r="AD22" s="61" t="str">
        <f t="array" ref="AD22">IF(AC22="","",SUM(IF(LEFT($B$32:$B$1033,2)=AC22,1,0)))</f>
        <v/>
      </c>
      <c r="AE22" s="61" t="str">
        <f t="array" ref="AE22">IF(AC22="","",SUM(IF(LEFT($B$32:$B$1032,2)=AC22,IF($H$32:$H$1032="ACC",1,0)+IF($H$32:$H$1032="REW",1,0))))</f>
        <v/>
      </c>
      <c r="AF22" s="61"/>
      <c r="AG22" s="73"/>
      <c r="AH22" s="73"/>
      <c r="AI22" s="73"/>
      <c r="AJ22" s="73"/>
    </row>
    <row r="23" spans="2:36" ht="12.75" customHeight="1">
      <c r="B23" s="228"/>
      <c r="C23" s="229"/>
      <c r="D23" s="60"/>
      <c r="E23" s="228"/>
      <c r="F23" s="228"/>
      <c r="G23" s="60"/>
      <c r="H23" s="60"/>
      <c r="J23" s="60"/>
      <c r="K23" s="60"/>
      <c r="L23" s="60"/>
      <c r="M23" s="60"/>
      <c r="Z23" s="73"/>
      <c r="AA23" s="73"/>
      <c r="AB23" s="73"/>
      <c r="AC23" s="61" t="str">
        <f>IF('Inspection Details'!J52="","",'Inspection Details'!J52)</f>
        <v/>
      </c>
      <c r="AD23" s="61" t="str">
        <f t="array" ref="AD23">IF(AC23="","",SUM(IF(LEFT($B$32:$B$1033,2)=AC23,1,0)))</f>
        <v/>
      </c>
      <c r="AE23" s="61" t="str">
        <f t="array" ref="AE23">IF(AC23="","",SUM(IF(LEFT($B$32:$B$1032,2)=AC23,IF($H$32:$H$1032="ACC",1,0)+IF($H$32:$H$1032="REW",1,0))))</f>
        <v/>
      </c>
      <c r="AF23" s="61"/>
      <c r="AG23" s="73"/>
      <c r="AH23" s="73"/>
      <c r="AI23" s="73"/>
      <c r="AJ23" s="73"/>
    </row>
    <row r="24" spans="2:36">
      <c r="B24" s="60"/>
      <c r="C24" s="60"/>
      <c r="D24" s="60"/>
      <c r="E24" s="60"/>
      <c r="F24" s="60"/>
      <c r="G24" s="60"/>
      <c r="H24" s="60"/>
      <c r="I24" s="60"/>
      <c r="J24" s="60"/>
      <c r="K24" s="60"/>
      <c r="L24" s="60"/>
      <c r="M24" s="60"/>
      <c r="Z24" s="61"/>
      <c r="AA24" s="61"/>
      <c r="AB24" s="61"/>
      <c r="AC24" s="61" t="str">
        <f>IF('Inspection Details'!J53="","",'Inspection Details'!J53)</f>
        <v/>
      </c>
      <c r="AD24" s="61" t="str">
        <f t="array" ref="AD24">IF(AC24="","",SUM(IF(LEFT($B$32:$B$1033,2)=AC24,1,0)))</f>
        <v/>
      </c>
      <c r="AE24" s="61" t="str">
        <f t="array" ref="AE24">IF(AC24="","",SUM(IF(LEFT($B$32:$B$1032,2)=AC24,IF($H$32:$H$1032="ACC",1,0)+IF($H$32:$H$1032="REW",1,0))))</f>
        <v/>
      </c>
      <c r="AF24" s="61"/>
      <c r="AG24" s="61"/>
      <c r="AH24" s="61"/>
      <c r="AI24" s="61"/>
      <c r="AJ24" s="61"/>
    </row>
    <row r="25" spans="2:36" ht="15.75" hidden="1" customHeight="1">
      <c r="B25"/>
      <c r="C25"/>
      <c r="D25"/>
      <c r="E25"/>
      <c r="F25"/>
      <c r="G25"/>
      <c r="H25"/>
      <c r="I25"/>
      <c r="J25"/>
      <c r="K25"/>
      <c r="L25"/>
      <c r="M25"/>
      <c r="Z25" s="73"/>
      <c r="AA25" s="73"/>
      <c r="AB25" s="73"/>
      <c r="AC25" s="61" t="str">
        <f>IF('Inspection Details'!J54="","",'Inspection Details'!J54)</f>
        <v/>
      </c>
      <c r="AD25" s="61" t="str">
        <f t="array" ref="AD25">IF(AC25="","",SUM(IF(LEFT($B$32:$B$1033,2)=AC25,1,0)))</f>
        <v/>
      </c>
      <c r="AE25" s="61" t="str">
        <f t="array" ref="AE25">IF(AC25="","",SUM(IF(LEFT($B$32:$B$1032,2)=AC25,IF($H$32:$H$1032="ACC",1,0)+IF($H$32:$H$1032="REW",1,0))))</f>
        <v/>
      </c>
      <c r="AF25" s="61"/>
      <c r="AG25" s="73"/>
      <c r="AH25" s="73"/>
      <c r="AI25" s="73"/>
      <c r="AJ25" s="73"/>
    </row>
    <row r="26" spans="2:36" ht="48.75" hidden="1" customHeight="1">
      <c r="B26"/>
      <c r="C26"/>
      <c r="D26"/>
      <c r="E26"/>
      <c r="F26"/>
      <c r="G26"/>
      <c r="H26"/>
      <c r="I26"/>
      <c r="J26"/>
      <c r="K26"/>
      <c r="L26"/>
      <c r="M26"/>
      <c r="Z26" s="73"/>
      <c r="AA26" s="73"/>
      <c r="AB26" s="73"/>
      <c r="AC26" s="61" t="str">
        <f>IF('Inspection Details'!J55="","",'Inspection Details'!J55)</f>
        <v/>
      </c>
      <c r="AD26" s="61" t="str">
        <f t="array" ref="AD26">IF(AC26="","",SUM(IF(LEFT($B$32:$B$1033,2)=AC26,1,0)))</f>
        <v/>
      </c>
      <c r="AE26" s="61" t="str">
        <f t="array" ref="AE26">IF(AC26="","",SUM(IF(LEFT($B$32:$B$1032,2)=AC26,IF($H$32:$H$1032="ACC",1,0)+IF($H$32:$H$1032="REW",1,0))))</f>
        <v/>
      </c>
      <c r="AF26" s="61"/>
      <c r="AG26" s="73"/>
      <c r="AH26" s="73"/>
      <c r="AI26" s="73"/>
      <c r="AJ26" s="73"/>
    </row>
    <row r="27" spans="2:36" hidden="1">
      <c r="B27"/>
      <c r="C27"/>
      <c r="D27"/>
      <c r="E27"/>
      <c r="F27"/>
      <c r="G27"/>
      <c r="H27"/>
      <c r="I27"/>
      <c r="J27"/>
      <c r="K27"/>
      <c r="L27"/>
      <c r="M27"/>
      <c r="Z27" s="73"/>
      <c r="AA27" s="73"/>
      <c r="AB27" s="73"/>
      <c r="AC27" s="61" t="str">
        <f>IF('Inspection Details'!J56="","",'Inspection Details'!J56)</f>
        <v/>
      </c>
      <c r="AD27" s="61" t="str">
        <f t="array" ref="AD27">IF(AC27="","",SUM(IF(LEFT($B$32:$B$1033,2)=AC27,1,0)))</f>
        <v/>
      </c>
      <c r="AE27" s="61" t="str">
        <f t="array" ref="AE27">IF(AC27="","",SUM(IF(LEFT($B$32:$B$1032,2)=AC27,IF($H$32:$H$1032="ACC",1,0)+IF($H$32:$H$1032="REW",1,0))))</f>
        <v/>
      </c>
      <c r="AF27" s="61"/>
      <c r="AG27" s="73"/>
      <c r="AH27" s="73"/>
      <c r="AI27" s="73"/>
      <c r="AJ27" s="73"/>
    </row>
    <row r="28" spans="2:36" ht="26.1" hidden="1" customHeight="1">
      <c r="B28"/>
      <c r="C28"/>
      <c r="D28"/>
      <c r="E28"/>
      <c r="F28"/>
      <c r="G28"/>
      <c r="H28"/>
      <c r="I28"/>
      <c r="J28"/>
      <c r="K28"/>
      <c r="L28"/>
      <c r="M28"/>
      <c r="Z28" s="73"/>
      <c r="AA28" s="73"/>
      <c r="AB28" s="73"/>
      <c r="AC28" s="61" t="str">
        <f>IF('Inspection Details'!J57="","",'Inspection Details'!J57)</f>
        <v/>
      </c>
      <c r="AD28" s="61" t="str">
        <f t="array" ref="AD28">IF(AC28="","",SUM(IF(LEFT($B$32:$B$1033,2)=AC28,1,0)))</f>
        <v/>
      </c>
      <c r="AE28" s="61" t="str">
        <f t="array" ref="AE28">IF(AC28="","",SUM(IF(LEFT($B$32:$B$1032,2)=AC28,IF($H$32:$H$1032="ACC",1,0)+IF($H$32:$H$1032="REW",1,0))))</f>
        <v/>
      </c>
      <c r="AF28" s="61"/>
      <c r="AG28" s="73"/>
      <c r="AH28" s="73"/>
      <c r="AI28" s="73"/>
      <c r="AJ28" s="73"/>
    </row>
    <row r="29" spans="2:36" hidden="1">
      <c r="B29"/>
      <c r="C29"/>
      <c r="D29"/>
      <c r="E29"/>
      <c r="F29"/>
      <c r="G29"/>
      <c r="H29"/>
      <c r="I29"/>
      <c r="J29"/>
      <c r="K29"/>
      <c r="L29"/>
      <c r="M29"/>
      <c r="Z29" s="73"/>
      <c r="AA29" s="73"/>
      <c r="AB29" s="73"/>
      <c r="AC29" s="61" t="str">
        <f>IF('Inspection Details'!J58="","",'Inspection Details'!J58)</f>
        <v/>
      </c>
      <c r="AD29" s="61" t="str">
        <f t="array" ref="AD29">IF(AC29="","",SUM(IF(LEFT($B$32:$B$1033,2)=AC29,1,0)))</f>
        <v/>
      </c>
      <c r="AE29" s="61" t="str">
        <f t="array" ref="AE29">IF(AC29="","",SUM(IF(LEFT($B$32:$B$1032,2)=AC29,IF($H$32:$H$1032="ACC",1,0)+IF($H$32:$H$1032="REW",1,0))))</f>
        <v/>
      </c>
      <c r="AF29" s="61"/>
      <c r="AG29" s="73"/>
      <c r="AH29" s="73"/>
      <c r="AI29" s="73"/>
      <c r="AJ29" s="73"/>
    </row>
    <row r="30" spans="2:36" ht="23.25" customHeight="1">
      <c r="B30" s="201" t="s">
        <v>202</v>
      </c>
      <c r="C30" s="222" t="s">
        <v>242</v>
      </c>
      <c r="D30" s="223"/>
      <c r="E30" s="201" t="s">
        <v>204</v>
      </c>
      <c r="F30" s="201" t="s">
        <v>243</v>
      </c>
      <c r="G30" s="201" t="s">
        <v>244</v>
      </c>
      <c r="H30" s="201" t="s">
        <v>245</v>
      </c>
      <c r="I30" s="201" t="s">
        <v>207</v>
      </c>
      <c r="J30" s="201" t="s">
        <v>208</v>
      </c>
      <c r="K30" s="201" t="s">
        <v>209</v>
      </c>
      <c r="L30" s="201" t="s">
        <v>246</v>
      </c>
      <c r="M30" s="201" t="s">
        <v>247</v>
      </c>
      <c r="N30" s="201" t="s">
        <v>248</v>
      </c>
      <c r="O30" s="201" t="s">
        <v>249</v>
      </c>
      <c r="R30" s="61">
        <f>SUM(R32:R534)</f>
        <v>0</v>
      </c>
      <c r="U30" s="61">
        <f>SUM(U32:U580)</f>
        <v>0</v>
      </c>
      <c r="X30" s="61">
        <f>SUM(X32:X534)</f>
        <v>0</v>
      </c>
      <c r="Y30" s="61">
        <f>SUM(Y32:Y534)</f>
        <v>0</v>
      </c>
      <c r="Z30" s="73"/>
      <c r="AA30" s="73"/>
      <c r="AB30" s="73"/>
      <c r="AC30" s="61" t="str">
        <f>IF('Inspection Details'!J59="","",'Inspection Details'!J59)</f>
        <v/>
      </c>
      <c r="AD30" s="61" t="str">
        <f t="array" ref="AD30">IF(AC30="","",SUM(IF(LEFT($B$32:$B$1033,2)=AC30,1,0)))</f>
        <v/>
      </c>
      <c r="AE30" s="61" t="str">
        <f t="array" ref="AE30">IF(AC30="","",SUM(IF(LEFT($B$32:$B$1032,2)=AC30,IF($H$32:$H$1032="ACC",1,0)+IF($H$32:$H$1032="REW",1,0))))</f>
        <v/>
      </c>
      <c r="AF30" s="61"/>
      <c r="AG30" s="73"/>
      <c r="AH30" s="73"/>
      <c r="AI30" s="73"/>
      <c r="AJ30" s="73"/>
    </row>
    <row r="31" spans="2:36" ht="22.5" customHeight="1">
      <c r="B31" s="202"/>
      <c r="C31" s="194"/>
      <c r="D31" s="224"/>
      <c r="E31" s="202"/>
      <c r="F31" s="202"/>
      <c r="G31" s="202"/>
      <c r="H31" s="202"/>
      <c r="I31" s="202"/>
      <c r="J31" s="202"/>
      <c r="K31" s="202"/>
      <c r="L31" s="202"/>
      <c r="M31" s="202"/>
      <c r="N31" s="202"/>
      <c r="O31" s="202"/>
      <c r="Z31" s="73"/>
      <c r="AA31" s="73"/>
      <c r="AB31" s="73"/>
      <c r="AC31" s="61" t="str">
        <f>IF('Inspection Details'!J60="","",'Inspection Details'!J60)</f>
        <v/>
      </c>
      <c r="AD31" s="61"/>
      <c r="AE31" s="61"/>
      <c r="AF31" s="61"/>
      <c r="AG31" s="73"/>
      <c r="AH31" s="73"/>
      <c r="AI31" s="73"/>
      <c r="AJ31" s="73"/>
    </row>
    <row r="32" spans="2:36">
      <c r="B32" s="67"/>
      <c r="C32" s="230"/>
      <c r="D32" s="230"/>
      <c r="E32" s="68"/>
      <c r="F32" s="68"/>
      <c r="G32" s="69"/>
      <c r="H32" s="69"/>
      <c r="I32" s="68"/>
      <c r="J32" s="71"/>
      <c r="K32" s="68"/>
      <c r="L32" s="68"/>
      <c r="M32" s="68"/>
      <c r="N32" s="68"/>
      <c r="O32" s="68"/>
      <c r="P32" s="61">
        <f t="shared" ref="P32:P95" si="0">IF(H32="REJ",1,0)</f>
        <v>0</v>
      </c>
      <c r="Q32" s="61">
        <f t="shared" ref="Q32:Q95" si="1">IF(J32="",0,1)</f>
        <v>0</v>
      </c>
      <c r="R32" s="61">
        <f>IF(OR(H32="REJ"),IF(J32="",1,0),0)</f>
        <v>0</v>
      </c>
      <c r="S32" s="61">
        <f>IF(E32="CR",1,0)</f>
        <v>0</v>
      </c>
      <c r="T32" s="61">
        <f>IF(J32="",0,1)</f>
        <v>0</v>
      </c>
      <c r="U32" s="61">
        <f>IF(OR(E32="CR",E32="MA",E32="E"),IF(J32="",1,0),0)</f>
        <v>0</v>
      </c>
      <c r="V32" s="61">
        <f>IF(H32="ACC",1,0)</f>
        <v>0</v>
      </c>
      <c r="W32" s="61">
        <f>IF(K32="",0,1)</f>
        <v>0</v>
      </c>
      <c r="X32" s="61">
        <f>IF(AND(H32="ACC"),IF(K32="",1,0),0)</f>
        <v>0</v>
      </c>
      <c r="Y32" s="61">
        <f>IF(AND(H32="ACC"),IF(M32="",1,0),0)</f>
        <v>0</v>
      </c>
      <c r="Z32" s="73"/>
      <c r="AA32" s="73"/>
      <c r="AB32" s="73"/>
      <c r="AC32" s="61"/>
      <c r="AD32" s="61"/>
      <c r="AE32" s="61"/>
      <c r="AF32" s="61"/>
      <c r="AG32" s="73"/>
      <c r="AH32" s="73"/>
      <c r="AI32" s="73"/>
      <c r="AJ32" s="73"/>
    </row>
    <row r="33" spans="2:36">
      <c r="B33" s="67"/>
      <c r="C33" s="225"/>
      <c r="D33" s="225"/>
      <c r="E33" s="68"/>
      <c r="F33" s="68"/>
      <c r="G33" s="69"/>
      <c r="H33" s="69"/>
      <c r="I33" s="68"/>
      <c r="J33" s="71"/>
      <c r="K33" s="68"/>
      <c r="L33" s="68"/>
      <c r="M33" s="68"/>
      <c r="N33" s="68"/>
      <c r="O33" s="68"/>
      <c r="P33" s="61">
        <f t="shared" si="0"/>
        <v>0</v>
      </c>
      <c r="Q33" s="61">
        <f t="shared" si="1"/>
        <v>0</v>
      </c>
      <c r="R33" s="61">
        <f t="shared" ref="R33:R96" si="2">IF(OR(H33="REJ"),IF(J33="",1,0),0)</f>
        <v>0</v>
      </c>
      <c r="S33" s="61">
        <f t="shared" ref="S33:S96" si="3">IF(E33="CR",1,0)</f>
        <v>0</v>
      </c>
      <c r="T33" s="61">
        <f t="shared" ref="T33:T96" si="4">IF(J33="",0,1)</f>
        <v>0</v>
      </c>
      <c r="U33" s="61">
        <f t="shared" ref="U33:U96" si="5">IF(OR(E33="CR",E33="MA",E33="E"),IF(J33="",1,0),0)</f>
        <v>0</v>
      </c>
      <c r="V33" s="61">
        <f t="shared" ref="V33:V96" si="6">IF(H33="ACC",1,0)</f>
        <v>0</v>
      </c>
      <c r="W33" s="61">
        <f t="shared" ref="W33:W96" si="7">IF(K33="",0,1)</f>
        <v>0</v>
      </c>
      <c r="X33" s="61">
        <f t="shared" ref="X33:X96" si="8">IF(AND(H33="ACC"),IF(K33="",1,0),0)</f>
        <v>0</v>
      </c>
      <c r="Y33" s="61">
        <f t="shared" ref="Y33:Y96" si="9">IF(AND(H33="ACC"),IF(M33="",1,0),0)</f>
        <v>0</v>
      </c>
      <c r="Z33" s="73"/>
      <c r="AA33" s="73"/>
      <c r="AB33" s="73"/>
      <c r="AC33" s="73"/>
      <c r="AD33" s="73"/>
      <c r="AE33" s="73"/>
      <c r="AF33" s="73"/>
      <c r="AG33" s="73"/>
      <c r="AH33" s="73"/>
      <c r="AI33" s="73"/>
      <c r="AJ33" s="73"/>
    </row>
    <row r="34" spans="2:36">
      <c r="B34" s="67"/>
      <c r="C34" s="225"/>
      <c r="D34" s="225"/>
      <c r="E34" s="68"/>
      <c r="F34" s="68"/>
      <c r="G34" s="69"/>
      <c r="H34" s="69"/>
      <c r="I34" s="68"/>
      <c r="J34" s="71"/>
      <c r="K34" s="68"/>
      <c r="L34" s="68"/>
      <c r="M34" s="68"/>
      <c r="N34" s="68"/>
      <c r="O34" s="68"/>
      <c r="P34" s="61">
        <f t="shared" si="0"/>
        <v>0</v>
      </c>
      <c r="Q34" s="61">
        <f t="shared" si="1"/>
        <v>0</v>
      </c>
      <c r="R34" s="61">
        <f t="shared" si="2"/>
        <v>0</v>
      </c>
      <c r="S34" s="61">
        <f t="shared" si="3"/>
        <v>0</v>
      </c>
      <c r="T34" s="61">
        <f t="shared" si="4"/>
        <v>0</v>
      </c>
      <c r="U34" s="61">
        <f t="shared" si="5"/>
        <v>0</v>
      </c>
      <c r="V34" s="61">
        <f t="shared" si="6"/>
        <v>0</v>
      </c>
      <c r="W34" s="61">
        <f t="shared" si="7"/>
        <v>0</v>
      </c>
      <c r="X34" s="61">
        <f t="shared" si="8"/>
        <v>0</v>
      </c>
      <c r="Y34" s="61">
        <f t="shared" si="9"/>
        <v>0</v>
      </c>
      <c r="Z34" s="73"/>
      <c r="AA34" s="73"/>
      <c r="AB34" s="73"/>
      <c r="AC34" s="73"/>
      <c r="AD34" s="73"/>
      <c r="AE34" s="73"/>
      <c r="AF34" s="73"/>
      <c r="AG34" s="73"/>
      <c r="AH34" s="73"/>
      <c r="AI34" s="73"/>
      <c r="AJ34" s="73"/>
    </row>
    <row r="35" spans="2:36">
      <c r="B35" s="67"/>
      <c r="C35" s="225"/>
      <c r="D35" s="225"/>
      <c r="E35" s="68"/>
      <c r="F35" s="68"/>
      <c r="G35" s="69"/>
      <c r="H35" s="69"/>
      <c r="I35" s="68"/>
      <c r="J35" s="71"/>
      <c r="K35" s="68"/>
      <c r="L35" s="68"/>
      <c r="M35" s="68"/>
      <c r="N35" s="68"/>
      <c r="O35" s="68"/>
      <c r="P35" s="61">
        <f t="shared" si="0"/>
        <v>0</v>
      </c>
      <c r="Q35" s="61">
        <f t="shared" si="1"/>
        <v>0</v>
      </c>
      <c r="R35" s="61">
        <f t="shared" si="2"/>
        <v>0</v>
      </c>
      <c r="S35" s="61">
        <f t="shared" si="3"/>
        <v>0</v>
      </c>
      <c r="T35" s="61">
        <f t="shared" si="4"/>
        <v>0</v>
      </c>
      <c r="U35" s="61">
        <f t="shared" si="5"/>
        <v>0</v>
      </c>
      <c r="V35" s="61">
        <f t="shared" si="6"/>
        <v>0</v>
      </c>
      <c r="W35" s="61">
        <f t="shared" si="7"/>
        <v>0</v>
      </c>
      <c r="X35" s="61">
        <f t="shared" si="8"/>
        <v>0</v>
      </c>
      <c r="Y35" s="61">
        <f t="shared" si="9"/>
        <v>0</v>
      </c>
      <c r="Z35" s="73"/>
      <c r="AA35" s="73"/>
      <c r="AB35" s="73"/>
      <c r="AC35" s="73"/>
      <c r="AD35" s="73"/>
      <c r="AE35" s="73"/>
      <c r="AF35" s="73"/>
      <c r="AG35" s="73"/>
      <c r="AH35" s="73"/>
      <c r="AI35" s="73"/>
      <c r="AJ35" s="73"/>
    </row>
    <row r="36" spans="2:36" ht="15" customHeight="1">
      <c r="B36" s="67"/>
      <c r="C36" s="225"/>
      <c r="D36" s="225"/>
      <c r="E36" s="68"/>
      <c r="F36" s="68"/>
      <c r="G36" s="69"/>
      <c r="H36" s="69"/>
      <c r="I36" s="68"/>
      <c r="J36" s="71"/>
      <c r="K36" s="68"/>
      <c r="L36" s="68"/>
      <c r="M36" s="68"/>
      <c r="N36" s="68"/>
      <c r="O36" s="68"/>
      <c r="P36" s="61">
        <f t="shared" si="0"/>
        <v>0</v>
      </c>
      <c r="Q36" s="61">
        <f t="shared" si="1"/>
        <v>0</v>
      </c>
      <c r="R36" s="61">
        <f t="shared" si="2"/>
        <v>0</v>
      </c>
      <c r="S36" s="61">
        <f t="shared" si="3"/>
        <v>0</v>
      </c>
      <c r="T36" s="61">
        <f t="shared" si="4"/>
        <v>0</v>
      </c>
      <c r="U36" s="61">
        <f t="shared" si="5"/>
        <v>0</v>
      </c>
      <c r="V36" s="61">
        <f t="shared" si="6"/>
        <v>0</v>
      </c>
      <c r="W36" s="61">
        <f t="shared" si="7"/>
        <v>0</v>
      </c>
      <c r="X36" s="61">
        <f t="shared" si="8"/>
        <v>0</v>
      </c>
      <c r="Y36" s="61">
        <f t="shared" si="9"/>
        <v>0</v>
      </c>
      <c r="Z36" s="73"/>
      <c r="AA36" s="73"/>
      <c r="AB36" s="73"/>
      <c r="AC36" s="73"/>
      <c r="AD36" s="73"/>
      <c r="AE36" s="73"/>
      <c r="AF36" s="73"/>
      <c r="AG36" s="73"/>
      <c r="AH36" s="73"/>
      <c r="AI36" s="73"/>
      <c r="AJ36" s="73"/>
    </row>
    <row r="37" spans="2:36" ht="15" customHeight="1">
      <c r="B37" s="67"/>
      <c r="C37" s="225"/>
      <c r="D37" s="225"/>
      <c r="E37" s="68"/>
      <c r="F37" s="68"/>
      <c r="G37" s="69"/>
      <c r="H37" s="69"/>
      <c r="I37" s="68"/>
      <c r="J37" s="71"/>
      <c r="K37" s="68"/>
      <c r="L37" s="68"/>
      <c r="M37" s="68"/>
      <c r="N37" s="68"/>
      <c r="O37" s="68"/>
      <c r="P37" s="61">
        <f t="shared" si="0"/>
        <v>0</v>
      </c>
      <c r="Q37" s="61">
        <f t="shared" si="1"/>
        <v>0</v>
      </c>
      <c r="R37" s="61">
        <f t="shared" si="2"/>
        <v>0</v>
      </c>
      <c r="S37" s="61">
        <f t="shared" si="3"/>
        <v>0</v>
      </c>
      <c r="T37" s="61">
        <f t="shared" si="4"/>
        <v>0</v>
      </c>
      <c r="U37" s="61">
        <f t="shared" si="5"/>
        <v>0</v>
      </c>
      <c r="V37" s="61">
        <f t="shared" si="6"/>
        <v>0</v>
      </c>
      <c r="W37" s="61">
        <f t="shared" si="7"/>
        <v>0</v>
      </c>
      <c r="X37" s="61">
        <f t="shared" si="8"/>
        <v>0</v>
      </c>
      <c r="Y37" s="61">
        <f t="shared" si="9"/>
        <v>0</v>
      </c>
      <c r="Z37" s="73"/>
      <c r="AA37" s="73"/>
      <c r="AB37" s="73"/>
      <c r="AC37" s="73"/>
      <c r="AD37" s="73"/>
      <c r="AE37" s="73"/>
      <c r="AF37" s="73"/>
      <c r="AG37" s="73"/>
      <c r="AH37" s="73"/>
      <c r="AI37" s="73"/>
      <c r="AJ37" s="73"/>
    </row>
    <row r="38" spans="2:36" ht="15" customHeight="1">
      <c r="B38" s="67"/>
      <c r="C38" s="225"/>
      <c r="D38" s="225"/>
      <c r="E38" s="68"/>
      <c r="F38" s="68"/>
      <c r="G38" s="69"/>
      <c r="H38" s="69"/>
      <c r="I38" s="68"/>
      <c r="J38" s="71"/>
      <c r="K38" s="68"/>
      <c r="L38" s="68"/>
      <c r="M38" s="68"/>
      <c r="N38" s="68"/>
      <c r="O38" s="68"/>
      <c r="P38" s="61">
        <f t="shared" si="0"/>
        <v>0</v>
      </c>
      <c r="Q38" s="61">
        <f t="shared" si="1"/>
        <v>0</v>
      </c>
      <c r="R38" s="61">
        <f t="shared" si="2"/>
        <v>0</v>
      </c>
      <c r="S38" s="61">
        <f t="shared" si="3"/>
        <v>0</v>
      </c>
      <c r="T38" s="61">
        <f t="shared" si="4"/>
        <v>0</v>
      </c>
      <c r="U38" s="61">
        <f t="shared" si="5"/>
        <v>0</v>
      </c>
      <c r="V38" s="61">
        <f t="shared" si="6"/>
        <v>0</v>
      </c>
      <c r="W38" s="61">
        <f t="shared" si="7"/>
        <v>0</v>
      </c>
      <c r="X38" s="61">
        <f t="shared" si="8"/>
        <v>0</v>
      </c>
      <c r="Y38" s="61">
        <f t="shared" si="9"/>
        <v>0</v>
      </c>
      <c r="Z38" s="73"/>
      <c r="AA38" s="73"/>
      <c r="AB38" s="73"/>
      <c r="AC38" s="73"/>
      <c r="AD38" s="73"/>
      <c r="AE38" s="73"/>
      <c r="AF38" s="73"/>
      <c r="AG38" s="73"/>
      <c r="AH38" s="73"/>
      <c r="AI38" s="73"/>
      <c r="AJ38" s="73"/>
    </row>
    <row r="39" spans="2:36" ht="15" customHeight="1">
      <c r="B39" s="67"/>
      <c r="C39" s="225"/>
      <c r="D39" s="225"/>
      <c r="E39" s="68"/>
      <c r="F39" s="68"/>
      <c r="G39" s="69"/>
      <c r="H39" s="69"/>
      <c r="I39" s="68"/>
      <c r="J39" s="71"/>
      <c r="K39" s="68"/>
      <c r="L39" s="68"/>
      <c r="M39" s="68"/>
      <c r="N39" s="68"/>
      <c r="O39" s="68"/>
      <c r="P39" s="61">
        <f t="shared" si="0"/>
        <v>0</v>
      </c>
      <c r="Q39" s="61">
        <f t="shared" si="1"/>
        <v>0</v>
      </c>
      <c r="R39" s="61">
        <f t="shared" si="2"/>
        <v>0</v>
      </c>
      <c r="S39" s="61">
        <f t="shared" si="3"/>
        <v>0</v>
      </c>
      <c r="T39" s="61">
        <f t="shared" si="4"/>
        <v>0</v>
      </c>
      <c r="U39" s="61">
        <f t="shared" si="5"/>
        <v>0</v>
      </c>
      <c r="V39" s="61">
        <f t="shared" si="6"/>
        <v>0</v>
      </c>
      <c r="W39" s="61">
        <f t="shared" si="7"/>
        <v>0</v>
      </c>
      <c r="X39" s="61">
        <f t="shared" si="8"/>
        <v>0</v>
      </c>
      <c r="Y39" s="61">
        <f t="shared" si="9"/>
        <v>0</v>
      </c>
      <c r="Z39" s="73"/>
      <c r="AA39" s="73"/>
      <c r="AB39" s="73"/>
      <c r="AC39" s="73"/>
      <c r="AD39" s="73"/>
      <c r="AE39" s="73"/>
      <c r="AF39" s="73"/>
      <c r="AG39" s="73"/>
      <c r="AH39" s="73"/>
      <c r="AI39" s="73"/>
      <c r="AJ39" s="73"/>
    </row>
    <row r="40" spans="2:36" ht="15" customHeight="1">
      <c r="B40" s="67"/>
      <c r="C40" s="225"/>
      <c r="D40" s="225"/>
      <c r="E40" s="68"/>
      <c r="F40" s="68"/>
      <c r="G40" s="69"/>
      <c r="H40" s="69"/>
      <c r="I40" s="68"/>
      <c r="J40" s="71"/>
      <c r="K40" s="68"/>
      <c r="L40" s="68"/>
      <c r="M40" s="68"/>
      <c r="N40" s="68"/>
      <c r="O40" s="68"/>
      <c r="P40" s="61">
        <f t="shared" si="0"/>
        <v>0</v>
      </c>
      <c r="Q40" s="61">
        <f t="shared" si="1"/>
        <v>0</v>
      </c>
      <c r="R40" s="61">
        <f t="shared" si="2"/>
        <v>0</v>
      </c>
      <c r="S40" s="61">
        <f t="shared" si="3"/>
        <v>0</v>
      </c>
      <c r="T40" s="61">
        <f t="shared" si="4"/>
        <v>0</v>
      </c>
      <c r="U40" s="61">
        <f t="shared" si="5"/>
        <v>0</v>
      </c>
      <c r="V40" s="61">
        <f t="shared" si="6"/>
        <v>0</v>
      </c>
      <c r="W40" s="61">
        <f t="shared" si="7"/>
        <v>0</v>
      </c>
      <c r="X40" s="61">
        <f t="shared" si="8"/>
        <v>0</v>
      </c>
      <c r="Y40" s="61">
        <f t="shared" si="9"/>
        <v>0</v>
      </c>
      <c r="Z40" s="73"/>
      <c r="AA40" s="73"/>
      <c r="AB40" s="73"/>
      <c r="AC40" s="73"/>
      <c r="AD40" s="73"/>
      <c r="AE40" s="73"/>
      <c r="AF40" s="73"/>
      <c r="AG40" s="73"/>
      <c r="AH40" s="73"/>
      <c r="AI40" s="73"/>
      <c r="AJ40" s="73"/>
    </row>
    <row r="41" spans="2:36" ht="15" customHeight="1">
      <c r="B41" s="67"/>
      <c r="C41" s="225"/>
      <c r="D41" s="225"/>
      <c r="E41" s="68"/>
      <c r="F41" s="68"/>
      <c r="G41" s="69"/>
      <c r="H41" s="69"/>
      <c r="I41" s="68"/>
      <c r="J41" s="71"/>
      <c r="K41" s="68"/>
      <c r="L41" s="68"/>
      <c r="M41" s="68"/>
      <c r="N41" s="68"/>
      <c r="O41" s="68"/>
      <c r="P41" s="61">
        <f t="shared" si="0"/>
        <v>0</v>
      </c>
      <c r="Q41" s="61">
        <f t="shared" si="1"/>
        <v>0</v>
      </c>
      <c r="R41" s="61">
        <f t="shared" si="2"/>
        <v>0</v>
      </c>
      <c r="S41" s="61">
        <f t="shared" si="3"/>
        <v>0</v>
      </c>
      <c r="T41" s="61">
        <f t="shared" si="4"/>
        <v>0</v>
      </c>
      <c r="U41" s="61">
        <f t="shared" si="5"/>
        <v>0</v>
      </c>
      <c r="V41" s="61">
        <f t="shared" si="6"/>
        <v>0</v>
      </c>
      <c r="W41" s="61">
        <f t="shared" si="7"/>
        <v>0</v>
      </c>
      <c r="X41" s="61">
        <f t="shared" si="8"/>
        <v>0</v>
      </c>
      <c r="Y41" s="61">
        <f t="shared" si="9"/>
        <v>0</v>
      </c>
      <c r="Z41" s="73"/>
      <c r="AA41" s="73"/>
      <c r="AB41" s="73"/>
      <c r="AC41" s="73"/>
      <c r="AD41" s="73"/>
      <c r="AE41" s="73"/>
      <c r="AF41" s="73"/>
      <c r="AG41" s="73"/>
      <c r="AH41" s="73"/>
      <c r="AI41" s="73"/>
      <c r="AJ41" s="73"/>
    </row>
    <row r="42" spans="2:36" ht="15" customHeight="1">
      <c r="B42" s="67"/>
      <c r="C42" s="225"/>
      <c r="D42" s="225"/>
      <c r="E42" s="68"/>
      <c r="F42" s="68"/>
      <c r="G42" s="69"/>
      <c r="H42" s="69"/>
      <c r="I42" s="68"/>
      <c r="J42" s="71"/>
      <c r="K42" s="68"/>
      <c r="L42" s="68"/>
      <c r="M42" s="68"/>
      <c r="N42" s="68"/>
      <c r="O42" s="68"/>
      <c r="P42" s="61">
        <f t="shared" si="0"/>
        <v>0</v>
      </c>
      <c r="Q42" s="61">
        <f t="shared" si="1"/>
        <v>0</v>
      </c>
      <c r="R42" s="61">
        <f t="shared" si="2"/>
        <v>0</v>
      </c>
      <c r="S42" s="61">
        <f t="shared" si="3"/>
        <v>0</v>
      </c>
      <c r="T42" s="61">
        <f t="shared" si="4"/>
        <v>0</v>
      </c>
      <c r="U42" s="61">
        <f t="shared" si="5"/>
        <v>0</v>
      </c>
      <c r="V42" s="61">
        <f t="shared" si="6"/>
        <v>0</v>
      </c>
      <c r="W42" s="61">
        <f t="shared" si="7"/>
        <v>0</v>
      </c>
      <c r="X42" s="61">
        <f t="shared" si="8"/>
        <v>0</v>
      </c>
      <c r="Y42" s="61">
        <f t="shared" si="9"/>
        <v>0</v>
      </c>
      <c r="Z42" s="73"/>
      <c r="AA42" s="73"/>
      <c r="AB42" s="73"/>
      <c r="AC42" s="73"/>
      <c r="AD42" s="73"/>
      <c r="AE42" s="73"/>
      <c r="AF42" s="73"/>
      <c r="AG42" s="73"/>
      <c r="AH42" s="73"/>
      <c r="AI42" s="73"/>
      <c r="AJ42" s="73"/>
    </row>
    <row r="43" spans="2:36" ht="15" customHeight="1">
      <c r="B43" s="67"/>
      <c r="C43" s="225"/>
      <c r="D43" s="225"/>
      <c r="E43" s="68"/>
      <c r="F43" s="68"/>
      <c r="G43" s="69"/>
      <c r="H43" s="69"/>
      <c r="I43" s="68"/>
      <c r="J43" s="71"/>
      <c r="K43" s="68"/>
      <c r="L43" s="68"/>
      <c r="M43" s="68"/>
      <c r="N43" s="68"/>
      <c r="O43" s="68"/>
      <c r="P43" s="61">
        <f t="shared" si="0"/>
        <v>0</v>
      </c>
      <c r="Q43" s="61">
        <f t="shared" si="1"/>
        <v>0</v>
      </c>
      <c r="R43" s="61">
        <f t="shared" si="2"/>
        <v>0</v>
      </c>
      <c r="S43" s="61">
        <f t="shared" si="3"/>
        <v>0</v>
      </c>
      <c r="T43" s="61">
        <f t="shared" si="4"/>
        <v>0</v>
      </c>
      <c r="U43" s="61">
        <f t="shared" si="5"/>
        <v>0</v>
      </c>
      <c r="V43" s="61">
        <f t="shared" si="6"/>
        <v>0</v>
      </c>
      <c r="W43" s="61">
        <f t="shared" si="7"/>
        <v>0</v>
      </c>
      <c r="X43" s="61">
        <f t="shared" si="8"/>
        <v>0</v>
      </c>
      <c r="Y43" s="61">
        <f t="shared" si="9"/>
        <v>0</v>
      </c>
      <c r="Z43" s="73"/>
      <c r="AA43" s="73"/>
      <c r="AB43" s="73"/>
      <c r="AC43" s="73"/>
      <c r="AD43" s="73"/>
      <c r="AE43" s="73"/>
      <c r="AF43" s="73"/>
      <c r="AG43" s="73"/>
      <c r="AH43" s="73"/>
      <c r="AI43" s="73"/>
      <c r="AJ43" s="73"/>
    </row>
    <row r="44" spans="2:36" ht="15" customHeight="1">
      <c r="B44" s="67"/>
      <c r="C44" s="225"/>
      <c r="D44" s="225"/>
      <c r="E44" s="68"/>
      <c r="F44" s="68"/>
      <c r="G44" s="69"/>
      <c r="H44" s="69"/>
      <c r="I44" s="72"/>
      <c r="J44" s="71"/>
      <c r="K44" s="68"/>
      <c r="L44" s="68"/>
      <c r="M44" s="68"/>
      <c r="N44" s="68"/>
      <c r="O44" s="68"/>
      <c r="P44" s="61">
        <f t="shared" si="0"/>
        <v>0</v>
      </c>
      <c r="Q44" s="61">
        <f t="shared" si="1"/>
        <v>0</v>
      </c>
      <c r="R44" s="61">
        <f t="shared" si="2"/>
        <v>0</v>
      </c>
      <c r="S44" s="61">
        <f t="shared" si="3"/>
        <v>0</v>
      </c>
      <c r="T44" s="61">
        <f t="shared" si="4"/>
        <v>0</v>
      </c>
      <c r="U44" s="61">
        <f t="shared" si="5"/>
        <v>0</v>
      </c>
      <c r="V44" s="61">
        <f t="shared" si="6"/>
        <v>0</v>
      </c>
      <c r="W44" s="61">
        <f t="shared" si="7"/>
        <v>0</v>
      </c>
      <c r="X44" s="61">
        <f t="shared" si="8"/>
        <v>0</v>
      </c>
      <c r="Y44" s="61">
        <f t="shared" si="9"/>
        <v>0</v>
      </c>
      <c r="Z44" s="73"/>
      <c r="AA44" s="73"/>
      <c r="AB44" s="73"/>
      <c r="AC44" s="73"/>
      <c r="AD44" s="73"/>
      <c r="AE44" s="73"/>
      <c r="AF44" s="73"/>
      <c r="AG44" s="73"/>
      <c r="AH44" s="73"/>
      <c r="AI44" s="73"/>
      <c r="AJ44" s="73"/>
    </row>
    <row r="45" spans="2:36" ht="15" customHeight="1">
      <c r="B45" s="67"/>
      <c r="C45" s="225"/>
      <c r="D45" s="225"/>
      <c r="E45" s="68"/>
      <c r="F45" s="68"/>
      <c r="G45" s="69"/>
      <c r="H45" s="69"/>
      <c r="I45" s="72"/>
      <c r="J45" s="71"/>
      <c r="K45" s="68"/>
      <c r="L45" s="68"/>
      <c r="M45" s="68"/>
      <c r="N45" s="68"/>
      <c r="O45" s="68"/>
      <c r="P45" s="61">
        <f t="shared" si="0"/>
        <v>0</v>
      </c>
      <c r="Q45" s="61">
        <f t="shared" si="1"/>
        <v>0</v>
      </c>
      <c r="R45" s="61">
        <f t="shared" si="2"/>
        <v>0</v>
      </c>
      <c r="S45" s="61">
        <f t="shared" si="3"/>
        <v>0</v>
      </c>
      <c r="T45" s="61">
        <f t="shared" si="4"/>
        <v>0</v>
      </c>
      <c r="U45" s="61">
        <f t="shared" si="5"/>
        <v>0</v>
      </c>
      <c r="V45" s="61">
        <f t="shared" si="6"/>
        <v>0</v>
      </c>
      <c r="W45" s="61">
        <f t="shared" si="7"/>
        <v>0</v>
      </c>
      <c r="X45" s="61">
        <f t="shared" si="8"/>
        <v>0</v>
      </c>
      <c r="Y45" s="61">
        <f t="shared" si="9"/>
        <v>0</v>
      </c>
      <c r="Z45" s="73"/>
      <c r="AA45" s="73"/>
      <c r="AB45" s="73"/>
      <c r="AC45" s="73"/>
      <c r="AD45" s="73"/>
      <c r="AE45" s="73"/>
      <c r="AF45" s="73"/>
      <c r="AG45" s="73"/>
      <c r="AH45" s="73"/>
      <c r="AI45" s="73"/>
      <c r="AJ45" s="73"/>
    </row>
    <row r="46" spans="2:36" ht="15" customHeight="1">
      <c r="B46" s="67"/>
      <c r="C46" s="225"/>
      <c r="D46" s="225"/>
      <c r="E46" s="68"/>
      <c r="F46" s="68"/>
      <c r="G46" s="69"/>
      <c r="H46" s="69"/>
      <c r="I46" s="72"/>
      <c r="J46" s="71"/>
      <c r="K46" s="68"/>
      <c r="L46" s="68"/>
      <c r="M46" s="68"/>
      <c r="N46" s="68"/>
      <c r="O46" s="68"/>
      <c r="P46" s="61">
        <f t="shared" si="0"/>
        <v>0</v>
      </c>
      <c r="Q46" s="61">
        <f t="shared" si="1"/>
        <v>0</v>
      </c>
      <c r="R46" s="61">
        <f t="shared" si="2"/>
        <v>0</v>
      </c>
      <c r="S46" s="61">
        <f t="shared" si="3"/>
        <v>0</v>
      </c>
      <c r="T46" s="61">
        <f t="shared" si="4"/>
        <v>0</v>
      </c>
      <c r="U46" s="61">
        <f t="shared" si="5"/>
        <v>0</v>
      </c>
      <c r="V46" s="61">
        <f t="shared" si="6"/>
        <v>0</v>
      </c>
      <c r="W46" s="61">
        <f t="shared" si="7"/>
        <v>0</v>
      </c>
      <c r="X46" s="61">
        <f t="shared" si="8"/>
        <v>0</v>
      </c>
      <c r="Y46" s="61">
        <f t="shared" si="9"/>
        <v>0</v>
      </c>
      <c r="Z46" s="73"/>
      <c r="AA46" s="73"/>
      <c r="AB46" s="73"/>
      <c r="AC46" s="73"/>
      <c r="AD46" s="73"/>
      <c r="AE46" s="73"/>
      <c r="AF46" s="73"/>
      <c r="AG46" s="73"/>
      <c r="AH46" s="73"/>
      <c r="AI46" s="73"/>
      <c r="AJ46" s="73"/>
    </row>
    <row r="47" spans="2:36" ht="15" customHeight="1">
      <c r="B47" s="67"/>
      <c r="C47" s="225"/>
      <c r="D47" s="225"/>
      <c r="E47" s="68"/>
      <c r="F47" s="68"/>
      <c r="G47" s="69"/>
      <c r="H47" s="69"/>
      <c r="I47" s="72"/>
      <c r="J47" s="71"/>
      <c r="K47" s="68"/>
      <c r="L47" s="68"/>
      <c r="M47" s="68"/>
      <c r="N47" s="68"/>
      <c r="O47" s="68"/>
      <c r="P47" s="61">
        <f t="shared" si="0"/>
        <v>0</v>
      </c>
      <c r="Q47" s="61">
        <f t="shared" si="1"/>
        <v>0</v>
      </c>
      <c r="R47" s="61">
        <f t="shared" si="2"/>
        <v>0</v>
      </c>
      <c r="S47" s="61">
        <f t="shared" si="3"/>
        <v>0</v>
      </c>
      <c r="T47" s="61">
        <f t="shared" si="4"/>
        <v>0</v>
      </c>
      <c r="U47" s="61">
        <f t="shared" si="5"/>
        <v>0</v>
      </c>
      <c r="V47" s="61">
        <f t="shared" si="6"/>
        <v>0</v>
      </c>
      <c r="W47" s="61">
        <f t="shared" si="7"/>
        <v>0</v>
      </c>
      <c r="X47" s="61">
        <f t="shared" si="8"/>
        <v>0</v>
      </c>
      <c r="Y47" s="61">
        <f t="shared" si="9"/>
        <v>0</v>
      </c>
      <c r="Z47" s="73"/>
      <c r="AA47" s="73"/>
      <c r="AB47" s="73"/>
      <c r="AC47" s="73"/>
      <c r="AD47" s="73"/>
      <c r="AE47" s="73"/>
      <c r="AF47" s="73"/>
      <c r="AG47" s="73"/>
      <c r="AH47" s="73"/>
      <c r="AI47" s="73"/>
      <c r="AJ47" s="73"/>
    </row>
    <row r="48" spans="2:36" ht="15" customHeight="1">
      <c r="B48" s="67"/>
      <c r="C48" s="225"/>
      <c r="D48" s="225"/>
      <c r="E48" s="68"/>
      <c r="F48" s="68"/>
      <c r="G48" s="69"/>
      <c r="H48" s="69"/>
      <c r="I48" s="72"/>
      <c r="J48" s="71"/>
      <c r="K48" s="68"/>
      <c r="L48" s="68"/>
      <c r="M48" s="68"/>
      <c r="N48" s="68"/>
      <c r="O48" s="68"/>
      <c r="P48" s="61">
        <f t="shared" si="0"/>
        <v>0</v>
      </c>
      <c r="Q48" s="61">
        <f t="shared" si="1"/>
        <v>0</v>
      </c>
      <c r="R48" s="61">
        <f t="shared" si="2"/>
        <v>0</v>
      </c>
      <c r="S48" s="61">
        <f t="shared" si="3"/>
        <v>0</v>
      </c>
      <c r="T48" s="61">
        <f t="shared" si="4"/>
        <v>0</v>
      </c>
      <c r="U48" s="61">
        <f t="shared" si="5"/>
        <v>0</v>
      </c>
      <c r="V48" s="61">
        <f t="shared" si="6"/>
        <v>0</v>
      </c>
      <c r="W48" s="61">
        <f t="shared" si="7"/>
        <v>0</v>
      </c>
      <c r="X48" s="61">
        <f t="shared" si="8"/>
        <v>0</v>
      </c>
      <c r="Y48" s="61">
        <f t="shared" si="9"/>
        <v>0</v>
      </c>
      <c r="Z48" s="73"/>
      <c r="AA48" s="73"/>
      <c r="AB48" s="73"/>
      <c r="AC48" s="73"/>
      <c r="AD48" s="73"/>
      <c r="AE48" s="73"/>
      <c r="AF48" s="73"/>
      <c r="AG48" s="73"/>
      <c r="AH48" s="73"/>
      <c r="AI48" s="73"/>
      <c r="AJ48" s="73"/>
    </row>
    <row r="49" spans="2:36" ht="15" customHeight="1">
      <c r="B49" s="67"/>
      <c r="C49" s="225"/>
      <c r="D49" s="225"/>
      <c r="E49" s="68"/>
      <c r="F49" s="68"/>
      <c r="G49" s="69"/>
      <c r="H49" s="69"/>
      <c r="I49" s="72"/>
      <c r="J49" s="71"/>
      <c r="K49" s="68"/>
      <c r="L49" s="68"/>
      <c r="M49" s="68"/>
      <c r="N49" s="68"/>
      <c r="O49" s="68"/>
      <c r="P49" s="61">
        <f t="shared" si="0"/>
        <v>0</v>
      </c>
      <c r="Q49" s="61">
        <f t="shared" si="1"/>
        <v>0</v>
      </c>
      <c r="R49" s="61">
        <f t="shared" si="2"/>
        <v>0</v>
      </c>
      <c r="S49" s="61">
        <f t="shared" si="3"/>
        <v>0</v>
      </c>
      <c r="T49" s="61">
        <f t="shared" si="4"/>
        <v>0</v>
      </c>
      <c r="U49" s="61">
        <f t="shared" si="5"/>
        <v>0</v>
      </c>
      <c r="V49" s="61">
        <f t="shared" si="6"/>
        <v>0</v>
      </c>
      <c r="W49" s="61">
        <f t="shared" si="7"/>
        <v>0</v>
      </c>
      <c r="X49" s="61">
        <f t="shared" si="8"/>
        <v>0</v>
      </c>
      <c r="Y49" s="61">
        <f t="shared" si="9"/>
        <v>0</v>
      </c>
      <c r="Z49" s="73"/>
      <c r="AA49" s="73"/>
      <c r="AB49" s="73"/>
      <c r="AC49" s="73"/>
      <c r="AD49" s="73"/>
      <c r="AE49" s="73"/>
      <c r="AF49" s="73"/>
      <c r="AG49" s="73"/>
      <c r="AH49" s="73"/>
      <c r="AI49" s="73"/>
      <c r="AJ49" s="73"/>
    </row>
    <row r="50" spans="2:36" ht="15" customHeight="1">
      <c r="B50" s="67"/>
      <c r="C50" s="225"/>
      <c r="D50" s="225"/>
      <c r="E50" s="68"/>
      <c r="F50" s="68"/>
      <c r="G50" s="69"/>
      <c r="H50" s="69"/>
      <c r="I50" s="72"/>
      <c r="J50" s="71"/>
      <c r="K50" s="68"/>
      <c r="L50" s="68"/>
      <c r="M50" s="68"/>
      <c r="N50" s="68"/>
      <c r="O50" s="68"/>
      <c r="P50" s="61">
        <f t="shared" si="0"/>
        <v>0</v>
      </c>
      <c r="Q50" s="61">
        <f t="shared" si="1"/>
        <v>0</v>
      </c>
      <c r="R50" s="61">
        <f t="shared" si="2"/>
        <v>0</v>
      </c>
      <c r="S50" s="61">
        <f t="shared" si="3"/>
        <v>0</v>
      </c>
      <c r="T50" s="61">
        <f t="shared" si="4"/>
        <v>0</v>
      </c>
      <c r="U50" s="61">
        <f t="shared" si="5"/>
        <v>0</v>
      </c>
      <c r="V50" s="61">
        <f t="shared" si="6"/>
        <v>0</v>
      </c>
      <c r="W50" s="61">
        <f t="shared" si="7"/>
        <v>0</v>
      </c>
      <c r="X50" s="61">
        <f t="shared" si="8"/>
        <v>0</v>
      </c>
      <c r="Y50" s="61">
        <f t="shared" si="9"/>
        <v>0</v>
      </c>
      <c r="Z50" s="73"/>
      <c r="AA50" s="73"/>
      <c r="AB50" s="73"/>
      <c r="AC50" s="73"/>
      <c r="AD50" s="73"/>
      <c r="AE50" s="73"/>
      <c r="AF50" s="73"/>
      <c r="AG50" s="73"/>
      <c r="AH50" s="73"/>
      <c r="AI50" s="73"/>
      <c r="AJ50" s="73"/>
    </row>
    <row r="51" spans="2:36" ht="15" customHeight="1">
      <c r="B51" s="67"/>
      <c r="C51" s="225"/>
      <c r="D51" s="225"/>
      <c r="E51" s="68"/>
      <c r="F51" s="68"/>
      <c r="G51" s="69"/>
      <c r="H51" s="69"/>
      <c r="I51" s="72"/>
      <c r="J51" s="71"/>
      <c r="K51" s="68"/>
      <c r="L51" s="68"/>
      <c r="M51" s="68"/>
      <c r="N51" s="68"/>
      <c r="O51" s="68"/>
      <c r="P51" s="61">
        <f t="shared" si="0"/>
        <v>0</v>
      </c>
      <c r="Q51" s="61">
        <f t="shared" si="1"/>
        <v>0</v>
      </c>
      <c r="R51" s="61">
        <f t="shared" si="2"/>
        <v>0</v>
      </c>
      <c r="S51" s="61">
        <f t="shared" si="3"/>
        <v>0</v>
      </c>
      <c r="T51" s="61">
        <f t="shared" si="4"/>
        <v>0</v>
      </c>
      <c r="U51" s="61">
        <f t="shared" si="5"/>
        <v>0</v>
      </c>
      <c r="V51" s="61">
        <f t="shared" si="6"/>
        <v>0</v>
      </c>
      <c r="W51" s="61">
        <f t="shared" si="7"/>
        <v>0</v>
      </c>
      <c r="X51" s="61">
        <f t="shared" si="8"/>
        <v>0</v>
      </c>
      <c r="Y51" s="61">
        <f t="shared" si="9"/>
        <v>0</v>
      </c>
      <c r="Z51" s="73"/>
      <c r="AA51" s="73"/>
      <c r="AB51" s="73"/>
      <c r="AC51" s="73"/>
      <c r="AD51" s="73"/>
      <c r="AE51" s="73"/>
      <c r="AF51" s="73"/>
      <c r="AG51" s="73"/>
      <c r="AH51" s="73"/>
      <c r="AI51" s="73"/>
      <c r="AJ51" s="73"/>
    </row>
    <row r="52" spans="2:36" ht="15" customHeight="1">
      <c r="B52" s="67"/>
      <c r="C52" s="225"/>
      <c r="D52" s="225"/>
      <c r="E52" s="68"/>
      <c r="F52" s="68"/>
      <c r="G52" s="69"/>
      <c r="H52" s="69"/>
      <c r="I52" s="72"/>
      <c r="J52" s="71"/>
      <c r="K52" s="68"/>
      <c r="L52" s="68"/>
      <c r="M52" s="68"/>
      <c r="N52" s="68"/>
      <c r="O52" s="68"/>
      <c r="P52" s="61">
        <f t="shared" si="0"/>
        <v>0</v>
      </c>
      <c r="Q52" s="61">
        <f t="shared" si="1"/>
        <v>0</v>
      </c>
      <c r="R52" s="61">
        <f t="shared" si="2"/>
        <v>0</v>
      </c>
      <c r="S52" s="61">
        <f t="shared" si="3"/>
        <v>0</v>
      </c>
      <c r="T52" s="61">
        <f t="shared" si="4"/>
        <v>0</v>
      </c>
      <c r="U52" s="61">
        <f t="shared" si="5"/>
        <v>0</v>
      </c>
      <c r="V52" s="61">
        <f t="shared" si="6"/>
        <v>0</v>
      </c>
      <c r="W52" s="61">
        <f t="shared" si="7"/>
        <v>0</v>
      </c>
      <c r="X52" s="61">
        <f t="shared" si="8"/>
        <v>0</v>
      </c>
      <c r="Y52" s="61">
        <f t="shared" si="9"/>
        <v>0</v>
      </c>
      <c r="Z52" s="73"/>
      <c r="AA52" s="73"/>
      <c r="AB52" s="73"/>
      <c r="AC52" s="73"/>
      <c r="AD52" s="73"/>
      <c r="AE52" s="73"/>
      <c r="AF52" s="73"/>
      <c r="AG52" s="73"/>
      <c r="AH52" s="73"/>
      <c r="AI52" s="73"/>
      <c r="AJ52" s="73"/>
    </row>
    <row r="53" spans="2:36" ht="15" customHeight="1">
      <c r="B53" s="67"/>
      <c r="C53" s="225"/>
      <c r="D53" s="225"/>
      <c r="E53" s="68"/>
      <c r="F53" s="68"/>
      <c r="G53" s="69"/>
      <c r="H53" s="69"/>
      <c r="I53" s="72"/>
      <c r="J53" s="71"/>
      <c r="K53" s="68"/>
      <c r="L53" s="68"/>
      <c r="M53" s="68"/>
      <c r="N53" s="68"/>
      <c r="O53" s="68"/>
      <c r="P53" s="61">
        <f t="shared" si="0"/>
        <v>0</v>
      </c>
      <c r="Q53" s="61">
        <f t="shared" si="1"/>
        <v>0</v>
      </c>
      <c r="R53" s="61">
        <f t="shared" si="2"/>
        <v>0</v>
      </c>
      <c r="S53" s="61">
        <f t="shared" si="3"/>
        <v>0</v>
      </c>
      <c r="T53" s="61">
        <f t="shared" si="4"/>
        <v>0</v>
      </c>
      <c r="U53" s="61">
        <f t="shared" si="5"/>
        <v>0</v>
      </c>
      <c r="V53" s="61">
        <f t="shared" si="6"/>
        <v>0</v>
      </c>
      <c r="W53" s="61">
        <f t="shared" si="7"/>
        <v>0</v>
      </c>
      <c r="X53" s="61">
        <f t="shared" si="8"/>
        <v>0</v>
      </c>
      <c r="Y53" s="61">
        <f t="shared" si="9"/>
        <v>0</v>
      </c>
      <c r="Z53" s="73"/>
      <c r="AA53" s="73"/>
      <c r="AB53" s="73"/>
      <c r="AC53" s="73"/>
      <c r="AD53" s="73"/>
      <c r="AE53" s="73"/>
      <c r="AF53" s="73"/>
      <c r="AG53" s="73"/>
      <c r="AH53" s="73"/>
      <c r="AI53" s="73"/>
      <c r="AJ53" s="73"/>
    </row>
    <row r="54" spans="2:36" ht="15" customHeight="1">
      <c r="B54" s="67"/>
      <c r="C54" s="225"/>
      <c r="D54" s="225"/>
      <c r="E54" s="68"/>
      <c r="F54" s="68"/>
      <c r="G54" s="69"/>
      <c r="H54" s="69"/>
      <c r="I54" s="72"/>
      <c r="J54" s="71"/>
      <c r="K54" s="68"/>
      <c r="L54" s="68"/>
      <c r="M54" s="68"/>
      <c r="N54" s="68"/>
      <c r="O54" s="68"/>
      <c r="P54" s="61">
        <f t="shared" si="0"/>
        <v>0</v>
      </c>
      <c r="Q54" s="61">
        <f t="shared" si="1"/>
        <v>0</v>
      </c>
      <c r="R54" s="61">
        <f t="shared" si="2"/>
        <v>0</v>
      </c>
      <c r="S54" s="61">
        <f t="shared" si="3"/>
        <v>0</v>
      </c>
      <c r="T54" s="61">
        <f t="shared" si="4"/>
        <v>0</v>
      </c>
      <c r="U54" s="61">
        <f t="shared" si="5"/>
        <v>0</v>
      </c>
      <c r="V54" s="61">
        <f t="shared" si="6"/>
        <v>0</v>
      </c>
      <c r="W54" s="61">
        <f t="shared" si="7"/>
        <v>0</v>
      </c>
      <c r="X54" s="61">
        <f t="shared" si="8"/>
        <v>0</v>
      </c>
      <c r="Y54" s="61">
        <f t="shared" si="9"/>
        <v>0</v>
      </c>
      <c r="Z54" s="73"/>
      <c r="AA54" s="73"/>
      <c r="AB54" s="73"/>
      <c r="AC54" s="73"/>
      <c r="AD54" s="73"/>
      <c r="AE54" s="73"/>
      <c r="AF54" s="73"/>
      <c r="AG54" s="73"/>
      <c r="AH54" s="73"/>
      <c r="AI54" s="73"/>
      <c r="AJ54" s="73"/>
    </row>
    <row r="55" spans="2:36" ht="15" customHeight="1">
      <c r="B55" s="67"/>
      <c r="C55" s="225"/>
      <c r="D55" s="225"/>
      <c r="E55" s="68"/>
      <c r="F55" s="68"/>
      <c r="G55" s="69"/>
      <c r="H55" s="69"/>
      <c r="I55" s="72"/>
      <c r="J55" s="71"/>
      <c r="K55" s="68"/>
      <c r="L55" s="68"/>
      <c r="M55" s="68"/>
      <c r="N55" s="68"/>
      <c r="O55" s="68"/>
      <c r="P55" s="61">
        <f t="shared" si="0"/>
        <v>0</v>
      </c>
      <c r="Q55" s="61">
        <f t="shared" si="1"/>
        <v>0</v>
      </c>
      <c r="R55" s="61">
        <f t="shared" si="2"/>
        <v>0</v>
      </c>
      <c r="S55" s="61">
        <f t="shared" si="3"/>
        <v>0</v>
      </c>
      <c r="T55" s="61">
        <f t="shared" si="4"/>
        <v>0</v>
      </c>
      <c r="U55" s="61">
        <f t="shared" si="5"/>
        <v>0</v>
      </c>
      <c r="V55" s="61">
        <f t="shared" si="6"/>
        <v>0</v>
      </c>
      <c r="W55" s="61">
        <f t="shared" si="7"/>
        <v>0</v>
      </c>
      <c r="X55" s="61">
        <f t="shared" si="8"/>
        <v>0</v>
      </c>
      <c r="Y55" s="61">
        <f t="shared" si="9"/>
        <v>0</v>
      </c>
      <c r="Z55" s="73"/>
      <c r="AA55" s="73"/>
      <c r="AB55" s="73"/>
      <c r="AC55" s="73"/>
      <c r="AD55" s="73"/>
      <c r="AE55" s="73"/>
      <c r="AF55" s="73"/>
      <c r="AG55" s="73"/>
      <c r="AH55" s="73"/>
      <c r="AI55" s="73"/>
      <c r="AJ55" s="73"/>
    </row>
    <row r="56" spans="2:36" ht="15" customHeight="1">
      <c r="B56" s="67"/>
      <c r="C56" s="225"/>
      <c r="D56" s="225"/>
      <c r="E56" s="68"/>
      <c r="F56" s="68"/>
      <c r="G56" s="69"/>
      <c r="H56" s="69"/>
      <c r="I56" s="72"/>
      <c r="J56" s="71"/>
      <c r="K56" s="68"/>
      <c r="L56" s="68"/>
      <c r="M56" s="68"/>
      <c r="N56" s="68"/>
      <c r="O56" s="68"/>
      <c r="P56" s="61">
        <f t="shared" si="0"/>
        <v>0</v>
      </c>
      <c r="Q56" s="61">
        <f t="shared" si="1"/>
        <v>0</v>
      </c>
      <c r="R56" s="61">
        <f t="shared" si="2"/>
        <v>0</v>
      </c>
      <c r="S56" s="61">
        <f t="shared" si="3"/>
        <v>0</v>
      </c>
      <c r="T56" s="61">
        <f t="shared" si="4"/>
        <v>0</v>
      </c>
      <c r="U56" s="61">
        <f t="shared" si="5"/>
        <v>0</v>
      </c>
      <c r="V56" s="61">
        <f t="shared" si="6"/>
        <v>0</v>
      </c>
      <c r="W56" s="61">
        <f t="shared" si="7"/>
        <v>0</v>
      </c>
      <c r="X56" s="61">
        <f t="shared" si="8"/>
        <v>0</v>
      </c>
      <c r="Y56" s="61">
        <f t="shared" si="9"/>
        <v>0</v>
      </c>
      <c r="Z56" s="73"/>
      <c r="AA56" s="73"/>
      <c r="AB56" s="73"/>
      <c r="AC56" s="73"/>
      <c r="AD56" s="73"/>
      <c r="AE56" s="73"/>
      <c r="AF56" s="73"/>
      <c r="AG56" s="73"/>
      <c r="AH56" s="73"/>
      <c r="AI56" s="73"/>
      <c r="AJ56" s="73"/>
    </row>
    <row r="57" spans="2:36" ht="15" customHeight="1">
      <c r="B57" s="67"/>
      <c r="C57" s="225"/>
      <c r="D57" s="225"/>
      <c r="E57" s="68"/>
      <c r="F57" s="68"/>
      <c r="G57" s="69"/>
      <c r="H57" s="69"/>
      <c r="I57" s="72"/>
      <c r="J57" s="71"/>
      <c r="K57" s="68"/>
      <c r="L57" s="68"/>
      <c r="M57" s="68"/>
      <c r="N57" s="68"/>
      <c r="O57" s="68"/>
      <c r="P57" s="61">
        <f t="shared" si="0"/>
        <v>0</v>
      </c>
      <c r="Q57" s="61">
        <f t="shared" si="1"/>
        <v>0</v>
      </c>
      <c r="R57" s="61">
        <f t="shared" si="2"/>
        <v>0</v>
      </c>
      <c r="S57" s="61">
        <f t="shared" si="3"/>
        <v>0</v>
      </c>
      <c r="T57" s="61">
        <f t="shared" si="4"/>
        <v>0</v>
      </c>
      <c r="U57" s="61">
        <f t="shared" si="5"/>
        <v>0</v>
      </c>
      <c r="V57" s="61">
        <f t="shared" si="6"/>
        <v>0</v>
      </c>
      <c r="W57" s="61">
        <f t="shared" si="7"/>
        <v>0</v>
      </c>
      <c r="X57" s="61">
        <f t="shared" si="8"/>
        <v>0</v>
      </c>
      <c r="Y57" s="61">
        <f t="shared" si="9"/>
        <v>0</v>
      </c>
      <c r="Z57" s="73"/>
      <c r="AA57" s="73"/>
      <c r="AB57" s="73"/>
      <c r="AC57" s="73"/>
      <c r="AD57" s="73"/>
      <c r="AE57" s="73"/>
      <c r="AF57" s="73"/>
      <c r="AG57" s="73"/>
      <c r="AH57" s="73"/>
      <c r="AI57" s="73"/>
      <c r="AJ57" s="73"/>
    </row>
    <row r="58" spans="2:36" ht="15" customHeight="1">
      <c r="B58" s="67"/>
      <c r="C58" s="225"/>
      <c r="D58" s="225"/>
      <c r="E58" s="68"/>
      <c r="F58" s="68"/>
      <c r="G58" s="69"/>
      <c r="H58" s="69"/>
      <c r="I58" s="72"/>
      <c r="J58" s="71"/>
      <c r="K58" s="68"/>
      <c r="L58" s="68"/>
      <c r="M58" s="68"/>
      <c r="N58" s="68"/>
      <c r="O58" s="68"/>
      <c r="P58" s="61">
        <f t="shared" si="0"/>
        <v>0</v>
      </c>
      <c r="Q58" s="61">
        <f t="shared" si="1"/>
        <v>0</v>
      </c>
      <c r="R58" s="61">
        <f t="shared" si="2"/>
        <v>0</v>
      </c>
      <c r="S58" s="61">
        <f t="shared" si="3"/>
        <v>0</v>
      </c>
      <c r="T58" s="61">
        <f t="shared" si="4"/>
        <v>0</v>
      </c>
      <c r="U58" s="61">
        <f t="shared" si="5"/>
        <v>0</v>
      </c>
      <c r="V58" s="61">
        <f t="shared" si="6"/>
        <v>0</v>
      </c>
      <c r="W58" s="61">
        <f t="shared" si="7"/>
        <v>0</v>
      </c>
      <c r="X58" s="61">
        <f t="shared" si="8"/>
        <v>0</v>
      </c>
      <c r="Y58" s="61">
        <f t="shared" si="9"/>
        <v>0</v>
      </c>
      <c r="Z58" s="73"/>
      <c r="AA58" s="73"/>
      <c r="AB58" s="73"/>
      <c r="AC58" s="73"/>
      <c r="AD58" s="73"/>
      <c r="AE58" s="73"/>
      <c r="AF58" s="73"/>
      <c r="AG58" s="73"/>
      <c r="AH58" s="73"/>
      <c r="AI58" s="73"/>
      <c r="AJ58" s="73"/>
    </row>
    <row r="59" spans="2:36" ht="15" customHeight="1">
      <c r="B59" s="67"/>
      <c r="C59" s="225"/>
      <c r="D59" s="225"/>
      <c r="E59" s="68"/>
      <c r="F59" s="68"/>
      <c r="G59" s="69"/>
      <c r="H59" s="69"/>
      <c r="I59" s="72"/>
      <c r="J59" s="71"/>
      <c r="K59" s="68"/>
      <c r="L59" s="68"/>
      <c r="M59" s="68"/>
      <c r="N59" s="68"/>
      <c r="O59" s="68"/>
      <c r="P59" s="61">
        <f t="shared" si="0"/>
        <v>0</v>
      </c>
      <c r="Q59" s="61">
        <f t="shared" si="1"/>
        <v>0</v>
      </c>
      <c r="R59" s="61">
        <f t="shared" si="2"/>
        <v>0</v>
      </c>
      <c r="S59" s="61">
        <f t="shared" si="3"/>
        <v>0</v>
      </c>
      <c r="T59" s="61">
        <f t="shared" si="4"/>
        <v>0</v>
      </c>
      <c r="U59" s="61">
        <f t="shared" si="5"/>
        <v>0</v>
      </c>
      <c r="V59" s="61">
        <f t="shared" si="6"/>
        <v>0</v>
      </c>
      <c r="W59" s="61">
        <f t="shared" si="7"/>
        <v>0</v>
      </c>
      <c r="X59" s="61">
        <f t="shared" si="8"/>
        <v>0</v>
      </c>
      <c r="Y59" s="61">
        <f t="shared" si="9"/>
        <v>0</v>
      </c>
      <c r="Z59" s="73"/>
      <c r="AA59" s="73"/>
      <c r="AB59" s="73"/>
      <c r="AC59" s="73"/>
      <c r="AD59" s="73"/>
      <c r="AE59" s="73"/>
      <c r="AF59" s="73"/>
      <c r="AG59" s="73"/>
      <c r="AH59" s="73"/>
      <c r="AI59" s="73"/>
      <c r="AJ59" s="73"/>
    </row>
    <row r="60" spans="2:36" ht="15" customHeight="1">
      <c r="B60" s="67"/>
      <c r="C60" s="225"/>
      <c r="D60" s="225"/>
      <c r="E60" s="68"/>
      <c r="F60" s="68"/>
      <c r="G60" s="69"/>
      <c r="H60" s="69"/>
      <c r="I60" s="72"/>
      <c r="J60" s="71"/>
      <c r="K60" s="68"/>
      <c r="L60" s="68"/>
      <c r="M60" s="68"/>
      <c r="N60" s="68"/>
      <c r="O60" s="68"/>
      <c r="P60" s="61">
        <f t="shared" si="0"/>
        <v>0</v>
      </c>
      <c r="Q60" s="61">
        <f t="shared" si="1"/>
        <v>0</v>
      </c>
      <c r="R60" s="61">
        <f t="shared" si="2"/>
        <v>0</v>
      </c>
      <c r="S60" s="61">
        <f t="shared" si="3"/>
        <v>0</v>
      </c>
      <c r="T60" s="61">
        <f t="shared" si="4"/>
        <v>0</v>
      </c>
      <c r="U60" s="61">
        <f t="shared" si="5"/>
        <v>0</v>
      </c>
      <c r="V60" s="61">
        <f t="shared" si="6"/>
        <v>0</v>
      </c>
      <c r="W60" s="61">
        <f t="shared" si="7"/>
        <v>0</v>
      </c>
      <c r="X60" s="61">
        <f t="shared" si="8"/>
        <v>0</v>
      </c>
      <c r="Y60" s="61">
        <f t="shared" si="9"/>
        <v>0</v>
      </c>
      <c r="Z60" s="73"/>
      <c r="AA60" s="73"/>
      <c r="AB60" s="73"/>
      <c r="AC60" s="73"/>
      <c r="AD60" s="73"/>
      <c r="AE60" s="73"/>
      <c r="AF60" s="73"/>
      <c r="AG60" s="73"/>
      <c r="AH60" s="73"/>
      <c r="AI60" s="73"/>
      <c r="AJ60" s="73"/>
    </row>
    <row r="61" spans="2:36" ht="15" customHeight="1">
      <c r="B61" s="67"/>
      <c r="C61" s="225"/>
      <c r="D61" s="225"/>
      <c r="E61" s="68"/>
      <c r="F61" s="68"/>
      <c r="G61" s="69"/>
      <c r="H61" s="69"/>
      <c r="I61" s="72"/>
      <c r="J61" s="71"/>
      <c r="K61" s="68"/>
      <c r="L61" s="68"/>
      <c r="M61" s="68"/>
      <c r="N61" s="68"/>
      <c r="O61" s="68"/>
      <c r="P61" s="61">
        <f t="shared" si="0"/>
        <v>0</v>
      </c>
      <c r="Q61" s="61">
        <f t="shared" si="1"/>
        <v>0</v>
      </c>
      <c r="R61" s="61">
        <f t="shared" si="2"/>
        <v>0</v>
      </c>
      <c r="S61" s="61">
        <f t="shared" si="3"/>
        <v>0</v>
      </c>
      <c r="T61" s="61">
        <f t="shared" si="4"/>
        <v>0</v>
      </c>
      <c r="U61" s="61">
        <f t="shared" si="5"/>
        <v>0</v>
      </c>
      <c r="V61" s="61">
        <f t="shared" si="6"/>
        <v>0</v>
      </c>
      <c r="W61" s="61">
        <f t="shared" si="7"/>
        <v>0</v>
      </c>
      <c r="X61" s="61">
        <f t="shared" si="8"/>
        <v>0</v>
      </c>
      <c r="Y61" s="61">
        <f t="shared" si="9"/>
        <v>0</v>
      </c>
      <c r="Z61" s="73"/>
      <c r="AA61" s="73"/>
      <c r="AB61" s="73"/>
      <c r="AC61" s="73"/>
      <c r="AD61" s="73"/>
      <c r="AE61" s="73"/>
      <c r="AF61" s="73"/>
      <c r="AG61" s="73"/>
      <c r="AH61" s="73"/>
      <c r="AI61" s="73"/>
      <c r="AJ61" s="73"/>
    </row>
    <row r="62" spans="2:36" ht="15" customHeight="1">
      <c r="B62" s="67"/>
      <c r="C62" s="225"/>
      <c r="D62" s="225"/>
      <c r="E62" s="68"/>
      <c r="F62" s="68"/>
      <c r="G62" s="69"/>
      <c r="H62" s="69"/>
      <c r="I62" s="72"/>
      <c r="J62" s="71"/>
      <c r="K62" s="68"/>
      <c r="L62" s="68"/>
      <c r="M62" s="68"/>
      <c r="N62" s="68"/>
      <c r="O62" s="68"/>
      <c r="P62" s="61">
        <f t="shared" si="0"/>
        <v>0</v>
      </c>
      <c r="Q62" s="61">
        <f t="shared" si="1"/>
        <v>0</v>
      </c>
      <c r="R62" s="61">
        <f t="shared" si="2"/>
        <v>0</v>
      </c>
      <c r="S62" s="61">
        <f t="shared" si="3"/>
        <v>0</v>
      </c>
      <c r="T62" s="61">
        <f t="shared" si="4"/>
        <v>0</v>
      </c>
      <c r="U62" s="61">
        <f t="shared" si="5"/>
        <v>0</v>
      </c>
      <c r="V62" s="61">
        <f t="shared" si="6"/>
        <v>0</v>
      </c>
      <c r="W62" s="61">
        <f t="shared" si="7"/>
        <v>0</v>
      </c>
      <c r="X62" s="61">
        <f t="shared" si="8"/>
        <v>0</v>
      </c>
      <c r="Y62" s="61">
        <f t="shared" si="9"/>
        <v>0</v>
      </c>
      <c r="Z62" s="73"/>
      <c r="AA62" s="73"/>
      <c r="AB62" s="73"/>
      <c r="AC62" s="73"/>
      <c r="AD62" s="73"/>
      <c r="AE62" s="73"/>
      <c r="AF62" s="73"/>
      <c r="AG62" s="73"/>
      <c r="AH62" s="73"/>
      <c r="AI62" s="73"/>
      <c r="AJ62" s="73"/>
    </row>
    <row r="63" spans="2:36" ht="15" customHeight="1">
      <c r="B63" s="67"/>
      <c r="C63" s="225"/>
      <c r="D63" s="225"/>
      <c r="E63" s="68"/>
      <c r="F63" s="68"/>
      <c r="G63" s="69"/>
      <c r="H63" s="69"/>
      <c r="I63" s="72"/>
      <c r="J63" s="71"/>
      <c r="K63" s="68"/>
      <c r="L63" s="68"/>
      <c r="M63" s="68"/>
      <c r="N63" s="68"/>
      <c r="O63" s="68"/>
      <c r="P63" s="61">
        <f t="shared" si="0"/>
        <v>0</v>
      </c>
      <c r="Q63" s="61">
        <f t="shared" si="1"/>
        <v>0</v>
      </c>
      <c r="R63" s="61">
        <f t="shared" si="2"/>
        <v>0</v>
      </c>
      <c r="S63" s="61">
        <f t="shared" si="3"/>
        <v>0</v>
      </c>
      <c r="T63" s="61">
        <f t="shared" si="4"/>
        <v>0</v>
      </c>
      <c r="U63" s="61">
        <f t="shared" si="5"/>
        <v>0</v>
      </c>
      <c r="V63" s="61">
        <f t="shared" si="6"/>
        <v>0</v>
      </c>
      <c r="W63" s="61">
        <f t="shared" si="7"/>
        <v>0</v>
      </c>
      <c r="X63" s="61">
        <f t="shared" si="8"/>
        <v>0</v>
      </c>
      <c r="Y63" s="61">
        <f t="shared" si="9"/>
        <v>0</v>
      </c>
      <c r="Z63" s="73"/>
      <c r="AA63" s="73"/>
      <c r="AB63" s="73"/>
      <c r="AC63" s="73"/>
      <c r="AD63" s="73"/>
      <c r="AE63" s="73"/>
      <c r="AF63" s="73"/>
      <c r="AG63" s="73"/>
      <c r="AH63" s="73"/>
      <c r="AI63" s="73"/>
      <c r="AJ63" s="73"/>
    </row>
    <row r="64" spans="2:36" ht="15" customHeight="1">
      <c r="B64" s="67"/>
      <c r="C64" s="225"/>
      <c r="D64" s="225"/>
      <c r="E64" s="68"/>
      <c r="F64" s="68"/>
      <c r="G64" s="69"/>
      <c r="H64" s="69"/>
      <c r="I64" s="72"/>
      <c r="J64" s="71"/>
      <c r="K64" s="68"/>
      <c r="L64" s="68"/>
      <c r="M64" s="68"/>
      <c r="N64" s="68"/>
      <c r="O64" s="68"/>
      <c r="P64" s="61">
        <f t="shared" si="0"/>
        <v>0</v>
      </c>
      <c r="Q64" s="61">
        <f t="shared" si="1"/>
        <v>0</v>
      </c>
      <c r="R64" s="61">
        <f t="shared" si="2"/>
        <v>0</v>
      </c>
      <c r="S64" s="61">
        <f t="shared" si="3"/>
        <v>0</v>
      </c>
      <c r="T64" s="61">
        <f t="shared" si="4"/>
        <v>0</v>
      </c>
      <c r="U64" s="61">
        <f t="shared" si="5"/>
        <v>0</v>
      </c>
      <c r="V64" s="61">
        <f t="shared" si="6"/>
        <v>0</v>
      </c>
      <c r="W64" s="61">
        <f t="shared" si="7"/>
        <v>0</v>
      </c>
      <c r="X64" s="61">
        <f t="shared" si="8"/>
        <v>0</v>
      </c>
      <c r="Y64" s="61">
        <f t="shared" si="9"/>
        <v>0</v>
      </c>
      <c r="Z64" s="73"/>
      <c r="AA64" s="73"/>
      <c r="AB64" s="73"/>
      <c r="AC64" s="73"/>
      <c r="AD64" s="73"/>
      <c r="AE64" s="73"/>
      <c r="AF64" s="73"/>
      <c r="AG64" s="73"/>
      <c r="AH64" s="73"/>
      <c r="AI64" s="73"/>
      <c r="AJ64" s="73"/>
    </row>
    <row r="65" spans="2:36" ht="15" customHeight="1">
      <c r="B65" s="67"/>
      <c r="C65" s="225"/>
      <c r="D65" s="225"/>
      <c r="E65" s="68"/>
      <c r="F65" s="68"/>
      <c r="G65" s="69"/>
      <c r="H65" s="69"/>
      <c r="I65" s="72"/>
      <c r="J65" s="71"/>
      <c r="K65" s="68"/>
      <c r="L65" s="68"/>
      <c r="M65" s="68"/>
      <c r="N65" s="68"/>
      <c r="O65" s="68"/>
      <c r="P65" s="61">
        <f t="shared" si="0"/>
        <v>0</v>
      </c>
      <c r="Q65" s="61">
        <f t="shared" si="1"/>
        <v>0</v>
      </c>
      <c r="R65" s="61">
        <f t="shared" si="2"/>
        <v>0</v>
      </c>
      <c r="S65" s="61">
        <f t="shared" si="3"/>
        <v>0</v>
      </c>
      <c r="T65" s="61">
        <f t="shared" si="4"/>
        <v>0</v>
      </c>
      <c r="U65" s="61">
        <f t="shared" si="5"/>
        <v>0</v>
      </c>
      <c r="V65" s="61">
        <f t="shared" si="6"/>
        <v>0</v>
      </c>
      <c r="W65" s="61">
        <f t="shared" si="7"/>
        <v>0</v>
      </c>
      <c r="X65" s="61">
        <f t="shared" si="8"/>
        <v>0</v>
      </c>
      <c r="Y65" s="61">
        <f t="shared" si="9"/>
        <v>0</v>
      </c>
      <c r="Z65" s="73"/>
      <c r="AA65" s="73"/>
      <c r="AB65" s="73"/>
      <c r="AC65" s="73"/>
      <c r="AD65" s="73"/>
      <c r="AE65" s="73"/>
      <c r="AF65" s="73"/>
      <c r="AG65" s="73"/>
      <c r="AH65" s="73"/>
      <c r="AI65" s="73"/>
      <c r="AJ65" s="73"/>
    </row>
    <row r="66" spans="2:36" ht="15" customHeight="1">
      <c r="B66" s="67"/>
      <c r="C66" s="225"/>
      <c r="D66" s="225"/>
      <c r="E66" s="68"/>
      <c r="F66" s="68"/>
      <c r="G66" s="69"/>
      <c r="H66" s="69"/>
      <c r="I66" s="72"/>
      <c r="J66" s="71"/>
      <c r="K66" s="68"/>
      <c r="L66" s="68"/>
      <c r="M66" s="68"/>
      <c r="N66" s="68"/>
      <c r="O66" s="68"/>
      <c r="P66" s="61">
        <f t="shared" si="0"/>
        <v>0</v>
      </c>
      <c r="Q66" s="61">
        <f t="shared" si="1"/>
        <v>0</v>
      </c>
      <c r="R66" s="61">
        <f t="shared" si="2"/>
        <v>0</v>
      </c>
      <c r="S66" s="61">
        <f t="shared" si="3"/>
        <v>0</v>
      </c>
      <c r="T66" s="61">
        <f t="shared" si="4"/>
        <v>0</v>
      </c>
      <c r="U66" s="61">
        <f t="shared" si="5"/>
        <v>0</v>
      </c>
      <c r="V66" s="61">
        <f t="shared" si="6"/>
        <v>0</v>
      </c>
      <c r="W66" s="61">
        <f t="shared" si="7"/>
        <v>0</v>
      </c>
      <c r="X66" s="61">
        <f t="shared" si="8"/>
        <v>0</v>
      </c>
      <c r="Y66" s="61">
        <f t="shared" si="9"/>
        <v>0</v>
      </c>
      <c r="Z66" s="73"/>
      <c r="AA66" s="73"/>
      <c r="AB66" s="73"/>
      <c r="AC66" s="73"/>
      <c r="AD66" s="73"/>
      <c r="AE66" s="73"/>
      <c r="AF66" s="73"/>
      <c r="AG66" s="73"/>
      <c r="AH66" s="73"/>
      <c r="AI66" s="73"/>
      <c r="AJ66" s="73"/>
    </row>
    <row r="67" spans="2:36" ht="15" customHeight="1">
      <c r="B67" s="67"/>
      <c r="C67" s="225"/>
      <c r="D67" s="225"/>
      <c r="E67" s="68"/>
      <c r="F67" s="68"/>
      <c r="G67" s="69"/>
      <c r="H67" s="69"/>
      <c r="I67" s="72"/>
      <c r="J67" s="71"/>
      <c r="K67" s="68"/>
      <c r="L67" s="68"/>
      <c r="M67" s="68"/>
      <c r="N67" s="68"/>
      <c r="O67" s="68"/>
      <c r="P67" s="61">
        <f t="shared" si="0"/>
        <v>0</v>
      </c>
      <c r="Q67" s="61">
        <f t="shared" si="1"/>
        <v>0</v>
      </c>
      <c r="R67" s="61">
        <f t="shared" si="2"/>
        <v>0</v>
      </c>
      <c r="S67" s="61">
        <f t="shared" si="3"/>
        <v>0</v>
      </c>
      <c r="T67" s="61">
        <f t="shared" si="4"/>
        <v>0</v>
      </c>
      <c r="U67" s="61">
        <f t="shared" si="5"/>
        <v>0</v>
      </c>
      <c r="V67" s="61">
        <f t="shared" si="6"/>
        <v>0</v>
      </c>
      <c r="W67" s="61">
        <f t="shared" si="7"/>
        <v>0</v>
      </c>
      <c r="X67" s="61">
        <f t="shared" si="8"/>
        <v>0</v>
      </c>
      <c r="Y67" s="61">
        <f t="shared" si="9"/>
        <v>0</v>
      </c>
      <c r="Z67" s="73"/>
      <c r="AA67" s="73"/>
      <c r="AB67" s="73"/>
      <c r="AC67" s="73"/>
      <c r="AD67" s="73"/>
      <c r="AE67" s="73"/>
      <c r="AF67" s="73"/>
      <c r="AG67" s="73"/>
      <c r="AH67" s="73"/>
      <c r="AI67" s="73"/>
      <c r="AJ67" s="73"/>
    </row>
    <row r="68" spans="2:36" ht="15" customHeight="1">
      <c r="B68" s="67"/>
      <c r="C68" s="225"/>
      <c r="D68" s="225"/>
      <c r="E68" s="68"/>
      <c r="F68" s="68"/>
      <c r="G68" s="69"/>
      <c r="H68" s="69"/>
      <c r="I68" s="72"/>
      <c r="J68" s="71"/>
      <c r="K68" s="68"/>
      <c r="L68" s="68"/>
      <c r="M68" s="68"/>
      <c r="N68" s="68"/>
      <c r="O68" s="68"/>
      <c r="P68" s="61">
        <f t="shared" si="0"/>
        <v>0</v>
      </c>
      <c r="Q68" s="61">
        <f t="shared" si="1"/>
        <v>0</v>
      </c>
      <c r="R68" s="61">
        <f t="shared" si="2"/>
        <v>0</v>
      </c>
      <c r="S68" s="61">
        <f t="shared" si="3"/>
        <v>0</v>
      </c>
      <c r="T68" s="61">
        <f t="shared" si="4"/>
        <v>0</v>
      </c>
      <c r="U68" s="61">
        <f t="shared" si="5"/>
        <v>0</v>
      </c>
      <c r="V68" s="61">
        <f t="shared" si="6"/>
        <v>0</v>
      </c>
      <c r="W68" s="61">
        <f t="shared" si="7"/>
        <v>0</v>
      </c>
      <c r="X68" s="61">
        <f t="shared" si="8"/>
        <v>0</v>
      </c>
      <c r="Y68" s="61">
        <f t="shared" si="9"/>
        <v>0</v>
      </c>
      <c r="Z68" s="73"/>
      <c r="AA68" s="73"/>
      <c r="AB68" s="73"/>
      <c r="AC68" s="73"/>
      <c r="AD68" s="73"/>
      <c r="AE68" s="73"/>
      <c r="AF68" s="73"/>
      <c r="AG68" s="73"/>
      <c r="AH68" s="73"/>
      <c r="AI68" s="73"/>
      <c r="AJ68" s="73"/>
    </row>
    <row r="69" spans="2:36" ht="15" customHeight="1">
      <c r="B69" s="67"/>
      <c r="C69" s="225"/>
      <c r="D69" s="225"/>
      <c r="E69" s="68"/>
      <c r="F69" s="68"/>
      <c r="G69" s="69"/>
      <c r="H69" s="69"/>
      <c r="I69" s="72"/>
      <c r="J69" s="71"/>
      <c r="K69" s="68"/>
      <c r="L69" s="68"/>
      <c r="M69" s="68"/>
      <c r="N69" s="68"/>
      <c r="O69" s="68"/>
      <c r="P69" s="61">
        <f t="shared" si="0"/>
        <v>0</v>
      </c>
      <c r="Q69" s="61">
        <f t="shared" si="1"/>
        <v>0</v>
      </c>
      <c r="R69" s="61">
        <f t="shared" si="2"/>
        <v>0</v>
      </c>
      <c r="S69" s="61">
        <f t="shared" si="3"/>
        <v>0</v>
      </c>
      <c r="T69" s="61">
        <f t="shared" si="4"/>
        <v>0</v>
      </c>
      <c r="U69" s="61">
        <f t="shared" si="5"/>
        <v>0</v>
      </c>
      <c r="V69" s="61">
        <f t="shared" si="6"/>
        <v>0</v>
      </c>
      <c r="W69" s="61">
        <f t="shared" si="7"/>
        <v>0</v>
      </c>
      <c r="X69" s="61">
        <f t="shared" si="8"/>
        <v>0</v>
      </c>
      <c r="Y69" s="61">
        <f t="shared" si="9"/>
        <v>0</v>
      </c>
      <c r="Z69" s="73"/>
      <c r="AA69" s="73"/>
      <c r="AB69" s="73"/>
      <c r="AC69" s="73"/>
      <c r="AD69" s="73"/>
      <c r="AE69" s="73"/>
      <c r="AF69" s="73"/>
      <c r="AG69" s="73"/>
      <c r="AH69" s="73"/>
      <c r="AI69" s="73"/>
      <c r="AJ69" s="73"/>
    </row>
    <row r="70" spans="2:36" ht="15" customHeight="1">
      <c r="B70" s="67"/>
      <c r="C70" s="225"/>
      <c r="D70" s="225"/>
      <c r="E70" s="68"/>
      <c r="F70" s="68"/>
      <c r="G70" s="69"/>
      <c r="H70" s="69"/>
      <c r="I70" s="72"/>
      <c r="J70" s="71"/>
      <c r="K70" s="68"/>
      <c r="L70" s="68"/>
      <c r="M70" s="68"/>
      <c r="N70" s="68"/>
      <c r="O70" s="68"/>
      <c r="P70" s="61">
        <f t="shared" si="0"/>
        <v>0</v>
      </c>
      <c r="Q70" s="61">
        <f t="shared" si="1"/>
        <v>0</v>
      </c>
      <c r="R70" s="61">
        <f t="shared" si="2"/>
        <v>0</v>
      </c>
      <c r="S70" s="61">
        <f t="shared" si="3"/>
        <v>0</v>
      </c>
      <c r="T70" s="61">
        <f t="shared" si="4"/>
        <v>0</v>
      </c>
      <c r="U70" s="61">
        <f t="shared" si="5"/>
        <v>0</v>
      </c>
      <c r="V70" s="61">
        <f t="shared" si="6"/>
        <v>0</v>
      </c>
      <c r="W70" s="61">
        <f t="shared" si="7"/>
        <v>0</v>
      </c>
      <c r="X70" s="61">
        <f t="shared" si="8"/>
        <v>0</v>
      </c>
      <c r="Y70" s="61">
        <f t="shared" si="9"/>
        <v>0</v>
      </c>
      <c r="Z70" s="73"/>
      <c r="AA70" s="73"/>
      <c r="AB70" s="73"/>
      <c r="AC70" s="73"/>
      <c r="AD70" s="73"/>
      <c r="AE70" s="73"/>
      <c r="AF70" s="73"/>
      <c r="AG70" s="73"/>
      <c r="AH70" s="73"/>
      <c r="AI70" s="73"/>
      <c r="AJ70" s="73"/>
    </row>
    <row r="71" spans="2:36" ht="15" customHeight="1">
      <c r="B71" s="67"/>
      <c r="C71" s="225"/>
      <c r="D71" s="225"/>
      <c r="E71" s="68"/>
      <c r="F71" s="68"/>
      <c r="G71" s="69"/>
      <c r="H71" s="69"/>
      <c r="I71" s="72"/>
      <c r="J71" s="71"/>
      <c r="K71" s="68"/>
      <c r="L71" s="68"/>
      <c r="M71" s="68"/>
      <c r="N71" s="68"/>
      <c r="O71" s="68"/>
      <c r="P71" s="61">
        <f t="shared" si="0"/>
        <v>0</v>
      </c>
      <c r="Q71" s="61">
        <f t="shared" si="1"/>
        <v>0</v>
      </c>
      <c r="R71" s="61">
        <f t="shared" si="2"/>
        <v>0</v>
      </c>
      <c r="S71" s="61">
        <f t="shared" si="3"/>
        <v>0</v>
      </c>
      <c r="T71" s="61">
        <f t="shared" si="4"/>
        <v>0</v>
      </c>
      <c r="U71" s="61">
        <f t="shared" si="5"/>
        <v>0</v>
      </c>
      <c r="V71" s="61">
        <f t="shared" si="6"/>
        <v>0</v>
      </c>
      <c r="W71" s="61">
        <f t="shared" si="7"/>
        <v>0</v>
      </c>
      <c r="X71" s="61">
        <f t="shared" si="8"/>
        <v>0</v>
      </c>
      <c r="Y71" s="61">
        <f t="shared" si="9"/>
        <v>0</v>
      </c>
      <c r="Z71" s="73"/>
      <c r="AA71" s="73"/>
      <c r="AB71" s="73"/>
      <c r="AC71" s="73"/>
      <c r="AD71" s="73"/>
      <c r="AE71" s="73"/>
      <c r="AF71" s="73"/>
      <c r="AG71" s="73"/>
      <c r="AH71" s="73"/>
      <c r="AI71" s="73"/>
      <c r="AJ71" s="73"/>
    </row>
    <row r="72" spans="2:36" ht="15" customHeight="1">
      <c r="B72" s="67"/>
      <c r="C72" s="225"/>
      <c r="D72" s="225"/>
      <c r="E72" s="68"/>
      <c r="F72" s="68"/>
      <c r="G72" s="69"/>
      <c r="H72" s="69"/>
      <c r="I72" s="72"/>
      <c r="J72" s="71"/>
      <c r="K72" s="68"/>
      <c r="L72" s="68"/>
      <c r="M72" s="68"/>
      <c r="N72" s="68"/>
      <c r="O72" s="68"/>
      <c r="P72" s="61">
        <f t="shared" si="0"/>
        <v>0</v>
      </c>
      <c r="Q72" s="61">
        <f t="shared" si="1"/>
        <v>0</v>
      </c>
      <c r="R72" s="61">
        <f t="shared" si="2"/>
        <v>0</v>
      </c>
      <c r="S72" s="61">
        <f t="shared" si="3"/>
        <v>0</v>
      </c>
      <c r="T72" s="61">
        <f t="shared" si="4"/>
        <v>0</v>
      </c>
      <c r="U72" s="61">
        <f t="shared" si="5"/>
        <v>0</v>
      </c>
      <c r="V72" s="61">
        <f t="shared" si="6"/>
        <v>0</v>
      </c>
      <c r="W72" s="61">
        <f t="shared" si="7"/>
        <v>0</v>
      </c>
      <c r="X72" s="61">
        <f t="shared" si="8"/>
        <v>0</v>
      </c>
      <c r="Y72" s="61">
        <f t="shared" si="9"/>
        <v>0</v>
      </c>
      <c r="Z72" s="73"/>
      <c r="AA72" s="73"/>
      <c r="AB72" s="73"/>
      <c r="AC72" s="73"/>
      <c r="AD72" s="73"/>
      <c r="AE72" s="73"/>
      <c r="AF72" s="73"/>
      <c r="AG72" s="73"/>
      <c r="AH72" s="73"/>
      <c r="AI72" s="73"/>
      <c r="AJ72" s="73"/>
    </row>
    <row r="73" spans="2:36" ht="15" customHeight="1">
      <c r="B73" s="67"/>
      <c r="C73" s="225"/>
      <c r="D73" s="225"/>
      <c r="E73" s="68"/>
      <c r="F73" s="68"/>
      <c r="G73" s="69"/>
      <c r="H73" s="69"/>
      <c r="I73" s="72"/>
      <c r="J73" s="71"/>
      <c r="K73" s="68"/>
      <c r="L73" s="68"/>
      <c r="M73" s="68"/>
      <c r="N73" s="68"/>
      <c r="O73" s="68"/>
      <c r="P73" s="61">
        <f t="shared" si="0"/>
        <v>0</v>
      </c>
      <c r="Q73" s="61">
        <f t="shared" si="1"/>
        <v>0</v>
      </c>
      <c r="R73" s="61">
        <f t="shared" si="2"/>
        <v>0</v>
      </c>
      <c r="S73" s="61">
        <f t="shared" si="3"/>
        <v>0</v>
      </c>
      <c r="T73" s="61">
        <f t="shared" si="4"/>
        <v>0</v>
      </c>
      <c r="U73" s="61">
        <f t="shared" si="5"/>
        <v>0</v>
      </c>
      <c r="V73" s="61">
        <f t="shared" si="6"/>
        <v>0</v>
      </c>
      <c r="W73" s="61">
        <f t="shared" si="7"/>
        <v>0</v>
      </c>
      <c r="X73" s="61">
        <f t="shared" si="8"/>
        <v>0</v>
      </c>
      <c r="Y73" s="61">
        <f t="shared" si="9"/>
        <v>0</v>
      </c>
      <c r="Z73" s="73"/>
      <c r="AA73" s="73"/>
      <c r="AB73" s="73"/>
      <c r="AC73" s="73"/>
      <c r="AD73" s="73"/>
      <c r="AE73" s="73"/>
      <c r="AF73" s="73"/>
      <c r="AG73" s="73"/>
      <c r="AH73" s="73"/>
      <c r="AI73" s="73"/>
      <c r="AJ73" s="73"/>
    </row>
    <row r="74" spans="2:36" ht="15" customHeight="1">
      <c r="B74" s="67"/>
      <c r="C74" s="225"/>
      <c r="D74" s="225"/>
      <c r="E74" s="68"/>
      <c r="F74" s="68"/>
      <c r="G74" s="69"/>
      <c r="H74" s="69"/>
      <c r="I74" s="72"/>
      <c r="J74" s="71"/>
      <c r="K74" s="68"/>
      <c r="L74" s="68"/>
      <c r="M74" s="68"/>
      <c r="N74" s="68"/>
      <c r="O74" s="68"/>
      <c r="P74" s="61">
        <f t="shared" si="0"/>
        <v>0</v>
      </c>
      <c r="Q74" s="61">
        <f t="shared" si="1"/>
        <v>0</v>
      </c>
      <c r="R74" s="61">
        <f t="shared" si="2"/>
        <v>0</v>
      </c>
      <c r="S74" s="61">
        <f t="shared" si="3"/>
        <v>0</v>
      </c>
      <c r="T74" s="61">
        <f t="shared" si="4"/>
        <v>0</v>
      </c>
      <c r="U74" s="61">
        <f t="shared" si="5"/>
        <v>0</v>
      </c>
      <c r="V74" s="61">
        <f t="shared" si="6"/>
        <v>0</v>
      </c>
      <c r="W74" s="61">
        <f t="shared" si="7"/>
        <v>0</v>
      </c>
      <c r="X74" s="61">
        <f t="shared" si="8"/>
        <v>0</v>
      </c>
      <c r="Y74" s="61">
        <f t="shared" si="9"/>
        <v>0</v>
      </c>
      <c r="Z74" s="73"/>
      <c r="AA74" s="73"/>
      <c r="AB74" s="73"/>
      <c r="AC74" s="73"/>
      <c r="AD74" s="73"/>
      <c r="AE74" s="73"/>
      <c r="AF74" s="73"/>
      <c r="AG74" s="73"/>
      <c r="AH74" s="73"/>
      <c r="AI74" s="73"/>
      <c r="AJ74" s="73"/>
    </row>
    <row r="75" spans="2:36" ht="15" customHeight="1">
      <c r="B75" s="67"/>
      <c r="C75" s="225"/>
      <c r="D75" s="225"/>
      <c r="E75" s="68"/>
      <c r="F75" s="68"/>
      <c r="G75" s="69"/>
      <c r="H75" s="69"/>
      <c r="I75" s="72"/>
      <c r="J75" s="71"/>
      <c r="K75" s="68"/>
      <c r="L75" s="68"/>
      <c r="M75" s="68"/>
      <c r="N75" s="68"/>
      <c r="O75" s="68"/>
      <c r="P75" s="61">
        <f t="shared" si="0"/>
        <v>0</v>
      </c>
      <c r="Q75" s="61">
        <f t="shared" si="1"/>
        <v>0</v>
      </c>
      <c r="R75" s="61">
        <f t="shared" si="2"/>
        <v>0</v>
      </c>
      <c r="S75" s="61">
        <f t="shared" si="3"/>
        <v>0</v>
      </c>
      <c r="T75" s="61">
        <f t="shared" si="4"/>
        <v>0</v>
      </c>
      <c r="U75" s="61">
        <f t="shared" si="5"/>
        <v>0</v>
      </c>
      <c r="V75" s="61">
        <f t="shared" si="6"/>
        <v>0</v>
      </c>
      <c r="W75" s="61">
        <f t="shared" si="7"/>
        <v>0</v>
      </c>
      <c r="X75" s="61">
        <f t="shared" si="8"/>
        <v>0</v>
      </c>
      <c r="Y75" s="61">
        <f t="shared" si="9"/>
        <v>0</v>
      </c>
      <c r="Z75" s="73"/>
      <c r="AA75" s="73"/>
      <c r="AB75" s="73"/>
      <c r="AC75" s="73"/>
      <c r="AD75" s="73"/>
      <c r="AE75" s="73"/>
      <c r="AF75" s="73"/>
      <c r="AG75" s="73"/>
      <c r="AH75" s="73"/>
      <c r="AI75" s="73"/>
      <c r="AJ75" s="73"/>
    </row>
    <row r="76" spans="2:36" ht="15" customHeight="1">
      <c r="B76" s="67"/>
      <c r="C76" s="225"/>
      <c r="D76" s="225"/>
      <c r="E76" s="68"/>
      <c r="F76" s="68"/>
      <c r="G76" s="69"/>
      <c r="H76" s="69"/>
      <c r="I76" s="72"/>
      <c r="J76" s="71"/>
      <c r="K76" s="68"/>
      <c r="L76" s="68"/>
      <c r="M76" s="68"/>
      <c r="N76" s="68"/>
      <c r="O76" s="68"/>
      <c r="P76" s="61">
        <f t="shared" si="0"/>
        <v>0</v>
      </c>
      <c r="Q76" s="61">
        <f t="shared" si="1"/>
        <v>0</v>
      </c>
      <c r="R76" s="61">
        <f t="shared" si="2"/>
        <v>0</v>
      </c>
      <c r="S76" s="61">
        <f t="shared" si="3"/>
        <v>0</v>
      </c>
      <c r="T76" s="61">
        <f t="shared" si="4"/>
        <v>0</v>
      </c>
      <c r="U76" s="61">
        <f t="shared" si="5"/>
        <v>0</v>
      </c>
      <c r="V76" s="61">
        <f t="shared" si="6"/>
        <v>0</v>
      </c>
      <c r="W76" s="61">
        <f t="shared" si="7"/>
        <v>0</v>
      </c>
      <c r="X76" s="61">
        <f t="shared" si="8"/>
        <v>0</v>
      </c>
      <c r="Y76" s="61">
        <f t="shared" si="9"/>
        <v>0</v>
      </c>
      <c r="Z76" s="73"/>
      <c r="AA76" s="73"/>
      <c r="AB76" s="73"/>
      <c r="AC76" s="73"/>
      <c r="AD76" s="73"/>
      <c r="AE76" s="73"/>
      <c r="AF76" s="73"/>
      <c r="AG76" s="73"/>
      <c r="AH76" s="73"/>
      <c r="AI76" s="73"/>
      <c r="AJ76" s="73"/>
    </row>
    <row r="77" spans="2:36" ht="15" customHeight="1">
      <c r="B77" s="67"/>
      <c r="C77" s="225"/>
      <c r="D77" s="225"/>
      <c r="E77" s="68"/>
      <c r="F77" s="68"/>
      <c r="G77" s="69"/>
      <c r="H77" s="69"/>
      <c r="I77" s="72"/>
      <c r="J77" s="71"/>
      <c r="K77" s="68"/>
      <c r="L77" s="68"/>
      <c r="M77" s="68"/>
      <c r="N77" s="68"/>
      <c r="O77" s="68"/>
      <c r="P77" s="61">
        <f t="shared" si="0"/>
        <v>0</v>
      </c>
      <c r="Q77" s="61">
        <f t="shared" si="1"/>
        <v>0</v>
      </c>
      <c r="R77" s="61">
        <f t="shared" si="2"/>
        <v>0</v>
      </c>
      <c r="S77" s="61">
        <f t="shared" si="3"/>
        <v>0</v>
      </c>
      <c r="T77" s="61">
        <f t="shared" si="4"/>
        <v>0</v>
      </c>
      <c r="U77" s="61">
        <f t="shared" si="5"/>
        <v>0</v>
      </c>
      <c r="V77" s="61">
        <f t="shared" si="6"/>
        <v>0</v>
      </c>
      <c r="W77" s="61">
        <f t="shared" si="7"/>
        <v>0</v>
      </c>
      <c r="X77" s="61">
        <f t="shared" si="8"/>
        <v>0</v>
      </c>
      <c r="Y77" s="61">
        <f t="shared" si="9"/>
        <v>0</v>
      </c>
      <c r="Z77" s="73"/>
      <c r="AA77" s="73"/>
      <c r="AB77" s="73"/>
      <c r="AC77" s="73"/>
      <c r="AD77" s="73"/>
      <c r="AE77" s="73"/>
      <c r="AF77" s="73"/>
      <c r="AG77" s="73"/>
      <c r="AH77" s="73"/>
      <c r="AI77" s="73"/>
      <c r="AJ77" s="73"/>
    </row>
    <row r="78" spans="2:36" ht="15" customHeight="1">
      <c r="B78" s="67"/>
      <c r="C78" s="225"/>
      <c r="D78" s="225"/>
      <c r="E78" s="68"/>
      <c r="F78" s="68"/>
      <c r="G78" s="69"/>
      <c r="H78" s="69"/>
      <c r="I78" s="72"/>
      <c r="J78" s="71"/>
      <c r="K78" s="68"/>
      <c r="L78" s="68"/>
      <c r="M78" s="68"/>
      <c r="N78" s="68"/>
      <c r="O78" s="68"/>
      <c r="P78" s="61">
        <f t="shared" si="0"/>
        <v>0</v>
      </c>
      <c r="Q78" s="61">
        <f t="shared" si="1"/>
        <v>0</v>
      </c>
      <c r="R78" s="61">
        <f t="shared" si="2"/>
        <v>0</v>
      </c>
      <c r="S78" s="61">
        <f t="shared" si="3"/>
        <v>0</v>
      </c>
      <c r="T78" s="61">
        <f t="shared" si="4"/>
        <v>0</v>
      </c>
      <c r="U78" s="61">
        <f t="shared" si="5"/>
        <v>0</v>
      </c>
      <c r="V78" s="61">
        <f t="shared" si="6"/>
        <v>0</v>
      </c>
      <c r="W78" s="61">
        <f t="shared" si="7"/>
        <v>0</v>
      </c>
      <c r="X78" s="61">
        <f t="shared" si="8"/>
        <v>0</v>
      </c>
      <c r="Y78" s="61">
        <f t="shared" si="9"/>
        <v>0</v>
      </c>
      <c r="Z78" s="73"/>
      <c r="AA78" s="73"/>
      <c r="AB78" s="73"/>
      <c r="AC78" s="73"/>
      <c r="AD78" s="73"/>
      <c r="AE78" s="73"/>
      <c r="AF78" s="73"/>
      <c r="AG78" s="73"/>
      <c r="AH78" s="73"/>
      <c r="AI78" s="73"/>
      <c r="AJ78" s="73"/>
    </row>
    <row r="79" spans="2:36" ht="15" customHeight="1">
      <c r="B79" s="67"/>
      <c r="C79" s="225"/>
      <c r="D79" s="225"/>
      <c r="E79" s="68"/>
      <c r="F79" s="68"/>
      <c r="G79" s="69"/>
      <c r="H79" s="69"/>
      <c r="I79" s="72"/>
      <c r="J79" s="71"/>
      <c r="K79" s="68"/>
      <c r="L79" s="68"/>
      <c r="M79" s="68"/>
      <c r="N79" s="68"/>
      <c r="O79" s="68"/>
      <c r="P79" s="61">
        <f t="shared" si="0"/>
        <v>0</v>
      </c>
      <c r="Q79" s="61">
        <f t="shared" si="1"/>
        <v>0</v>
      </c>
      <c r="R79" s="61">
        <f t="shared" si="2"/>
        <v>0</v>
      </c>
      <c r="S79" s="61">
        <f t="shared" si="3"/>
        <v>0</v>
      </c>
      <c r="T79" s="61">
        <f t="shared" si="4"/>
        <v>0</v>
      </c>
      <c r="U79" s="61">
        <f t="shared" si="5"/>
        <v>0</v>
      </c>
      <c r="V79" s="61">
        <f t="shared" si="6"/>
        <v>0</v>
      </c>
      <c r="W79" s="61">
        <f t="shared" si="7"/>
        <v>0</v>
      </c>
      <c r="X79" s="61">
        <f t="shared" si="8"/>
        <v>0</v>
      </c>
      <c r="Y79" s="61">
        <f t="shared" si="9"/>
        <v>0</v>
      </c>
      <c r="Z79" s="73"/>
      <c r="AA79" s="73"/>
      <c r="AB79" s="73"/>
      <c r="AC79" s="73"/>
      <c r="AD79" s="73"/>
      <c r="AE79" s="73"/>
      <c r="AF79" s="73"/>
      <c r="AG79" s="73"/>
      <c r="AH79" s="73"/>
      <c r="AI79" s="73"/>
      <c r="AJ79" s="73"/>
    </row>
    <row r="80" spans="2:36" ht="15" customHeight="1">
      <c r="B80" s="67"/>
      <c r="C80" s="225"/>
      <c r="D80" s="225"/>
      <c r="E80" s="68"/>
      <c r="F80" s="68"/>
      <c r="G80" s="69"/>
      <c r="H80" s="69"/>
      <c r="I80" s="72"/>
      <c r="J80" s="71"/>
      <c r="K80" s="68"/>
      <c r="L80" s="68"/>
      <c r="M80" s="68"/>
      <c r="N80" s="68"/>
      <c r="O80" s="68"/>
      <c r="P80" s="61">
        <f t="shared" si="0"/>
        <v>0</v>
      </c>
      <c r="Q80" s="61">
        <f t="shared" si="1"/>
        <v>0</v>
      </c>
      <c r="R80" s="61">
        <f t="shared" si="2"/>
        <v>0</v>
      </c>
      <c r="S80" s="61">
        <f t="shared" si="3"/>
        <v>0</v>
      </c>
      <c r="T80" s="61">
        <f t="shared" si="4"/>
        <v>0</v>
      </c>
      <c r="U80" s="61">
        <f t="shared" si="5"/>
        <v>0</v>
      </c>
      <c r="V80" s="61">
        <f t="shared" si="6"/>
        <v>0</v>
      </c>
      <c r="W80" s="61">
        <f t="shared" si="7"/>
        <v>0</v>
      </c>
      <c r="X80" s="61">
        <f t="shared" si="8"/>
        <v>0</v>
      </c>
      <c r="Y80" s="61">
        <f t="shared" si="9"/>
        <v>0</v>
      </c>
      <c r="Z80" s="73"/>
      <c r="AA80" s="73"/>
      <c r="AB80" s="73"/>
      <c r="AC80" s="73"/>
      <c r="AD80" s="73"/>
      <c r="AE80" s="73"/>
      <c r="AF80" s="73"/>
      <c r="AG80" s="73"/>
      <c r="AH80" s="73"/>
      <c r="AI80" s="73"/>
      <c r="AJ80" s="73"/>
    </row>
    <row r="81" spans="2:36" ht="15" customHeight="1">
      <c r="B81" s="67"/>
      <c r="C81" s="225"/>
      <c r="D81" s="225"/>
      <c r="E81" s="68"/>
      <c r="F81" s="68"/>
      <c r="G81" s="69"/>
      <c r="H81" s="69"/>
      <c r="I81" s="72"/>
      <c r="J81" s="71"/>
      <c r="K81" s="68"/>
      <c r="L81" s="68"/>
      <c r="M81" s="68"/>
      <c r="N81" s="68"/>
      <c r="O81" s="68"/>
      <c r="P81" s="61">
        <f t="shared" si="0"/>
        <v>0</v>
      </c>
      <c r="Q81" s="61">
        <f t="shared" si="1"/>
        <v>0</v>
      </c>
      <c r="R81" s="61">
        <f t="shared" si="2"/>
        <v>0</v>
      </c>
      <c r="S81" s="61">
        <f t="shared" si="3"/>
        <v>0</v>
      </c>
      <c r="T81" s="61">
        <f t="shared" si="4"/>
        <v>0</v>
      </c>
      <c r="U81" s="61">
        <f t="shared" si="5"/>
        <v>0</v>
      </c>
      <c r="V81" s="61">
        <f t="shared" si="6"/>
        <v>0</v>
      </c>
      <c r="W81" s="61">
        <f t="shared" si="7"/>
        <v>0</v>
      </c>
      <c r="X81" s="61">
        <f t="shared" si="8"/>
        <v>0</v>
      </c>
      <c r="Y81" s="61">
        <f t="shared" si="9"/>
        <v>0</v>
      </c>
      <c r="Z81" s="73"/>
      <c r="AA81" s="73"/>
      <c r="AB81" s="73"/>
      <c r="AC81" s="73"/>
      <c r="AD81" s="73"/>
      <c r="AE81" s="73"/>
      <c r="AF81" s="73"/>
      <c r="AG81" s="73"/>
      <c r="AH81" s="73"/>
      <c r="AI81" s="73"/>
      <c r="AJ81" s="73"/>
    </row>
    <row r="82" spans="2:36" ht="15" customHeight="1">
      <c r="B82" s="67"/>
      <c r="C82" s="225"/>
      <c r="D82" s="225"/>
      <c r="E82" s="68"/>
      <c r="F82" s="68"/>
      <c r="G82" s="69"/>
      <c r="H82" s="69"/>
      <c r="I82" s="72"/>
      <c r="J82" s="71"/>
      <c r="K82" s="68"/>
      <c r="L82" s="68"/>
      <c r="M82" s="68"/>
      <c r="N82" s="68"/>
      <c r="O82" s="68"/>
      <c r="P82" s="61">
        <f t="shared" si="0"/>
        <v>0</v>
      </c>
      <c r="Q82" s="61">
        <f t="shared" si="1"/>
        <v>0</v>
      </c>
      <c r="R82" s="61">
        <f t="shared" si="2"/>
        <v>0</v>
      </c>
      <c r="S82" s="61">
        <f t="shared" si="3"/>
        <v>0</v>
      </c>
      <c r="T82" s="61">
        <f t="shared" si="4"/>
        <v>0</v>
      </c>
      <c r="U82" s="61">
        <f t="shared" si="5"/>
        <v>0</v>
      </c>
      <c r="V82" s="61">
        <f t="shared" si="6"/>
        <v>0</v>
      </c>
      <c r="W82" s="61">
        <f t="shared" si="7"/>
        <v>0</v>
      </c>
      <c r="X82" s="61">
        <f t="shared" si="8"/>
        <v>0</v>
      </c>
      <c r="Y82" s="61">
        <f t="shared" si="9"/>
        <v>0</v>
      </c>
      <c r="Z82" s="73"/>
      <c r="AA82" s="73"/>
      <c r="AB82" s="73"/>
      <c r="AC82" s="73"/>
      <c r="AD82" s="73"/>
      <c r="AE82" s="73"/>
      <c r="AF82" s="73"/>
      <c r="AG82" s="73"/>
      <c r="AH82" s="73"/>
      <c r="AI82" s="73"/>
      <c r="AJ82" s="73"/>
    </row>
    <row r="83" spans="2:36" ht="15" customHeight="1">
      <c r="B83" s="67"/>
      <c r="C83" s="225"/>
      <c r="D83" s="225"/>
      <c r="E83" s="68"/>
      <c r="F83" s="68"/>
      <c r="G83" s="69"/>
      <c r="H83" s="69"/>
      <c r="I83" s="72"/>
      <c r="J83" s="71"/>
      <c r="K83" s="68"/>
      <c r="L83" s="68"/>
      <c r="M83" s="68"/>
      <c r="N83" s="68"/>
      <c r="O83" s="68"/>
      <c r="P83" s="61">
        <f t="shared" si="0"/>
        <v>0</v>
      </c>
      <c r="Q83" s="61">
        <f t="shared" si="1"/>
        <v>0</v>
      </c>
      <c r="R83" s="61">
        <f t="shared" si="2"/>
        <v>0</v>
      </c>
      <c r="S83" s="61">
        <f t="shared" si="3"/>
        <v>0</v>
      </c>
      <c r="T83" s="61">
        <f t="shared" si="4"/>
        <v>0</v>
      </c>
      <c r="U83" s="61">
        <f t="shared" si="5"/>
        <v>0</v>
      </c>
      <c r="V83" s="61">
        <f t="shared" si="6"/>
        <v>0</v>
      </c>
      <c r="W83" s="61">
        <f t="shared" si="7"/>
        <v>0</v>
      </c>
      <c r="X83" s="61">
        <f t="shared" si="8"/>
        <v>0</v>
      </c>
      <c r="Y83" s="61">
        <f t="shared" si="9"/>
        <v>0</v>
      </c>
      <c r="Z83" s="73"/>
      <c r="AA83" s="73"/>
      <c r="AB83" s="73"/>
      <c r="AC83" s="73"/>
      <c r="AD83" s="73"/>
      <c r="AE83" s="73"/>
      <c r="AF83" s="73"/>
      <c r="AG83" s="73"/>
      <c r="AH83" s="73"/>
      <c r="AI83" s="73"/>
      <c r="AJ83" s="73"/>
    </row>
    <row r="84" spans="2:36" ht="15" customHeight="1">
      <c r="B84" s="67"/>
      <c r="C84" s="225"/>
      <c r="D84" s="225"/>
      <c r="E84" s="68"/>
      <c r="F84" s="68"/>
      <c r="G84" s="69"/>
      <c r="H84" s="69"/>
      <c r="I84" s="72"/>
      <c r="J84" s="71"/>
      <c r="K84" s="68"/>
      <c r="L84" s="68"/>
      <c r="M84" s="68"/>
      <c r="N84" s="68"/>
      <c r="O84" s="68"/>
      <c r="P84" s="61">
        <f t="shared" si="0"/>
        <v>0</v>
      </c>
      <c r="Q84" s="61">
        <f t="shared" si="1"/>
        <v>0</v>
      </c>
      <c r="R84" s="61">
        <f t="shared" si="2"/>
        <v>0</v>
      </c>
      <c r="S84" s="61">
        <f t="shared" si="3"/>
        <v>0</v>
      </c>
      <c r="T84" s="61">
        <f t="shared" si="4"/>
        <v>0</v>
      </c>
      <c r="U84" s="61">
        <f t="shared" si="5"/>
        <v>0</v>
      </c>
      <c r="V84" s="61">
        <f t="shared" si="6"/>
        <v>0</v>
      </c>
      <c r="W84" s="61">
        <f t="shared" si="7"/>
        <v>0</v>
      </c>
      <c r="X84" s="61">
        <f t="shared" si="8"/>
        <v>0</v>
      </c>
      <c r="Y84" s="61">
        <f t="shared" si="9"/>
        <v>0</v>
      </c>
      <c r="Z84" s="73"/>
      <c r="AA84" s="73"/>
      <c r="AB84" s="73"/>
      <c r="AC84" s="73"/>
      <c r="AD84" s="73"/>
      <c r="AE84" s="73"/>
      <c r="AF84" s="73"/>
      <c r="AG84" s="73"/>
      <c r="AH84" s="73"/>
      <c r="AI84" s="73"/>
      <c r="AJ84" s="73"/>
    </row>
    <row r="85" spans="2:36" ht="15" customHeight="1">
      <c r="B85" s="67"/>
      <c r="C85" s="225"/>
      <c r="D85" s="225"/>
      <c r="E85" s="68"/>
      <c r="F85" s="68"/>
      <c r="G85" s="69"/>
      <c r="H85" s="69"/>
      <c r="I85" s="72"/>
      <c r="J85" s="71"/>
      <c r="K85" s="68"/>
      <c r="L85" s="68"/>
      <c r="M85" s="68"/>
      <c r="N85" s="68"/>
      <c r="O85" s="68"/>
      <c r="P85" s="61">
        <f t="shared" si="0"/>
        <v>0</v>
      </c>
      <c r="Q85" s="61">
        <f t="shared" si="1"/>
        <v>0</v>
      </c>
      <c r="R85" s="61">
        <f t="shared" si="2"/>
        <v>0</v>
      </c>
      <c r="S85" s="61">
        <f t="shared" si="3"/>
        <v>0</v>
      </c>
      <c r="T85" s="61">
        <f t="shared" si="4"/>
        <v>0</v>
      </c>
      <c r="U85" s="61">
        <f t="shared" si="5"/>
        <v>0</v>
      </c>
      <c r="V85" s="61">
        <f t="shared" si="6"/>
        <v>0</v>
      </c>
      <c r="W85" s="61">
        <f t="shared" si="7"/>
        <v>0</v>
      </c>
      <c r="X85" s="61">
        <f t="shared" si="8"/>
        <v>0</v>
      </c>
      <c r="Y85" s="61">
        <f t="shared" si="9"/>
        <v>0</v>
      </c>
      <c r="Z85" s="73"/>
      <c r="AA85" s="73"/>
      <c r="AB85" s="73"/>
      <c r="AC85" s="73"/>
      <c r="AD85" s="73"/>
      <c r="AE85" s="73"/>
      <c r="AF85" s="73"/>
      <c r="AG85" s="73"/>
      <c r="AH85" s="73"/>
      <c r="AI85" s="73"/>
      <c r="AJ85" s="73"/>
    </row>
    <row r="86" spans="2:36" ht="15" customHeight="1">
      <c r="B86" s="67"/>
      <c r="C86" s="225"/>
      <c r="D86" s="225"/>
      <c r="E86" s="68"/>
      <c r="F86" s="68"/>
      <c r="G86" s="69"/>
      <c r="H86" s="69"/>
      <c r="I86" s="72"/>
      <c r="J86" s="71"/>
      <c r="K86" s="68"/>
      <c r="L86" s="68"/>
      <c r="M86" s="68"/>
      <c r="N86" s="68"/>
      <c r="O86" s="68"/>
      <c r="P86" s="61">
        <f t="shared" si="0"/>
        <v>0</v>
      </c>
      <c r="Q86" s="61">
        <f t="shared" si="1"/>
        <v>0</v>
      </c>
      <c r="R86" s="61">
        <f t="shared" si="2"/>
        <v>0</v>
      </c>
      <c r="S86" s="61">
        <f t="shared" si="3"/>
        <v>0</v>
      </c>
      <c r="T86" s="61">
        <f t="shared" si="4"/>
        <v>0</v>
      </c>
      <c r="U86" s="61">
        <f t="shared" si="5"/>
        <v>0</v>
      </c>
      <c r="V86" s="61">
        <f t="shared" si="6"/>
        <v>0</v>
      </c>
      <c r="W86" s="61">
        <f t="shared" si="7"/>
        <v>0</v>
      </c>
      <c r="X86" s="61">
        <f t="shared" si="8"/>
        <v>0</v>
      </c>
      <c r="Y86" s="61">
        <f t="shared" si="9"/>
        <v>0</v>
      </c>
      <c r="Z86" s="73"/>
      <c r="AA86" s="73"/>
      <c r="AB86" s="73"/>
      <c r="AC86" s="73"/>
      <c r="AD86" s="73"/>
      <c r="AE86" s="73"/>
      <c r="AF86" s="73"/>
      <c r="AG86" s="73"/>
      <c r="AH86" s="73"/>
      <c r="AI86" s="73"/>
      <c r="AJ86" s="73"/>
    </row>
    <row r="87" spans="2:36" ht="15" customHeight="1">
      <c r="B87" s="67"/>
      <c r="C87" s="225"/>
      <c r="D87" s="225"/>
      <c r="E87" s="68"/>
      <c r="F87" s="68"/>
      <c r="G87" s="69"/>
      <c r="H87" s="69"/>
      <c r="I87" s="72"/>
      <c r="J87" s="71"/>
      <c r="K87" s="68"/>
      <c r="L87" s="68"/>
      <c r="M87" s="68"/>
      <c r="N87" s="68"/>
      <c r="O87" s="68"/>
      <c r="P87" s="61">
        <f t="shared" si="0"/>
        <v>0</v>
      </c>
      <c r="Q87" s="61">
        <f t="shared" si="1"/>
        <v>0</v>
      </c>
      <c r="R87" s="61">
        <f t="shared" si="2"/>
        <v>0</v>
      </c>
      <c r="S87" s="61">
        <f t="shared" si="3"/>
        <v>0</v>
      </c>
      <c r="T87" s="61">
        <f t="shared" si="4"/>
        <v>0</v>
      </c>
      <c r="U87" s="61">
        <f t="shared" si="5"/>
        <v>0</v>
      </c>
      <c r="V87" s="61">
        <f t="shared" si="6"/>
        <v>0</v>
      </c>
      <c r="W87" s="61">
        <f t="shared" si="7"/>
        <v>0</v>
      </c>
      <c r="X87" s="61">
        <f t="shared" si="8"/>
        <v>0</v>
      </c>
      <c r="Y87" s="61">
        <f t="shared" si="9"/>
        <v>0</v>
      </c>
      <c r="Z87" s="73"/>
      <c r="AA87" s="73"/>
      <c r="AB87" s="73"/>
      <c r="AC87" s="73"/>
      <c r="AD87" s="73"/>
      <c r="AE87" s="73"/>
      <c r="AF87" s="73"/>
      <c r="AG87" s="73"/>
      <c r="AH87" s="73"/>
      <c r="AI87" s="73"/>
      <c r="AJ87" s="73"/>
    </row>
    <row r="88" spans="2:36" ht="15" customHeight="1">
      <c r="B88" s="67"/>
      <c r="C88" s="225"/>
      <c r="D88" s="225"/>
      <c r="E88" s="68"/>
      <c r="F88" s="68"/>
      <c r="G88" s="69"/>
      <c r="H88" s="69"/>
      <c r="I88" s="72"/>
      <c r="J88" s="71"/>
      <c r="K88" s="68"/>
      <c r="L88" s="68"/>
      <c r="M88" s="68"/>
      <c r="N88" s="68"/>
      <c r="O88" s="68"/>
      <c r="P88" s="61">
        <f t="shared" si="0"/>
        <v>0</v>
      </c>
      <c r="Q88" s="61">
        <f t="shared" si="1"/>
        <v>0</v>
      </c>
      <c r="R88" s="61">
        <f t="shared" si="2"/>
        <v>0</v>
      </c>
      <c r="S88" s="61">
        <f t="shared" si="3"/>
        <v>0</v>
      </c>
      <c r="T88" s="61">
        <f t="shared" si="4"/>
        <v>0</v>
      </c>
      <c r="U88" s="61">
        <f t="shared" si="5"/>
        <v>0</v>
      </c>
      <c r="V88" s="61">
        <f t="shared" si="6"/>
        <v>0</v>
      </c>
      <c r="W88" s="61">
        <f t="shared" si="7"/>
        <v>0</v>
      </c>
      <c r="X88" s="61">
        <f t="shared" si="8"/>
        <v>0</v>
      </c>
      <c r="Y88" s="61">
        <f t="shared" si="9"/>
        <v>0</v>
      </c>
      <c r="Z88" s="73"/>
      <c r="AA88" s="73"/>
      <c r="AB88" s="73"/>
      <c r="AC88" s="73"/>
      <c r="AD88" s="73"/>
      <c r="AE88" s="73"/>
      <c r="AF88" s="73"/>
      <c r="AG88" s="73"/>
      <c r="AH88" s="73"/>
      <c r="AI88" s="73"/>
      <c r="AJ88" s="73"/>
    </row>
    <row r="89" spans="2:36" ht="15" customHeight="1">
      <c r="B89" s="67"/>
      <c r="C89" s="225"/>
      <c r="D89" s="225"/>
      <c r="E89" s="68"/>
      <c r="F89" s="68"/>
      <c r="G89" s="69"/>
      <c r="H89" s="69"/>
      <c r="I89" s="72"/>
      <c r="J89" s="71"/>
      <c r="K89" s="68"/>
      <c r="L89" s="68"/>
      <c r="M89" s="68"/>
      <c r="N89" s="68"/>
      <c r="O89" s="68"/>
      <c r="P89" s="61">
        <f t="shared" si="0"/>
        <v>0</v>
      </c>
      <c r="Q89" s="61">
        <f t="shared" si="1"/>
        <v>0</v>
      </c>
      <c r="R89" s="61">
        <f t="shared" si="2"/>
        <v>0</v>
      </c>
      <c r="S89" s="61">
        <f t="shared" si="3"/>
        <v>0</v>
      </c>
      <c r="T89" s="61">
        <f t="shared" si="4"/>
        <v>0</v>
      </c>
      <c r="U89" s="61">
        <f t="shared" si="5"/>
        <v>0</v>
      </c>
      <c r="V89" s="61">
        <f t="shared" si="6"/>
        <v>0</v>
      </c>
      <c r="W89" s="61">
        <f t="shared" si="7"/>
        <v>0</v>
      </c>
      <c r="X89" s="61">
        <f t="shared" si="8"/>
        <v>0</v>
      </c>
      <c r="Y89" s="61">
        <f t="shared" si="9"/>
        <v>0</v>
      </c>
      <c r="Z89" s="73"/>
      <c r="AA89" s="73"/>
      <c r="AB89" s="73"/>
      <c r="AC89" s="73"/>
      <c r="AD89" s="73"/>
      <c r="AE89" s="73"/>
      <c r="AF89" s="73"/>
      <c r="AG89" s="73"/>
      <c r="AH89" s="73"/>
      <c r="AI89" s="73"/>
      <c r="AJ89" s="73"/>
    </row>
    <row r="90" spans="2:36" ht="15" customHeight="1">
      <c r="B90" s="67"/>
      <c r="C90" s="225"/>
      <c r="D90" s="225"/>
      <c r="E90" s="68"/>
      <c r="F90" s="68"/>
      <c r="G90" s="69"/>
      <c r="H90" s="69"/>
      <c r="I90" s="72"/>
      <c r="J90" s="71"/>
      <c r="K90" s="68"/>
      <c r="L90" s="68"/>
      <c r="M90" s="68"/>
      <c r="N90" s="68"/>
      <c r="O90" s="68"/>
      <c r="P90" s="61">
        <f t="shared" si="0"/>
        <v>0</v>
      </c>
      <c r="Q90" s="61">
        <f t="shared" si="1"/>
        <v>0</v>
      </c>
      <c r="R90" s="61">
        <f t="shared" si="2"/>
        <v>0</v>
      </c>
      <c r="S90" s="61">
        <f t="shared" si="3"/>
        <v>0</v>
      </c>
      <c r="T90" s="61">
        <f t="shared" si="4"/>
        <v>0</v>
      </c>
      <c r="U90" s="61">
        <f t="shared" si="5"/>
        <v>0</v>
      </c>
      <c r="V90" s="61">
        <f t="shared" si="6"/>
        <v>0</v>
      </c>
      <c r="W90" s="61">
        <f t="shared" si="7"/>
        <v>0</v>
      </c>
      <c r="X90" s="61">
        <f t="shared" si="8"/>
        <v>0</v>
      </c>
      <c r="Y90" s="61">
        <f t="shared" si="9"/>
        <v>0</v>
      </c>
      <c r="Z90" s="73"/>
      <c r="AA90" s="73"/>
      <c r="AB90" s="73"/>
      <c r="AC90" s="73"/>
      <c r="AD90" s="73"/>
      <c r="AE90" s="73"/>
      <c r="AF90" s="73"/>
      <c r="AG90" s="73"/>
      <c r="AH90" s="73"/>
      <c r="AI90" s="73"/>
      <c r="AJ90" s="73"/>
    </row>
    <row r="91" spans="2:36" ht="15" customHeight="1">
      <c r="B91" s="67"/>
      <c r="C91" s="225"/>
      <c r="D91" s="225"/>
      <c r="E91" s="68"/>
      <c r="F91" s="68"/>
      <c r="G91" s="69"/>
      <c r="H91" s="69"/>
      <c r="I91" s="72"/>
      <c r="J91" s="71"/>
      <c r="K91" s="68"/>
      <c r="L91" s="68"/>
      <c r="M91" s="68"/>
      <c r="N91" s="68"/>
      <c r="O91" s="68"/>
      <c r="P91" s="61">
        <f t="shared" si="0"/>
        <v>0</v>
      </c>
      <c r="Q91" s="61">
        <f t="shared" si="1"/>
        <v>0</v>
      </c>
      <c r="R91" s="61">
        <f t="shared" si="2"/>
        <v>0</v>
      </c>
      <c r="S91" s="61">
        <f t="shared" si="3"/>
        <v>0</v>
      </c>
      <c r="T91" s="61">
        <f t="shared" si="4"/>
        <v>0</v>
      </c>
      <c r="U91" s="61">
        <f t="shared" si="5"/>
        <v>0</v>
      </c>
      <c r="V91" s="61">
        <f t="shared" si="6"/>
        <v>0</v>
      </c>
      <c r="W91" s="61">
        <f t="shared" si="7"/>
        <v>0</v>
      </c>
      <c r="X91" s="61">
        <f t="shared" si="8"/>
        <v>0</v>
      </c>
      <c r="Y91" s="61">
        <f t="shared" si="9"/>
        <v>0</v>
      </c>
      <c r="Z91" s="73"/>
      <c r="AA91" s="73"/>
      <c r="AB91" s="73"/>
      <c r="AC91" s="73"/>
      <c r="AD91" s="73"/>
      <c r="AE91" s="73"/>
      <c r="AF91" s="73"/>
      <c r="AG91" s="73"/>
      <c r="AH91" s="73"/>
      <c r="AI91" s="73"/>
      <c r="AJ91" s="73"/>
    </row>
    <row r="92" spans="2:36" ht="15" customHeight="1">
      <c r="B92" s="67"/>
      <c r="C92" s="225"/>
      <c r="D92" s="225"/>
      <c r="E92" s="68"/>
      <c r="F92" s="68"/>
      <c r="G92" s="69"/>
      <c r="H92" s="69"/>
      <c r="I92" s="72"/>
      <c r="J92" s="71"/>
      <c r="K92" s="68"/>
      <c r="L92" s="68"/>
      <c r="M92" s="68"/>
      <c r="N92" s="68"/>
      <c r="O92" s="68"/>
      <c r="P92" s="61">
        <f t="shared" si="0"/>
        <v>0</v>
      </c>
      <c r="Q92" s="61">
        <f t="shared" si="1"/>
        <v>0</v>
      </c>
      <c r="R92" s="61">
        <f t="shared" si="2"/>
        <v>0</v>
      </c>
      <c r="S92" s="61">
        <f t="shared" si="3"/>
        <v>0</v>
      </c>
      <c r="T92" s="61">
        <f t="shared" si="4"/>
        <v>0</v>
      </c>
      <c r="U92" s="61">
        <f t="shared" si="5"/>
        <v>0</v>
      </c>
      <c r="V92" s="61">
        <f t="shared" si="6"/>
        <v>0</v>
      </c>
      <c r="W92" s="61">
        <f t="shared" si="7"/>
        <v>0</v>
      </c>
      <c r="X92" s="61">
        <f t="shared" si="8"/>
        <v>0</v>
      </c>
      <c r="Y92" s="61">
        <f t="shared" si="9"/>
        <v>0</v>
      </c>
      <c r="Z92" s="73"/>
      <c r="AA92" s="73"/>
      <c r="AB92" s="73"/>
      <c r="AC92" s="73"/>
      <c r="AD92" s="73"/>
      <c r="AE92" s="73"/>
      <c r="AF92" s="73"/>
      <c r="AG92" s="73"/>
      <c r="AH92" s="73"/>
      <c r="AI92" s="73"/>
      <c r="AJ92" s="73"/>
    </row>
    <row r="93" spans="2:36" ht="15" customHeight="1">
      <c r="B93" s="67"/>
      <c r="C93" s="225"/>
      <c r="D93" s="225"/>
      <c r="E93" s="68"/>
      <c r="F93" s="68"/>
      <c r="G93" s="69"/>
      <c r="H93" s="69"/>
      <c r="I93" s="72"/>
      <c r="J93" s="71"/>
      <c r="K93" s="68"/>
      <c r="L93" s="68"/>
      <c r="M93" s="68"/>
      <c r="N93" s="68"/>
      <c r="O93" s="68"/>
      <c r="P93" s="61">
        <f t="shared" si="0"/>
        <v>0</v>
      </c>
      <c r="Q93" s="61">
        <f t="shared" si="1"/>
        <v>0</v>
      </c>
      <c r="R93" s="61">
        <f t="shared" si="2"/>
        <v>0</v>
      </c>
      <c r="S93" s="61">
        <f t="shared" si="3"/>
        <v>0</v>
      </c>
      <c r="T93" s="61">
        <f t="shared" si="4"/>
        <v>0</v>
      </c>
      <c r="U93" s="61">
        <f t="shared" si="5"/>
        <v>0</v>
      </c>
      <c r="V93" s="61">
        <f t="shared" si="6"/>
        <v>0</v>
      </c>
      <c r="W93" s="61">
        <f t="shared" si="7"/>
        <v>0</v>
      </c>
      <c r="X93" s="61">
        <f t="shared" si="8"/>
        <v>0</v>
      </c>
      <c r="Y93" s="61">
        <f t="shared" si="9"/>
        <v>0</v>
      </c>
      <c r="Z93" s="73"/>
      <c r="AA93" s="73"/>
      <c r="AB93" s="73"/>
      <c r="AC93" s="73"/>
      <c r="AD93" s="73"/>
      <c r="AE93" s="73"/>
      <c r="AF93" s="73"/>
      <c r="AG93" s="73"/>
      <c r="AH93" s="73"/>
      <c r="AI93" s="73"/>
      <c r="AJ93" s="73"/>
    </row>
    <row r="94" spans="2:36" ht="15" customHeight="1">
      <c r="B94" s="67"/>
      <c r="C94" s="225"/>
      <c r="D94" s="225"/>
      <c r="E94" s="68"/>
      <c r="F94" s="68"/>
      <c r="G94" s="69"/>
      <c r="H94" s="69"/>
      <c r="I94" s="72"/>
      <c r="J94" s="71"/>
      <c r="K94" s="68"/>
      <c r="L94" s="68"/>
      <c r="M94" s="68"/>
      <c r="N94" s="68"/>
      <c r="O94" s="68"/>
      <c r="P94" s="61">
        <f t="shared" si="0"/>
        <v>0</v>
      </c>
      <c r="Q94" s="61">
        <f t="shared" si="1"/>
        <v>0</v>
      </c>
      <c r="R94" s="61">
        <f t="shared" si="2"/>
        <v>0</v>
      </c>
      <c r="S94" s="61">
        <f t="shared" si="3"/>
        <v>0</v>
      </c>
      <c r="T94" s="61">
        <f t="shared" si="4"/>
        <v>0</v>
      </c>
      <c r="U94" s="61">
        <f t="shared" si="5"/>
        <v>0</v>
      </c>
      <c r="V94" s="61">
        <f t="shared" si="6"/>
        <v>0</v>
      </c>
      <c r="W94" s="61">
        <f t="shared" si="7"/>
        <v>0</v>
      </c>
      <c r="X94" s="61">
        <f t="shared" si="8"/>
        <v>0</v>
      </c>
      <c r="Y94" s="61">
        <f t="shared" si="9"/>
        <v>0</v>
      </c>
      <c r="Z94" s="73"/>
      <c r="AA94" s="73"/>
      <c r="AB94" s="73"/>
      <c r="AC94" s="73"/>
      <c r="AD94" s="73"/>
      <c r="AE94" s="73"/>
      <c r="AF94" s="73"/>
      <c r="AG94" s="73"/>
      <c r="AH94" s="73"/>
      <c r="AI94" s="73"/>
      <c r="AJ94" s="73"/>
    </row>
    <row r="95" spans="2:36" ht="15" customHeight="1">
      <c r="B95" s="67"/>
      <c r="C95" s="225"/>
      <c r="D95" s="225"/>
      <c r="E95" s="68"/>
      <c r="F95" s="68"/>
      <c r="G95" s="69"/>
      <c r="H95" s="69"/>
      <c r="I95" s="72"/>
      <c r="J95" s="71"/>
      <c r="K95" s="68"/>
      <c r="L95" s="68"/>
      <c r="M95" s="68"/>
      <c r="N95" s="68"/>
      <c r="O95" s="68"/>
      <c r="P95" s="61">
        <f t="shared" si="0"/>
        <v>0</v>
      </c>
      <c r="Q95" s="61">
        <f t="shared" si="1"/>
        <v>0</v>
      </c>
      <c r="R95" s="61">
        <f t="shared" si="2"/>
        <v>0</v>
      </c>
      <c r="S95" s="61">
        <f t="shared" si="3"/>
        <v>0</v>
      </c>
      <c r="T95" s="61">
        <f t="shared" si="4"/>
        <v>0</v>
      </c>
      <c r="U95" s="61">
        <f t="shared" si="5"/>
        <v>0</v>
      </c>
      <c r="V95" s="61">
        <f t="shared" si="6"/>
        <v>0</v>
      </c>
      <c r="W95" s="61">
        <f t="shared" si="7"/>
        <v>0</v>
      </c>
      <c r="X95" s="61">
        <f t="shared" si="8"/>
        <v>0</v>
      </c>
      <c r="Y95" s="61">
        <f t="shared" si="9"/>
        <v>0</v>
      </c>
      <c r="Z95" s="73"/>
      <c r="AA95" s="73"/>
      <c r="AB95" s="73"/>
      <c r="AC95" s="73"/>
      <c r="AD95" s="73"/>
      <c r="AE95" s="73"/>
      <c r="AF95" s="73"/>
      <c r="AG95" s="73"/>
      <c r="AH95" s="73"/>
      <c r="AI95" s="73"/>
      <c r="AJ95" s="73"/>
    </row>
    <row r="96" spans="2:36" ht="15" customHeight="1">
      <c r="B96" s="67"/>
      <c r="C96" s="225"/>
      <c r="D96" s="225"/>
      <c r="E96" s="68"/>
      <c r="F96" s="68"/>
      <c r="G96" s="69"/>
      <c r="H96" s="69"/>
      <c r="I96" s="72"/>
      <c r="J96" s="71"/>
      <c r="K96" s="68"/>
      <c r="L96" s="68"/>
      <c r="M96" s="68"/>
      <c r="N96" s="68"/>
      <c r="O96" s="68"/>
      <c r="P96" s="61">
        <f t="shared" ref="P96:P159" si="10">IF(H96="REJ",1,0)</f>
        <v>0</v>
      </c>
      <c r="Q96" s="61">
        <f t="shared" ref="Q96:Q159" si="11">IF(J96="",0,1)</f>
        <v>0</v>
      </c>
      <c r="R96" s="61">
        <f t="shared" si="2"/>
        <v>0</v>
      </c>
      <c r="S96" s="61">
        <f t="shared" si="3"/>
        <v>0</v>
      </c>
      <c r="T96" s="61">
        <f t="shared" si="4"/>
        <v>0</v>
      </c>
      <c r="U96" s="61">
        <f t="shared" si="5"/>
        <v>0</v>
      </c>
      <c r="V96" s="61">
        <f t="shared" si="6"/>
        <v>0</v>
      </c>
      <c r="W96" s="61">
        <f t="shared" si="7"/>
        <v>0</v>
      </c>
      <c r="X96" s="61">
        <f t="shared" si="8"/>
        <v>0</v>
      </c>
      <c r="Y96" s="61">
        <f t="shared" si="9"/>
        <v>0</v>
      </c>
      <c r="Z96" s="73"/>
      <c r="AA96" s="73"/>
      <c r="AB96" s="73"/>
      <c r="AC96" s="73"/>
      <c r="AD96" s="73"/>
      <c r="AE96" s="73"/>
      <c r="AF96" s="73"/>
      <c r="AG96" s="73"/>
      <c r="AH96" s="73"/>
      <c r="AI96" s="73"/>
      <c r="AJ96" s="73"/>
    </row>
    <row r="97" spans="2:36" ht="15" customHeight="1">
      <c r="B97" s="67"/>
      <c r="C97" s="225"/>
      <c r="D97" s="225"/>
      <c r="E97" s="68"/>
      <c r="F97" s="68"/>
      <c r="G97" s="69"/>
      <c r="H97" s="69"/>
      <c r="I97" s="72"/>
      <c r="J97" s="71"/>
      <c r="K97" s="68"/>
      <c r="L97" s="68"/>
      <c r="M97" s="68"/>
      <c r="N97" s="68"/>
      <c r="O97" s="68"/>
      <c r="P97" s="61">
        <f t="shared" si="10"/>
        <v>0</v>
      </c>
      <c r="Q97" s="61">
        <f t="shared" si="11"/>
        <v>0</v>
      </c>
      <c r="R97" s="61">
        <f t="shared" ref="R97:R160" si="12">IF(OR(H97="REJ"),IF(J97="",1,0),0)</f>
        <v>0</v>
      </c>
      <c r="S97" s="61">
        <f t="shared" ref="S97:S160" si="13">IF(E97="CR",1,0)</f>
        <v>0</v>
      </c>
      <c r="T97" s="61">
        <f t="shared" ref="T97:T160" si="14">IF(J97="",0,1)</f>
        <v>0</v>
      </c>
      <c r="U97" s="61">
        <f t="shared" ref="U97:U160" si="15">IF(OR(E97="CR",E97="MA",E97="E"),IF(J97="",1,0),0)</f>
        <v>0</v>
      </c>
      <c r="V97" s="61">
        <f t="shared" ref="V97:V160" si="16">IF(H97="ACC",1,0)</f>
        <v>0</v>
      </c>
      <c r="W97" s="61">
        <f t="shared" ref="W97:W160" si="17">IF(K97="",0,1)</f>
        <v>0</v>
      </c>
      <c r="X97" s="61">
        <f t="shared" ref="X97:X160" si="18">IF(AND(H97="ACC"),IF(K97="",1,0),0)</f>
        <v>0</v>
      </c>
      <c r="Y97" s="61">
        <f t="shared" ref="Y97:Y160" si="19">IF(AND(H97="ACC"),IF(M97="",1,0),0)</f>
        <v>0</v>
      </c>
      <c r="Z97" s="73"/>
      <c r="AA97" s="73"/>
      <c r="AB97" s="73"/>
      <c r="AC97" s="73"/>
      <c r="AD97" s="73"/>
      <c r="AE97" s="73"/>
      <c r="AF97" s="73"/>
      <c r="AG97" s="73"/>
      <c r="AH97" s="73"/>
      <c r="AI97" s="73"/>
      <c r="AJ97" s="73"/>
    </row>
    <row r="98" spans="2:36" ht="15" customHeight="1">
      <c r="B98" s="67"/>
      <c r="C98" s="225"/>
      <c r="D98" s="225"/>
      <c r="E98" s="68"/>
      <c r="F98" s="68"/>
      <c r="G98" s="69"/>
      <c r="H98" s="69"/>
      <c r="I98" s="72"/>
      <c r="J98" s="71"/>
      <c r="K98" s="68"/>
      <c r="L98" s="68"/>
      <c r="M98" s="68"/>
      <c r="N98" s="68"/>
      <c r="O98" s="68"/>
      <c r="P98" s="61">
        <f t="shared" si="10"/>
        <v>0</v>
      </c>
      <c r="Q98" s="61">
        <f t="shared" si="11"/>
        <v>0</v>
      </c>
      <c r="R98" s="61">
        <f t="shared" si="12"/>
        <v>0</v>
      </c>
      <c r="S98" s="61">
        <f t="shared" si="13"/>
        <v>0</v>
      </c>
      <c r="T98" s="61">
        <f t="shared" si="14"/>
        <v>0</v>
      </c>
      <c r="U98" s="61">
        <f t="shared" si="15"/>
        <v>0</v>
      </c>
      <c r="V98" s="61">
        <f t="shared" si="16"/>
        <v>0</v>
      </c>
      <c r="W98" s="61">
        <f t="shared" si="17"/>
        <v>0</v>
      </c>
      <c r="X98" s="61">
        <f t="shared" si="18"/>
        <v>0</v>
      </c>
      <c r="Y98" s="61">
        <f t="shared" si="19"/>
        <v>0</v>
      </c>
      <c r="Z98" s="73"/>
      <c r="AA98" s="73"/>
      <c r="AB98" s="73"/>
      <c r="AC98" s="73"/>
      <c r="AD98" s="73"/>
      <c r="AE98" s="73"/>
      <c r="AF98" s="73"/>
      <c r="AG98" s="73"/>
      <c r="AH98" s="73"/>
      <c r="AI98" s="73"/>
      <c r="AJ98" s="73"/>
    </row>
    <row r="99" spans="2:36" ht="15" customHeight="1">
      <c r="B99" s="67"/>
      <c r="C99" s="225"/>
      <c r="D99" s="225"/>
      <c r="E99" s="68"/>
      <c r="F99" s="68"/>
      <c r="G99" s="69"/>
      <c r="H99" s="69"/>
      <c r="I99" s="72"/>
      <c r="J99" s="71"/>
      <c r="K99" s="68"/>
      <c r="L99" s="68"/>
      <c r="M99" s="68"/>
      <c r="N99" s="68"/>
      <c r="O99" s="68"/>
      <c r="P99" s="61">
        <f t="shared" si="10"/>
        <v>0</v>
      </c>
      <c r="Q99" s="61">
        <f t="shared" si="11"/>
        <v>0</v>
      </c>
      <c r="R99" s="61">
        <f t="shared" si="12"/>
        <v>0</v>
      </c>
      <c r="S99" s="61">
        <f t="shared" si="13"/>
        <v>0</v>
      </c>
      <c r="T99" s="61">
        <f t="shared" si="14"/>
        <v>0</v>
      </c>
      <c r="U99" s="61">
        <f t="shared" si="15"/>
        <v>0</v>
      </c>
      <c r="V99" s="61">
        <f t="shared" si="16"/>
        <v>0</v>
      </c>
      <c r="W99" s="61">
        <f t="shared" si="17"/>
        <v>0</v>
      </c>
      <c r="X99" s="61">
        <f t="shared" si="18"/>
        <v>0</v>
      </c>
      <c r="Y99" s="61">
        <f t="shared" si="19"/>
        <v>0</v>
      </c>
      <c r="Z99" s="73"/>
      <c r="AA99" s="73"/>
      <c r="AB99" s="73"/>
      <c r="AC99" s="73"/>
      <c r="AD99" s="73"/>
      <c r="AE99" s="73"/>
      <c r="AF99" s="73"/>
      <c r="AG99" s="73"/>
      <c r="AH99" s="73"/>
      <c r="AI99" s="73"/>
      <c r="AJ99" s="73"/>
    </row>
    <row r="100" spans="2:36" ht="15" customHeight="1">
      <c r="B100" s="67"/>
      <c r="C100" s="225"/>
      <c r="D100" s="225"/>
      <c r="E100" s="68"/>
      <c r="F100" s="68"/>
      <c r="G100" s="69"/>
      <c r="H100" s="69"/>
      <c r="I100" s="72"/>
      <c r="J100" s="71"/>
      <c r="K100" s="68"/>
      <c r="L100" s="68"/>
      <c r="M100" s="68"/>
      <c r="N100" s="68"/>
      <c r="O100" s="68"/>
      <c r="P100" s="61">
        <f t="shared" si="10"/>
        <v>0</v>
      </c>
      <c r="Q100" s="61">
        <f t="shared" si="11"/>
        <v>0</v>
      </c>
      <c r="R100" s="61">
        <f t="shared" si="12"/>
        <v>0</v>
      </c>
      <c r="S100" s="61">
        <f t="shared" si="13"/>
        <v>0</v>
      </c>
      <c r="T100" s="61">
        <f t="shared" si="14"/>
        <v>0</v>
      </c>
      <c r="U100" s="61">
        <f t="shared" si="15"/>
        <v>0</v>
      </c>
      <c r="V100" s="61">
        <f t="shared" si="16"/>
        <v>0</v>
      </c>
      <c r="W100" s="61">
        <f t="shared" si="17"/>
        <v>0</v>
      </c>
      <c r="X100" s="61">
        <f t="shared" si="18"/>
        <v>0</v>
      </c>
      <c r="Y100" s="61">
        <f t="shared" si="19"/>
        <v>0</v>
      </c>
      <c r="Z100" s="73"/>
      <c r="AA100" s="73"/>
      <c r="AB100" s="73"/>
      <c r="AC100" s="73"/>
      <c r="AD100" s="73"/>
      <c r="AE100" s="73"/>
      <c r="AF100" s="73"/>
      <c r="AG100" s="73"/>
      <c r="AH100" s="73"/>
      <c r="AI100" s="73"/>
      <c r="AJ100" s="73"/>
    </row>
    <row r="101" spans="2:36" ht="15" customHeight="1">
      <c r="B101" s="67"/>
      <c r="C101" s="225"/>
      <c r="D101" s="225"/>
      <c r="E101" s="68"/>
      <c r="F101" s="68"/>
      <c r="G101" s="69"/>
      <c r="H101" s="69"/>
      <c r="I101" s="72"/>
      <c r="J101" s="71"/>
      <c r="K101" s="68"/>
      <c r="L101" s="68"/>
      <c r="M101" s="68"/>
      <c r="N101" s="68"/>
      <c r="O101" s="68"/>
      <c r="P101" s="61">
        <f t="shared" si="10"/>
        <v>0</v>
      </c>
      <c r="Q101" s="61">
        <f t="shared" si="11"/>
        <v>0</v>
      </c>
      <c r="R101" s="61">
        <f t="shared" si="12"/>
        <v>0</v>
      </c>
      <c r="S101" s="61">
        <f t="shared" si="13"/>
        <v>0</v>
      </c>
      <c r="T101" s="61">
        <f t="shared" si="14"/>
        <v>0</v>
      </c>
      <c r="U101" s="61">
        <f t="shared" si="15"/>
        <v>0</v>
      </c>
      <c r="V101" s="61">
        <f t="shared" si="16"/>
        <v>0</v>
      </c>
      <c r="W101" s="61">
        <f t="shared" si="17"/>
        <v>0</v>
      </c>
      <c r="X101" s="61">
        <f t="shared" si="18"/>
        <v>0</v>
      </c>
      <c r="Y101" s="61">
        <f t="shared" si="19"/>
        <v>0</v>
      </c>
      <c r="Z101" s="73"/>
      <c r="AA101" s="73"/>
      <c r="AB101" s="73"/>
      <c r="AC101" s="73"/>
      <c r="AD101" s="73"/>
      <c r="AE101" s="73"/>
      <c r="AF101" s="73"/>
      <c r="AG101" s="73"/>
      <c r="AH101" s="73"/>
      <c r="AI101" s="73"/>
      <c r="AJ101" s="73"/>
    </row>
    <row r="102" spans="2:36" ht="15" customHeight="1">
      <c r="B102" s="67"/>
      <c r="C102" s="225"/>
      <c r="D102" s="225"/>
      <c r="E102" s="68"/>
      <c r="F102" s="68"/>
      <c r="G102" s="69"/>
      <c r="H102" s="69"/>
      <c r="I102" s="72"/>
      <c r="J102" s="71"/>
      <c r="K102" s="68"/>
      <c r="L102" s="68"/>
      <c r="M102" s="68"/>
      <c r="N102" s="68"/>
      <c r="O102" s="68"/>
      <c r="P102" s="61">
        <f t="shared" si="10"/>
        <v>0</v>
      </c>
      <c r="Q102" s="61">
        <f t="shared" si="11"/>
        <v>0</v>
      </c>
      <c r="R102" s="61">
        <f t="shared" si="12"/>
        <v>0</v>
      </c>
      <c r="S102" s="61">
        <f t="shared" si="13"/>
        <v>0</v>
      </c>
      <c r="T102" s="61">
        <f t="shared" si="14"/>
        <v>0</v>
      </c>
      <c r="U102" s="61">
        <f t="shared" si="15"/>
        <v>0</v>
      </c>
      <c r="V102" s="61">
        <f t="shared" si="16"/>
        <v>0</v>
      </c>
      <c r="W102" s="61">
        <f t="shared" si="17"/>
        <v>0</v>
      </c>
      <c r="X102" s="61">
        <f t="shared" si="18"/>
        <v>0</v>
      </c>
      <c r="Y102" s="61">
        <f t="shared" si="19"/>
        <v>0</v>
      </c>
      <c r="Z102" s="73"/>
      <c r="AA102" s="73"/>
      <c r="AB102" s="73"/>
      <c r="AC102" s="73"/>
      <c r="AD102" s="73"/>
      <c r="AE102" s="73"/>
      <c r="AF102" s="73"/>
      <c r="AG102" s="73"/>
      <c r="AH102" s="73"/>
      <c r="AI102" s="73"/>
      <c r="AJ102" s="73"/>
    </row>
    <row r="103" spans="2:36" ht="15" customHeight="1">
      <c r="B103" s="67"/>
      <c r="C103" s="225"/>
      <c r="D103" s="225"/>
      <c r="E103" s="68"/>
      <c r="F103" s="68"/>
      <c r="G103" s="69"/>
      <c r="H103" s="69"/>
      <c r="I103" s="72"/>
      <c r="J103" s="71"/>
      <c r="K103" s="68"/>
      <c r="L103" s="68"/>
      <c r="M103" s="68"/>
      <c r="N103" s="68"/>
      <c r="O103" s="68"/>
      <c r="P103" s="61">
        <f t="shared" si="10"/>
        <v>0</v>
      </c>
      <c r="Q103" s="61">
        <f t="shared" si="11"/>
        <v>0</v>
      </c>
      <c r="R103" s="61">
        <f t="shared" si="12"/>
        <v>0</v>
      </c>
      <c r="S103" s="61">
        <f t="shared" si="13"/>
        <v>0</v>
      </c>
      <c r="T103" s="61">
        <f t="shared" si="14"/>
        <v>0</v>
      </c>
      <c r="U103" s="61">
        <f t="shared" si="15"/>
        <v>0</v>
      </c>
      <c r="V103" s="61">
        <f t="shared" si="16"/>
        <v>0</v>
      </c>
      <c r="W103" s="61">
        <f t="shared" si="17"/>
        <v>0</v>
      </c>
      <c r="X103" s="61">
        <f t="shared" si="18"/>
        <v>0</v>
      </c>
      <c r="Y103" s="61">
        <f t="shared" si="19"/>
        <v>0</v>
      </c>
      <c r="Z103" s="73"/>
      <c r="AA103" s="73"/>
      <c r="AB103" s="73"/>
      <c r="AC103" s="73"/>
      <c r="AD103" s="73"/>
      <c r="AE103" s="73"/>
      <c r="AF103" s="73"/>
      <c r="AG103" s="73"/>
      <c r="AH103" s="73"/>
      <c r="AI103" s="73"/>
      <c r="AJ103" s="73"/>
    </row>
    <row r="104" spans="2:36" ht="15" customHeight="1">
      <c r="B104" s="67"/>
      <c r="C104" s="225"/>
      <c r="D104" s="225"/>
      <c r="E104" s="68"/>
      <c r="F104" s="68"/>
      <c r="G104" s="69"/>
      <c r="H104" s="69"/>
      <c r="I104" s="72"/>
      <c r="J104" s="71"/>
      <c r="K104" s="68"/>
      <c r="L104" s="68"/>
      <c r="M104" s="68"/>
      <c r="N104" s="68"/>
      <c r="O104" s="68"/>
      <c r="P104" s="61">
        <f t="shared" si="10"/>
        <v>0</v>
      </c>
      <c r="Q104" s="61">
        <f t="shared" si="11"/>
        <v>0</v>
      </c>
      <c r="R104" s="61">
        <f t="shared" si="12"/>
        <v>0</v>
      </c>
      <c r="S104" s="61">
        <f t="shared" si="13"/>
        <v>0</v>
      </c>
      <c r="T104" s="61">
        <f t="shared" si="14"/>
        <v>0</v>
      </c>
      <c r="U104" s="61">
        <f t="shared" si="15"/>
        <v>0</v>
      </c>
      <c r="V104" s="61">
        <f t="shared" si="16"/>
        <v>0</v>
      </c>
      <c r="W104" s="61">
        <f t="shared" si="17"/>
        <v>0</v>
      </c>
      <c r="X104" s="61">
        <f t="shared" si="18"/>
        <v>0</v>
      </c>
      <c r="Y104" s="61">
        <f t="shared" si="19"/>
        <v>0</v>
      </c>
      <c r="Z104" s="73"/>
      <c r="AA104" s="73"/>
      <c r="AB104" s="73"/>
      <c r="AC104" s="73"/>
      <c r="AD104" s="73"/>
      <c r="AE104" s="73"/>
      <c r="AF104" s="73"/>
      <c r="AG104" s="73"/>
      <c r="AH104" s="73"/>
      <c r="AI104" s="73"/>
      <c r="AJ104" s="73"/>
    </row>
    <row r="105" spans="2:36" ht="15" customHeight="1">
      <c r="B105" s="67"/>
      <c r="C105" s="225"/>
      <c r="D105" s="225"/>
      <c r="E105" s="68"/>
      <c r="F105" s="68"/>
      <c r="G105" s="69"/>
      <c r="H105" s="69"/>
      <c r="I105" s="72"/>
      <c r="J105" s="71"/>
      <c r="K105" s="68"/>
      <c r="L105" s="68"/>
      <c r="M105" s="68"/>
      <c r="N105" s="68"/>
      <c r="O105" s="68"/>
      <c r="P105" s="61">
        <f t="shared" si="10"/>
        <v>0</v>
      </c>
      <c r="Q105" s="61">
        <f t="shared" si="11"/>
        <v>0</v>
      </c>
      <c r="R105" s="61">
        <f t="shared" si="12"/>
        <v>0</v>
      </c>
      <c r="S105" s="61">
        <f t="shared" si="13"/>
        <v>0</v>
      </c>
      <c r="T105" s="61">
        <f t="shared" si="14"/>
        <v>0</v>
      </c>
      <c r="U105" s="61">
        <f t="shared" si="15"/>
        <v>0</v>
      </c>
      <c r="V105" s="61">
        <f t="shared" si="16"/>
        <v>0</v>
      </c>
      <c r="W105" s="61">
        <f t="shared" si="17"/>
        <v>0</v>
      </c>
      <c r="X105" s="61">
        <f t="shared" si="18"/>
        <v>0</v>
      </c>
      <c r="Y105" s="61">
        <f t="shared" si="19"/>
        <v>0</v>
      </c>
      <c r="Z105" s="73"/>
      <c r="AA105" s="73"/>
      <c r="AB105" s="73"/>
      <c r="AC105" s="73"/>
      <c r="AD105" s="73"/>
      <c r="AE105" s="73"/>
      <c r="AF105" s="73"/>
      <c r="AG105" s="73"/>
      <c r="AH105" s="73"/>
      <c r="AI105" s="73"/>
      <c r="AJ105" s="73"/>
    </row>
    <row r="106" spans="2:36" ht="15" customHeight="1">
      <c r="B106" s="67"/>
      <c r="C106" s="225"/>
      <c r="D106" s="225"/>
      <c r="E106" s="68"/>
      <c r="F106" s="68"/>
      <c r="G106" s="69"/>
      <c r="H106" s="69"/>
      <c r="I106" s="72"/>
      <c r="J106" s="71"/>
      <c r="K106" s="68"/>
      <c r="L106" s="68"/>
      <c r="M106" s="68"/>
      <c r="N106" s="68"/>
      <c r="O106" s="68"/>
      <c r="P106" s="61">
        <f t="shared" si="10"/>
        <v>0</v>
      </c>
      <c r="Q106" s="61">
        <f t="shared" si="11"/>
        <v>0</v>
      </c>
      <c r="R106" s="61">
        <f t="shared" si="12"/>
        <v>0</v>
      </c>
      <c r="S106" s="61">
        <f t="shared" si="13"/>
        <v>0</v>
      </c>
      <c r="T106" s="61">
        <f t="shared" si="14"/>
        <v>0</v>
      </c>
      <c r="U106" s="61">
        <f t="shared" si="15"/>
        <v>0</v>
      </c>
      <c r="V106" s="61">
        <f t="shared" si="16"/>
        <v>0</v>
      </c>
      <c r="W106" s="61">
        <f t="shared" si="17"/>
        <v>0</v>
      </c>
      <c r="X106" s="61">
        <f t="shared" si="18"/>
        <v>0</v>
      </c>
      <c r="Y106" s="61">
        <f t="shared" si="19"/>
        <v>0</v>
      </c>
      <c r="Z106" s="73"/>
      <c r="AA106" s="73"/>
      <c r="AB106" s="73"/>
      <c r="AC106" s="73"/>
      <c r="AD106" s="73"/>
      <c r="AE106" s="73"/>
      <c r="AF106" s="73"/>
      <c r="AG106" s="73"/>
      <c r="AH106" s="73"/>
      <c r="AI106" s="73"/>
      <c r="AJ106" s="73"/>
    </row>
    <row r="107" spans="2:36" ht="15" customHeight="1">
      <c r="B107" s="67"/>
      <c r="C107" s="225"/>
      <c r="D107" s="225"/>
      <c r="E107" s="68"/>
      <c r="F107" s="68"/>
      <c r="G107" s="69"/>
      <c r="H107" s="69"/>
      <c r="I107" s="72"/>
      <c r="J107" s="71"/>
      <c r="K107" s="68"/>
      <c r="L107" s="68"/>
      <c r="M107" s="68"/>
      <c r="N107" s="68"/>
      <c r="O107" s="68"/>
      <c r="P107" s="61">
        <f t="shared" si="10"/>
        <v>0</v>
      </c>
      <c r="Q107" s="61">
        <f t="shared" si="11"/>
        <v>0</v>
      </c>
      <c r="R107" s="61">
        <f t="shared" si="12"/>
        <v>0</v>
      </c>
      <c r="S107" s="61">
        <f t="shared" si="13"/>
        <v>0</v>
      </c>
      <c r="T107" s="61">
        <f t="shared" si="14"/>
        <v>0</v>
      </c>
      <c r="U107" s="61">
        <f t="shared" si="15"/>
        <v>0</v>
      </c>
      <c r="V107" s="61">
        <f t="shared" si="16"/>
        <v>0</v>
      </c>
      <c r="W107" s="61">
        <f t="shared" si="17"/>
        <v>0</v>
      </c>
      <c r="X107" s="61">
        <f t="shared" si="18"/>
        <v>0</v>
      </c>
      <c r="Y107" s="61">
        <f t="shared" si="19"/>
        <v>0</v>
      </c>
      <c r="Z107" s="73"/>
      <c r="AA107" s="73"/>
      <c r="AB107" s="73"/>
      <c r="AC107" s="73"/>
      <c r="AD107" s="73"/>
      <c r="AE107" s="73"/>
      <c r="AF107" s="73"/>
      <c r="AG107" s="73"/>
      <c r="AH107" s="73"/>
      <c r="AI107" s="73"/>
      <c r="AJ107" s="73"/>
    </row>
    <row r="108" spans="2:36" ht="15" customHeight="1">
      <c r="B108" s="67"/>
      <c r="C108" s="225"/>
      <c r="D108" s="225"/>
      <c r="E108" s="68"/>
      <c r="F108" s="68"/>
      <c r="G108" s="69"/>
      <c r="H108" s="69"/>
      <c r="I108" s="72"/>
      <c r="J108" s="71"/>
      <c r="K108" s="68"/>
      <c r="L108" s="68"/>
      <c r="M108" s="68"/>
      <c r="N108" s="68"/>
      <c r="O108" s="68"/>
      <c r="P108" s="61">
        <f t="shared" si="10"/>
        <v>0</v>
      </c>
      <c r="Q108" s="61">
        <f t="shared" si="11"/>
        <v>0</v>
      </c>
      <c r="R108" s="61">
        <f t="shared" si="12"/>
        <v>0</v>
      </c>
      <c r="S108" s="61">
        <f t="shared" si="13"/>
        <v>0</v>
      </c>
      <c r="T108" s="61">
        <f t="shared" si="14"/>
        <v>0</v>
      </c>
      <c r="U108" s="61">
        <f t="shared" si="15"/>
        <v>0</v>
      </c>
      <c r="V108" s="61">
        <f t="shared" si="16"/>
        <v>0</v>
      </c>
      <c r="W108" s="61">
        <f t="shared" si="17"/>
        <v>0</v>
      </c>
      <c r="X108" s="61">
        <f t="shared" si="18"/>
        <v>0</v>
      </c>
      <c r="Y108" s="61">
        <f t="shared" si="19"/>
        <v>0</v>
      </c>
      <c r="Z108" s="73"/>
      <c r="AA108" s="73"/>
      <c r="AB108" s="73"/>
      <c r="AC108" s="73"/>
      <c r="AD108" s="73"/>
      <c r="AE108" s="73"/>
      <c r="AF108" s="73"/>
      <c r="AG108" s="73"/>
      <c r="AH108" s="73"/>
      <c r="AI108" s="73"/>
      <c r="AJ108" s="73"/>
    </row>
    <row r="109" spans="2:36" ht="15" customHeight="1">
      <c r="B109" s="67"/>
      <c r="C109" s="225"/>
      <c r="D109" s="225"/>
      <c r="E109" s="68"/>
      <c r="F109" s="68"/>
      <c r="G109" s="69"/>
      <c r="H109" s="69"/>
      <c r="I109" s="72"/>
      <c r="J109" s="71"/>
      <c r="K109" s="68"/>
      <c r="L109" s="68"/>
      <c r="M109" s="68"/>
      <c r="N109" s="68"/>
      <c r="O109" s="68"/>
      <c r="P109" s="61">
        <f t="shared" si="10"/>
        <v>0</v>
      </c>
      <c r="Q109" s="61">
        <f t="shared" si="11"/>
        <v>0</v>
      </c>
      <c r="R109" s="61">
        <f t="shared" si="12"/>
        <v>0</v>
      </c>
      <c r="S109" s="61">
        <f t="shared" si="13"/>
        <v>0</v>
      </c>
      <c r="T109" s="61">
        <f t="shared" si="14"/>
        <v>0</v>
      </c>
      <c r="U109" s="61">
        <f t="shared" si="15"/>
        <v>0</v>
      </c>
      <c r="V109" s="61">
        <f t="shared" si="16"/>
        <v>0</v>
      </c>
      <c r="W109" s="61">
        <f t="shared" si="17"/>
        <v>0</v>
      </c>
      <c r="X109" s="61">
        <f t="shared" si="18"/>
        <v>0</v>
      </c>
      <c r="Y109" s="61">
        <f t="shared" si="19"/>
        <v>0</v>
      </c>
      <c r="Z109" s="73"/>
      <c r="AA109" s="73"/>
      <c r="AB109" s="73"/>
      <c r="AC109" s="73"/>
      <c r="AD109" s="73"/>
      <c r="AE109" s="73"/>
      <c r="AF109" s="73"/>
      <c r="AG109" s="73"/>
      <c r="AH109" s="73"/>
      <c r="AI109" s="73"/>
      <c r="AJ109" s="73"/>
    </row>
    <row r="110" spans="2:36" ht="15" customHeight="1">
      <c r="B110" s="67"/>
      <c r="C110" s="225"/>
      <c r="D110" s="225"/>
      <c r="E110" s="68"/>
      <c r="F110" s="68"/>
      <c r="G110" s="69"/>
      <c r="H110" s="69"/>
      <c r="I110" s="72"/>
      <c r="J110" s="71"/>
      <c r="K110" s="68"/>
      <c r="L110" s="68"/>
      <c r="M110" s="68"/>
      <c r="N110" s="68"/>
      <c r="O110" s="68"/>
      <c r="P110" s="61">
        <f t="shared" si="10"/>
        <v>0</v>
      </c>
      <c r="Q110" s="61">
        <f t="shared" si="11"/>
        <v>0</v>
      </c>
      <c r="R110" s="61">
        <f t="shared" si="12"/>
        <v>0</v>
      </c>
      <c r="S110" s="61">
        <f t="shared" si="13"/>
        <v>0</v>
      </c>
      <c r="T110" s="61">
        <f t="shared" si="14"/>
        <v>0</v>
      </c>
      <c r="U110" s="61">
        <f t="shared" si="15"/>
        <v>0</v>
      </c>
      <c r="V110" s="61">
        <f t="shared" si="16"/>
        <v>0</v>
      </c>
      <c r="W110" s="61">
        <f t="shared" si="17"/>
        <v>0</v>
      </c>
      <c r="X110" s="61">
        <f t="shared" si="18"/>
        <v>0</v>
      </c>
      <c r="Y110" s="61">
        <f t="shared" si="19"/>
        <v>0</v>
      </c>
      <c r="Z110" s="73"/>
      <c r="AA110" s="73"/>
      <c r="AB110" s="73"/>
      <c r="AC110" s="73"/>
      <c r="AD110" s="73"/>
      <c r="AE110" s="73"/>
      <c r="AF110" s="73"/>
      <c r="AG110" s="73"/>
      <c r="AH110" s="73"/>
      <c r="AI110" s="73"/>
      <c r="AJ110" s="73"/>
    </row>
    <row r="111" spans="2:36" ht="15" customHeight="1">
      <c r="B111" s="67"/>
      <c r="C111" s="225"/>
      <c r="D111" s="225"/>
      <c r="E111" s="68"/>
      <c r="F111" s="68"/>
      <c r="G111" s="69"/>
      <c r="H111" s="69"/>
      <c r="I111" s="72"/>
      <c r="J111" s="71"/>
      <c r="K111" s="68"/>
      <c r="L111" s="68"/>
      <c r="M111" s="68"/>
      <c r="N111" s="68"/>
      <c r="O111" s="68"/>
      <c r="P111" s="61">
        <f t="shared" si="10"/>
        <v>0</v>
      </c>
      <c r="Q111" s="61">
        <f t="shared" si="11"/>
        <v>0</v>
      </c>
      <c r="R111" s="61">
        <f t="shared" si="12"/>
        <v>0</v>
      </c>
      <c r="S111" s="61">
        <f t="shared" si="13"/>
        <v>0</v>
      </c>
      <c r="T111" s="61">
        <f t="shared" si="14"/>
        <v>0</v>
      </c>
      <c r="U111" s="61">
        <f t="shared" si="15"/>
        <v>0</v>
      </c>
      <c r="V111" s="61">
        <f t="shared" si="16"/>
        <v>0</v>
      </c>
      <c r="W111" s="61">
        <f t="shared" si="17"/>
        <v>0</v>
      </c>
      <c r="X111" s="61">
        <f t="shared" si="18"/>
        <v>0</v>
      </c>
      <c r="Y111" s="61">
        <f t="shared" si="19"/>
        <v>0</v>
      </c>
      <c r="Z111" s="73"/>
      <c r="AA111" s="73"/>
      <c r="AB111" s="73"/>
      <c r="AC111" s="73"/>
      <c r="AD111" s="73"/>
      <c r="AE111" s="73"/>
      <c r="AF111" s="73"/>
      <c r="AG111" s="73"/>
      <c r="AH111" s="73"/>
      <c r="AI111" s="73"/>
      <c r="AJ111" s="73"/>
    </row>
    <row r="112" spans="2:36" ht="15" customHeight="1">
      <c r="B112" s="67"/>
      <c r="C112" s="225"/>
      <c r="D112" s="225"/>
      <c r="E112" s="68"/>
      <c r="F112" s="68"/>
      <c r="G112" s="69"/>
      <c r="H112" s="69"/>
      <c r="I112" s="72"/>
      <c r="J112" s="71"/>
      <c r="K112" s="68"/>
      <c r="L112" s="68"/>
      <c r="M112" s="68"/>
      <c r="N112" s="68"/>
      <c r="O112" s="68"/>
      <c r="P112" s="61">
        <f t="shared" si="10"/>
        <v>0</v>
      </c>
      <c r="Q112" s="61">
        <f t="shared" si="11"/>
        <v>0</v>
      </c>
      <c r="R112" s="61">
        <f t="shared" si="12"/>
        <v>0</v>
      </c>
      <c r="S112" s="61">
        <f t="shared" si="13"/>
        <v>0</v>
      </c>
      <c r="T112" s="61">
        <f t="shared" si="14"/>
        <v>0</v>
      </c>
      <c r="U112" s="61">
        <f t="shared" si="15"/>
        <v>0</v>
      </c>
      <c r="V112" s="61">
        <f t="shared" si="16"/>
        <v>0</v>
      </c>
      <c r="W112" s="61">
        <f t="shared" si="17"/>
        <v>0</v>
      </c>
      <c r="X112" s="61">
        <f t="shared" si="18"/>
        <v>0</v>
      </c>
      <c r="Y112" s="61">
        <f t="shared" si="19"/>
        <v>0</v>
      </c>
      <c r="Z112" s="73"/>
      <c r="AA112" s="73"/>
      <c r="AB112" s="73"/>
      <c r="AC112" s="73"/>
      <c r="AD112" s="73"/>
      <c r="AE112" s="73"/>
      <c r="AF112" s="73"/>
      <c r="AG112" s="73"/>
      <c r="AH112" s="73"/>
      <c r="AI112" s="73"/>
      <c r="AJ112" s="73"/>
    </row>
    <row r="113" spans="2:36" ht="15" customHeight="1">
      <c r="B113" s="67"/>
      <c r="C113" s="225"/>
      <c r="D113" s="225"/>
      <c r="E113" s="68"/>
      <c r="F113" s="68"/>
      <c r="G113" s="69"/>
      <c r="H113" s="69"/>
      <c r="I113" s="72"/>
      <c r="J113" s="71"/>
      <c r="K113" s="68"/>
      <c r="L113" s="68"/>
      <c r="M113" s="68"/>
      <c r="N113" s="68"/>
      <c r="O113" s="68"/>
      <c r="P113" s="61">
        <f t="shared" si="10"/>
        <v>0</v>
      </c>
      <c r="Q113" s="61">
        <f t="shared" si="11"/>
        <v>0</v>
      </c>
      <c r="R113" s="61">
        <f t="shared" si="12"/>
        <v>0</v>
      </c>
      <c r="S113" s="61">
        <f t="shared" si="13"/>
        <v>0</v>
      </c>
      <c r="T113" s="61">
        <f t="shared" si="14"/>
        <v>0</v>
      </c>
      <c r="U113" s="61">
        <f t="shared" si="15"/>
        <v>0</v>
      </c>
      <c r="V113" s="61">
        <f t="shared" si="16"/>
        <v>0</v>
      </c>
      <c r="W113" s="61">
        <f t="shared" si="17"/>
        <v>0</v>
      </c>
      <c r="X113" s="61">
        <f t="shared" si="18"/>
        <v>0</v>
      </c>
      <c r="Y113" s="61">
        <f t="shared" si="19"/>
        <v>0</v>
      </c>
      <c r="Z113" s="73"/>
      <c r="AA113" s="73"/>
      <c r="AB113" s="73"/>
      <c r="AC113" s="73"/>
      <c r="AD113" s="73"/>
      <c r="AE113" s="73"/>
      <c r="AF113" s="73"/>
      <c r="AG113" s="73"/>
      <c r="AH113" s="73"/>
      <c r="AI113" s="73"/>
      <c r="AJ113" s="73"/>
    </row>
    <row r="114" spans="2:36" ht="15" customHeight="1">
      <c r="B114" s="67"/>
      <c r="C114" s="225"/>
      <c r="D114" s="225"/>
      <c r="E114" s="68"/>
      <c r="F114" s="68"/>
      <c r="G114" s="69"/>
      <c r="H114" s="69"/>
      <c r="I114" s="72"/>
      <c r="J114" s="71"/>
      <c r="K114" s="68"/>
      <c r="L114" s="68"/>
      <c r="M114" s="68"/>
      <c r="N114" s="68"/>
      <c r="O114" s="68"/>
      <c r="P114" s="61">
        <f t="shared" si="10"/>
        <v>0</v>
      </c>
      <c r="Q114" s="61">
        <f t="shared" si="11"/>
        <v>0</v>
      </c>
      <c r="R114" s="61">
        <f t="shared" si="12"/>
        <v>0</v>
      </c>
      <c r="S114" s="61">
        <f t="shared" si="13"/>
        <v>0</v>
      </c>
      <c r="T114" s="61">
        <f t="shared" si="14"/>
        <v>0</v>
      </c>
      <c r="U114" s="61">
        <f t="shared" si="15"/>
        <v>0</v>
      </c>
      <c r="V114" s="61">
        <f t="shared" si="16"/>
        <v>0</v>
      </c>
      <c r="W114" s="61">
        <f t="shared" si="17"/>
        <v>0</v>
      </c>
      <c r="X114" s="61">
        <f t="shared" si="18"/>
        <v>0</v>
      </c>
      <c r="Y114" s="61">
        <f t="shared" si="19"/>
        <v>0</v>
      </c>
      <c r="Z114" s="73"/>
      <c r="AA114" s="73"/>
      <c r="AB114" s="73"/>
      <c r="AC114" s="73"/>
      <c r="AD114" s="73"/>
      <c r="AE114" s="73"/>
      <c r="AF114" s="73"/>
      <c r="AG114" s="73"/>
      <c r="AH114" s="73"/>
      <c r="AI114" s="73"/>
      <c r="AJ114" s="73"/>
    </row>
    <row r="115" spans="2:36" ht="15" customHeight="1">
      <c r="B115" s="67"/>
      <c r="C115" s="225"/>
      <c r="D115" s="225"/>
      <c r="E115" s="68"/>
      <c r="F115" s="68"/>
      <c r="G115" s="69"/>
      <c r="H115" s="69"/>
      <c r="I115" s="72"/>
      <c r="J115" s="71"/>
      <c r="K115" s="68"/>
      <c r="L115" s="68"/>
      <c r="M115" s="68"/>
      <c r="N115" s="68"/>
      <c r="O115" s="68"/>
      <c r="P115" s="61">
        <f t="shared" si="10"/>
        <v>0</v>
      </c>
      <c r="Q115" s="61">
        <f t="shared" si="11"/>
        <v>0</v>
      </c>
      <c r="R115" s="61">
        <f t="shared" si="12"/>
        <v>0</v>
      </c>
      <c r="S115" s="61">
        <f t="shared" si="13"/>
        <v>0</v>
      </c>
      <c r="T115" s="61">
        <f t="shared" si="14"/>
        <v>0</v>
      </c>
      <c r="U115" s="61">
        <f t="shared" si="15"/>
        <v>0</v>
      </c>
      <c r="V115" s="61">
        <f t="shared" si="16"/>
        <v>0</v>
      </c>
      <c r="W115" s="61">
        <f t="shared" si="17"/>
        <v>0</v>
      </c>
      <c r="X115" s="61">
        <f t="shared" si="18"/>
        <v>0</v>
      </c>
      <c r="Y115" s="61">
        <f t="shared" si="19"/>
        <v>0</v>
      </c>
      <c r="Z115" s="73"/>
      <c r="AA115" s="73"/>
      <c r="AB115" s="73"/>
      <c r="AC115" s="73"/>
      <c r="AD115" s="73"/>
      <c r="AE115" s="73"/>
      <c r="AF115" s="73"/>
      <c r="AG115" s="73"/>
      <c r="AH115" s="73"/>
      <c r="AI115" s="73"/>
      <c r="AJ115" s="73"/>
    </row>
    <row r="116" spans="2:36" ht="15" customHeight="1">
      <c r="B116" s="67"/>
      <c r="C116" s="225"/>
      <c r="D116" s="225"/>
      <c r="E116" s="68"/>
      <c r="F116" s="68"/>
      <c r="G116" s="69"/>
      <c r="H116" s="69"/>
      <c r="I116" s="72"/>
      <c r="J116" s="71"/>
      <c r="K116" s="68"/>
      <c r="L116" s="68"/>
      <c r="M116" s="68"/>
      <c r="N116" s="68"/>
      <c r="O116" s="68"/>
      <c r="P116" s="61">
        <f t="shared" si="10"/>
        <v>0</v>
      </c>
      <c r="Q116" s="61">
        <f t="shared" si="11"/>
        <v>0</v>
      </c>
      <c r="R116" s="61">
        <f t="shared" si="12"/>
        <v>0</v>
      </c>
      <c r="S116" s="61">
        <f t="shared" si="13"/>
        <v>0</v>
      </c>
      <c r="T116" s="61">
        <f t="shared" si="14"/>
        <v>0</v>
      </c>
      <c r="U116" s="61">
        <f t="shared" si="15"/>
        <v>0</v>
      </c>
      <c r="V116" s="61">
        <f t="shared" si="16"/>
        <v>0</v>
      </c>
      <c r="W116" s="61">
        <f t="shared" si="17"/>
        <v>0</v>
      </c>
      <c r="X116" s="61">
        <f t="shared" si="18"/>
        <v>0</v>
      </c>
      <c r="Y116" s="61">
        <f t="shared" si="19"/>
        <v>0</v>
      </c>
      <c r="Z116" s="73"/>
      <c r="AA116" s="73"/>
      <c r="AB116" s="73"/>
      <c r="AC116" s="73"/>
      <c r="AD116" s="73"/>
      <c r="AE116" s="73"/>
      <c r="AF116" s="73"/>
      <c r="AG116" s="73"/>
      <c r="AH116" s="73"/>
      <c r="AI116" s="73"/>
      <c r="AJ116" s="73"/>
    </row>
    <row r="117" spans="2:36" ht="15" customHeight="1">
      <c r="B117" s="67"/>
      <c r="C117" s="225"/>
      <c r="D117" s="225"/>
      <c r="E117" s="68"/>
      <c r="F117" s="68"/>
      <c r="G117" s="69"/>
      <c r="H117" s="69"/>
      <c r="I117" s="72"/>
      <c r="J117" s="71"/>
      <c r="K117" s="68"/>
      <c r="L117" s="68"/>
      <c r="M117" s="68"/>
      <c r="N117" s="68"/>
      <c r="O117" s="68"/>
      <c r="P117" s="61">
        <f t="shared" si="10"/>
        <v>0</v>
      </c>
      <c r="Q117" s="61">
        <f t="shared" si="11"/>
        <v>0</v>
      </c>
      <c r="R117" s="61">
        <f t="shared" si="12"/>
        <v>0</v>
      </c>
      <c r="S117" s="61">
        <f t="shared" si="13"/>
        <v>0</v>
      </c>
      <c r="T117" s="61">
        <f t="shared" si="14"/>
        <v>0</v>
      </c>
      <c r="U117" s="61">
        <f t="shared" si="15"/>
        <v>0</v>
      </c>
      <c r="V117" s="61">
        <f t="shared" si="16"/>
        <v>0</v>
      </c>
      <c r="W117" s="61">
        <f t="shared" si="17"/>
        <v>0</v>
      </c>
      <c r="X117" s="61">
        <f t="shared" si="18"/>
        <v>0</v>
      </c>
      <c r="Y117" s="61">
        <f t="shared" si="19"/>
        <v>0</v>
      </c>
      <c r="Z117" s="73"/>
      <c r="AA117" s="73"/>
      <c r="AB117" s="73"/>
      <c r="AC117" s="73"/>
      <c r="AD117" s="73"/>
      <c r="AE117" s="73"/>
      <c r="AF117" s="73"/>
      <c r="AG117" s="73"/>
      <c r="AH117" s="73"/>
      <c r="AI117" s="73"/>
      <c r="AJ117" s="73"/>
    </row>
    <row r="118" spans="2:36" ht="15" customHeight="1">
      <c r="B118" s="67"/>
      <c r="C118" s="225"/>
      <c r="D118" s="225"/>
      <c r="E118" s="68"/>
      <c r="F118" s="68"/>
      <c r="G118" s="69"/>
      <c r="H118" s="69"/>
      <c r="I118" s="72"/>
      <c r="J118" s="71"/>
      <c r="K118" s="68"/>
      <c r="L118" s="68"/>
      <c r="M118" s="68"/>
      <c r="N118" s="68"/>
      <c r="O118" s="68"/>
      <c r="P118" s="61">
        <f t="shared" si="10"/>
        <v>0</v>
      </c>
      <c r="Q118" s="61">
        <f t="shared" si="11"/>
        <v>0</v>
      </c>
      <c r="R118" s="61">
        <f t="shared" si="12"/>
        <v>0</v>
      </c>
      <c r="S118" s="61">
        <f t="shared" si="13"/>
        <v>0</v>
      </c>
      <c r="T118" s="61">
        <f t="shared" si="14"/>
        <v>0</v>
      </c>
      <c r="U118" s="61">
        <f t="shared" si="15"/>
        <v>0</v>
      </c>
      <c r="V118" s="61">
        <f t="shared" si="16"/>
        <v>0</v>
      </c>
      <c r="W118" s="61">
        <f t="shared" si="17"/>
        <v>0</v>
      </c>
      <c r="X118" s="61">
        <f t="shared" si="18"/>
        <v>0</v>
      </c>
      <c r="Y118" s="61">
        <f t="shared" si="19"/>
        <v>0</v>
      </c>
      <c r="Z118" s="73"/>
      <c r="AA118" s="73"/>
      <c r="AB118" s="73"/>
      <c r="AC118" s="73"/>
      <c r="AD118" s="73"/>
      <c r="AE118" s="73"/>
      <c r="AF118" s="73"/>
      <c r="AG118" s="73"/>
      <c r="AH118" s="73"/>
      <c r="AI118" s="73"/>
      <c r="AJ118" s="73"/>
    </row>
    <row r="119" spans="2:36" ht="15" customHeight="1">
      <c r="B119" s="67"/>
      <c r="C119" s="225"/>
      <c r="D119" s="225"/>
      <c r="E119" s="68"/>
      <c r="F119" s="68"/>
      <c r="G119" s="69"/>
      <c r="H119" s="69"/>
      <c r="I119" s="72"/>
      <c r="J119" s="71"/>
      <c r="K119" s="68"/>
      <c r="L119" s="68"/>
      <c r="M119" s="68"/>
      <c r="N119" s="68"/>
      <c r="O119" s="68"/>
      <c r="P119" s="61">
        <f t="shared" si="10"/>
        <v>0</v>
      </c>
      <c r="Q119" s="61">
        <f t="shared" si="11"/>
        <v>0</v>
      </c>
      <c r="R119" s="61">
        <f t="shared" si="12"/>
        <v>0</v>
      </c>
      <c r="S119" s="61">
        <f t="shared" si="13"/>
        <v>0</v>
      </c>
      <c r="T119" s="61">
        <f t="shared" si="14"/>
        <v>0</v>
      </c>
      <c r="U119" s="61">
        <f t="shared" si="15"/>
        <v>0</v>
      </c>
      <c r="V119" s="61">
        <f t="shared" si="16"/>
        <v>0</v>
      </c>
      <c r="W119" s="61">
        <f t="shared" si="17"/>
        <v>0</v>
      </c>
      <c r="X119" s="61">
        <f t="shared" si="18"/>
        <v>0</v>
      </c>
      <c r="Y119" s="61">
        <f t="shared" si="19"/>
        <v>0</v>
      </c>
      <c r="Z119" s="73"/>
      <c r="AA119" s="73"/>
      <c r="AB119" s="73"/>
      <c r="AC119" s="73"/>
      <c r="AD119" s="73"/>
      <c r="AE119" s="73"/>
      <c r="AF119" s="73"/>
      <c r="AG119" s="73"/>
      <c r="AH119" s="73"/>
      <c r="AI119" s="73"/>
      <c r="AJ119" s="73"/>
    </row>
    <row r="120" spans="2:36" ht="15" customHeight="1">
      <c r="B120" s="67"/>
      <c r="C120" s="225"/>
      <c r="D120" s="225"/>
      <c r="E120" s="68"/>
      <c r="F120" s="68"/>
      <c r="G120" s="69"/>
      <c r="H120" s="69"/>
      <c r="I120" s="72"/>
      <c r="J120" s="71"/>
      <c r="K120" s="68"/>
      <c r="L120" s="68"/>
      <c r="M120" s="68"/>
      <c r="N120" s="68"/>
      <c r="O120" s="68"/>
      <c r="P120" s="61">
        <f t="shared" si="10"/>
        <v>0</v>
      </c>
      <c r="Q120" s="61">
        <f t="shared" si="11"/>
        <v>0</v>
      </c>
      <c r="R120" s="61">
        <f t="shared" si="12"/>
        <v>0</v>
      </c>
      <c r="S120" s="61">
        <f t="shared" si="13"/>
        <v>0</v>
      </c>
      <c r="T120" s="61">
        <f t="shared" si="14"/>
        <v>0</v>
      </c>
      <c r="U120" s="61">
        <f t="shared" si="15"/>
        <v>0</v>
      </c>
      <c r="V120" s="61">
        <f t="shared" si="16"/>
        <v>0</v>
      </c>
      <c r="W120" s="61">
        <f t="shared" si="17"/>
        <v>0</v>
      </c>
      <c r="X120" s="61">
        <f t="shared" si="18"/>
        <v>0</v>
      </c>
      <c r="Y120" s="61">
        <f t="shared" si="19"/>
        <v>0</v>
      </c>
      <c r="Z120" s="73"/>
      <c r="AA120" s="73"/>
      <c r="AB120" s="73"/>
      <c r="AC120" s="73"/>
      <c r="AD120" s="73"/>
      <c r="AE120" s="73"/>
      <c r="AF120" s="73"/>
      <c r="AG120" s="73"/>
      <c r="AH120" s="73"/>
      <c r="AI120" s="73"/>
      <c r="AJ120" s="73"/>
    </row>
    <row r="121" spans="2:36" ht="15" customHeight="1">
      <c r="B121" s="67"/>
      <c r="C121" s="225"/>
      <c r="D121" s="225"/>
      <c r="E121" s="68"/>
      <c r="F121" s="68"/>
      <c r="G121" s="69"/>
      <c r="H121" s="69"/>
      <c r="I121" s="72"/>
      <c r="J121" s="71"/>
      <c r="K121" s="68"/>
      <c r="L121" s="68"/>
      <c r="M121" s="68"/>
      <c r="N121" s="68"/>
      <c r="O121" s="68"/>
      <c r="P121" s="61">
        <f t="shared" si="10"/>
        <v>0</v>
      </c>
      <c r="Q121" s="61">
        <f t="shared" si="11"/>
        <v>0</v>
      </c>
      <c r="R121" s="61">
        <f t="shared" si="12"/>
        <v>0</v>
      </c>
      <c r="S121" s="61">
        <f t="shared" si="13"/>
        <v>0</v>
      </c>
      <c r="T121" s="61">
        <f t="shared" si="14"/>
        <v>0</v>
      </c>
      <c r="U121" s="61">
        <f t="shared" si="15"/>
        <v>0</v>
      </c>
      <c r="V121" s="61">
        <f t="shared" si="16"/>
        <v>0</v>
      </c>
      <c r="W121" s="61">
        <f t="shared" si="17"/>
        <v>0</v>
      </c>
      <c r="X121" s="61">
        <f t="shared" si="18"/>
        <v>0</v>
      </c>
      <c r="Y121" s="61">
        <f t="shared" si="19"/>
        <v>0</v>
      </c>
      <c r="Z121" s="73"/>
      <c r="AA121" s="73"/>
      <c r="AB121" s="73"/>
      <c r="AC121" s="73"/>
      <c r="AD121" s="73"/>
      <c r="AE121" s="73"/>
      <c r="AF121" s="73"/>
      <c r="AG121" s="73"/>
      <c r="AH121" s="73"/>
      <c r="AI121" s="73"/>
      <c r="AJ121" s="73"/>
    </row>
    <row r="122" spans="2:36" ht="15" customHeight="1">
      <c r="B122" s="67"/>
      <c r="C122" s="225"/>
      <c r="D122" s="225"/>
      <c r="E122" s="68"/>
      <c r="F122" s="68"/>
      <c r="G122" s="69"/>
      <c r="H122" s="69"/>
      <c r="I122" s="72"/>
      <c r="J122" s="71"/>
      <c r="K122" s="68"/>
      <c r="L122" s="68"/>
      <c r="M122" s="68"/>
      <c r="N122" s="68"/>
      <c r="O122" s="68"/>
      <c r="P122" s="61">
        <f t="shared" si="10"/>
        <v>0</v>
      </c>
      <c r="Q122" s="61">
        <f t="shared" si="11"/>
        <v>0</v>
      </c>
      <c r="R122" s="61">
        <f t="shared" si="12"/>
        <v>0</v>
      </c>
      <c r="S122" s="61">
        <f t="shared" si="13"/>
        <v>0</v>
      </c>
      <c r="T122" s="61">
        <f t="shared" si="14"/>
        <v>0</v>
      </c>
      <c r="U122" s="61">
        <f t="shared" si="15"/>
        <v>0</v>
      </c>
      <c r="V122" s="61">
        <f t="shared" si="16"/>
        <v>0</v>
      </c>
      <c r="W122" s="61">
        <f t="shared" si="17"/>
        <v>0</v>
      </c>
      <c r="X122" s="61">
        <f t="shared" si="18"/>
        <v>0</v>
      </c>
      <c r="Y122" s="61">
        <f t="shared" si="19"/>
        <v>0</v>
      </c>
      <c r="Z122" s="73"/>
      <c r="AA122" s="73"/>
      <c r="AB122" s="73"/>
      <c r="AC122" s="73"/>
      <c r="AD122" s="73"/>
      <c r="AE122" s="73"/>
      <c r="AF122" s="73"/>
      <c r="AG122" s="73"/>
      <c r="AH122" s="73"/>
      <c r="AI122" s="73"/>
      <c r="AJ122" s="73"/>
    </row>
    <row r="123" spans="2:36" ht="15" customHeight="1">
      <c r="B123" s="67"/>
      <c r="C123" s="225"/>
      <c r="D123" s="225"/>
      <c r="E123" s="68"/>
      <c r="F123" s="68"/>
      <c r="G123" s="69"/>
      <c r="H123" s="69"/>
      <c r="I123" s="72"/>
      <c r="J123" s="71"/>
      <c r="K123" s="68"/>
      <c r="L123" s="68"/>
      <c r="M123" s="68"/>
      <c r="N123" s="68"/>
      <c r="O123" s="68"/>
      <c r="P123" s="61">
        <f t="shared" si="10"/>
        <v>0</v>
      </c>
      <c r="Q123" s="61">
        <f t="shared" si="11"/>
        <v>0</v>
      </c>
      <c r="R123" s="61">
        <f t="shared" si="12"/>
        <v>0</v>
      </c>
      <c r="S123" s="61">
        <f t="shared" si="13"/>
        <v>0</v>
      </c>
      <c r="T123" s="61">
        <f t="shared" si="14"/>
        <v>0</v>
      </c>
      <c r="U123" s="61">
        <f t="shared" si="15"/>
        <v>0</v>
      </c>
      <c r="V123" s="61">
        <f t="shared" si="16"/>
        <v>0</v>
      </c>
      <c r="W123" s="61">
        <f t="shared" si="17"/>
        <v>0</v>
      </c>
      <c r="X123" s="61">
        <f t="shared" si="18"/>
        <v>0</v>
      </c>
      <c r="Y123" s="61">
        <f t="shared" si="19"/>
        <v>0</v>
      </c>
      <c r="Z123" s="73"/>
      <c r="AA123" s="73"/>
      <c r="AB123" s="73"/>
      <c r="AC123" s="73"/>
      <c r="AD123" s="73"/>
      <c r="AE123" s="73"/>
      <c r="AF123" s="73"/>
      <c r="AG123" s="73"/>
      <c r="AH123" s="73"/>
      <c r="AI123" s="73"/>
      <c r="AJ123" s="73"/>
    </row>
    <row r="124" spans="2:36" ht="15" customHeight="1">
      <c r="B124" s="67"/>
      <c r="C124" s="225"/>
      <c r="D124" s="225"/>
      <c r="E124" s="68"/>
      <c r="F124" s="68"/>
      <c r="G124" s="69"/>
      <c r="H124" s="69"/>
      <c r="I124" s="72"/>
      <c r="J124" s="71"/>
      <c r="K124" s="68"/>
      <c r="L124" s="68"/>
      <c r="M124" s="68"/>
      <c r="N124" s="68"/>
      <c r="O124" s="68"/>
      <c r="P124" s="61">
        <f t="shared" si="10"/>
        <v>0</v>
      </c>
      <c r="Q124" s="61">
        <f t="shared" si="11"/>
        <v>0</v>
      </c>
      <c r="R124" s="61">
        <f t="shared" si="12"/>
        <v>0</v>
      </c>
      <c r="S124" s="61">
        <f t="shared" si="13"/>
        <v>0</v>
      </c>
      <c r="T124" s="61">
        <f t="shared" si="14"/>
        <v>0</v>
      </c>
      <c r="U124" s="61">
        <f t="shared" si="15"/>
        <v>0</v>
      </c>
      <c r="V124" s="61">
        <f t="shared" si="16"/>
        <v>0</v>
      </c>
      <c r="W124" s="61">
        <f t="shared" si="17"/>
        <v>0</v>
      </c>
      <c r="X124" s="61">
        <f t="shared" si="18"/>
        <v>0</v>
      </c>
      <c r="Y124" s="61">
        <f t="shared" si="19"/>
        <v>0</v>
      </c>
      <c r="Z124" s="73"/>
      <c r="AA124" s="73"/>
      <c r="AB124" s="73"/>
      <c r="AC124" s="73"/>
      <c r="AD124" s="73"/>
      <c r="AE124" s="73"/>
      <c r="AF124" s="73"/>
      <c r="AG124" s="73"/>
      <c r="AH124" s="73"/>
      <c r="AI124" s="73"/>
      <c r="AJ124" s="73"/>
    </row>
    <row r="125" spans="2:36" ht="15" customHeight="1">
      <c r="B125" s="67"/>
      <c r="C125" s="225"/>
      <c r="D125" s="225"/>
      <c r="E125" s="68"/>
      <c r="F125" s="68"/>
      <c r="G125" s="69"/>
      <c r="H125" s="69"/>
      <c r="I125" s="72"/>
      <c r="J125" s="71"/>
      <c r="K125" s="68"/>
      <c r="L125" s="68"/>
      <c r="M125" s="68"/>
      <c r="N125" s="68"/>
      <c r="O125" s="68"/>
      <c r="P125" s="61">
        <f t="shared" si="10"/>
        <v>0</v>
      </c>
      <c r="Q125" s="61">
        <f t="shared" si="11"/>
        <v>0</v>
      </c>
      <c r="R125" s="61">
        <f t="shared" si="12"/>
        <v>0</v>
      </c>
      <c r="S125" s="61">
        <f t="shared" si="13"/>
        <v>0</v>
      </c>
      <c r="T125" s="61">
        <f t="shared" si="14"/>
        <v>0</v>
      </c>
      <c r="U125" s="61">
        <f t="shared" si="15"/>
        <v>0</v>
      </c>
      <c r="V125" s="61">
        <f t="shared" si="16"/>
        <v>0</v>
      </c>
      <c r="W125" s="61">
        <f t="shared" si="17"/>
        <v>0</v>
      </c>
      <c r="X125" s="61">
        <f t="shared" si="18"/>
        <v>0</v>
      </c>
      <c r="Y125" s="61">
        <f t="shared" si="19"/>
        <v>0</v>
      </c>
      <c r="Z125" s="73"/>
      <c r="AA125" s="73"/>
      <c r="AB125" s="73"/>
      <c r="AC125" s="73"/>
      <c r="AD125" s="73"/>
      <c r="AE125" s="73"/>
      <c r="AF125" s="73"/>
      <c r="AG125" s="73"/>
      <c r="AH125" s="73"/>
      <c r="AI125" s="73"/>
      <c r="AJ125" s="73"/>
    </row>
    <row r="126" spans="2:36" ht="15" customHeight="1">
      <c r="B126" s="67"/>
      <c r="C126" s="225"/>
      <c r="D126" s="225"/>
      <c r="E126" s="68"/>
      <c r="F126" s="68"/>
      <c r="G126" s="69"/>
      <c r="H126" s="69"/>
      <c r="I126" s="72"/>
      <c r="J126" s="71"/>
      <c r="K126" s="68"/>
      <c r="L126" s="68"/>
      <c r="M126" s="68"/>
      <c r="N126" s="68"/>
      <c r="O126" s="68"/>
      <c r="P126" s="61">
        <f t="shared" si="10"/>
        <v>0</v>
      </c>
      <c r="Q126" s="61">
        <f t="shared" si="11"/>
        <v>0</v>
      </c>
      <c r="R126" s="61">
        <f t="shared" si="12"/>
        <v>0</v>
      </c>
      <c r="S126" s="61">
        <f t="shared" si="13"/>
        <v>0</v>
      </c>
      <c r="T126" s="61">
        <f t="shared" si="14"/>
        <v>0</v>
      </c>
      <c r="U126" s="61">
        <f t="shared" si="15"/>
        <v>0</v>
      </c>
      <c r="V126" s="61">
        <f t="shared" si="16"/>
        <v>0</v>
      </c>
      <c r="W126" s="61">
        <f t="shared" si="17"/>
        <v>0</v>
      </c>
      <c r="X126" s="61">
        <f t="shared" si="18"/>
        <v>0</v>
      </c>
      <c r="Y126" s="61">
        <f t="shared" si="19"/>
        <v>0</v>
      </c>
      <c r="Z126" s="73"/>
      <c r="AA126" s="73"/>
      <c r="AB126" s="73"/>
      <c r="AC126" s="73"/>
      <c r="AD126" s="73"/>
      <c r="AE126" s="73"/>
      <c r="AF126" s="73"/>
      <c r="AG126" s="73"/>
      <c r="AH126" s="73"/>
      <c r="AI126" s="73"/>
      <c r="AJ126" s="73"/>
    </row>
    <row r="127" spans="2:36" ht="15" customHeight="1">
      <c r="B127" s="67"/>
      <c r="C127" s="225"/>
      <c r="D127" s="225"/>
      <c r="E127" s="68"/>
      <c r="F127" s="68"/>
      <c r="G127" s="69"/>
      <c r="H127" s="69"/>
      <c r="I127" s="72"/>
      <c r="J127" s="71"/>
      <c r="K127" s="68"/>
      <c r="L127" s="68"/>
      <c r="M127" s="68"/>
      <c r="N127" s="68"/>
      <c r="O127" s="68"/>
      <c r="P127" s="61">
        <f t="shared" si="10"/>
        <v>0</v>
      </c>
      <c r="Q127" s="61">
        <f t="shared" si="11"/>
        <v>0</v>
      </c>
      <c r="R127" s="61">
        <f t="shared" si="12"/>
        <v>0</v>
      </c>
      <c r="S127" s="61">
        <f t="shared" si="13"/>
        <v>0</v>
      </c>
      <c r="T127" s="61">
        <f t="shared" si="14"/>
        <v>0</v>
      </c>
      <c r="U127" s="61">
        <f t="shared" si="15"/>
        <v>0</v>
      </c>
      <c r="V127" s="61">
        <f t="shared" si="16"/>
        <v>0</v>
      </c>
      <c r="W127" s="61">
        <f t="shared" si="17"/>
        <v>0</v>
      </c>
      <c r="X127" s="61">
        <f t="shared" si="18"/>
        <v>0</v>
      </c>
      <c r="Y127" s="61">
        <f t="shared" si="19"/>
        <v>0</v>
      </c>
      <c r="Z127" s="73"/>
      <c r="AA127" s="73"/>
      <c r="AB127" s="73"/>
      <c r="AC127" s="73"/>
      <c r="AD127" s="73"/>
      <c r="AE127" s="73"/>
      <c r="AF127" s="73"/>
      <c r="AG127" s="73"/>
      <c r="AH127" s="73"/>
      <c r="AI127" s="73"/>
      <c r="AJ127" s="73"/>
    </row>
    <row r="128" spans="2:36" ht="15" customHeight="1">
      <c r="B128" s="67"/>
      <c r="C128" s="225"/>
      <c r="D128" s="225"/>
      <c r="E128" s="68"/>
      <c r="F128" s="68"/>
      <c r="G128" s="69"/>
      <c r="H128" s="69"/>
      <c r="I128" s="72"/>
      <c r="J128" s="71"/>
      <c r="K128" s="68"/>
      <c r="L128" s="68"/>
      <c r="M128" s="68"/>
      <c r="N128" s="68"/>
      <c r="O128" s="68"/>
      <c r="P128" s="61">
        <f t="shared" si="10"/>
        <v>0</v>
      </c>
      <c r="Q128" s="61">
        <f t="shared" si="11"/>
        <v>0</v>
      </c>
      <c r="R128" s="61">
        <f t="shared" si="12"/>
        <v>0</v>
      </c>
      <c r="S128" s="61">
        <f t="shared" si="13"/>
        <v>0</v>
      </c>
      <c r="T128" s="61">
        <f t="shared" si="14"/>
        <v>0</v>
      </c>
      <c r="U128" s="61">
        <f t="shared" si="15"/>
        <v>0</v>
      </c>
      <c r="V128" s="61">
        <f t="shared" si="16"/>
        <v>0</v>
      </c>
      <c r="W128" s="61">
        <f t="shared" si="17"/>
        <v>0</v>
      </c>
      <c r="X128" s="61">
        <f t="shared" si="18"/>
        <v>0</v>
      </c>
      <c r="Y128" s="61">
        <f t="shared" si="19"/>
        <v>0</v>
      </c>
      <c r="Z128" s="73"/>
      <c r="AA128" s="73"/>
      <c r="AB128" s="73"/>
      <c r="AC128" s="73"/>
      <c r="AD128" s="73"/>
      <c r="AE128" s="73"/>
      <c r="AF128" s="73"/>
      <c r="AG128" s="73"/>
      <c r="AH128" s="73"/>
      <c r="AI128" s="73"/>
      <c r="AJ128" s="73"/>
    </row>
    <row r="129" spans="2:36" ht="15" customHeight="1">
      <c r="B129" s="67"/>
      <c r="C129" s="225"/>
      <c r="D129" s="225"/>
      <c r="E129" s="68"/>
      <c r="F129" s="68"/>
      <c r="G129" s="69"/>
      <c r="H129" s="69"/>
      <c r="I129" s="72"/>
      <c r="J129" s="71"/>
      <c r="K129" s="68"/>
      <c r="L129" s="68"/>
      <c r="M129" s="68"/>
      <c r="N129" s="68"/>
      <c r="O129" s="68"/>
      <c r="P129" s="61">
        <f t="shared" si="10"/>
        <v>0</v>
      </c>
      <c r="Q129" s="61">
        <f t="shared" si="11"/>
        <v>0</v>
      </c>
      <c r="R129" s="61">
        <f t="shared" si="12"/>
        <v>0</v>
      </c>
      <c r="S129" s="61">
        <f t="shared" si="13"/>
        <v>0</v>
      </c>
      <c r="T129" s="61">
        <f t="shared" si="14"/>
        <v>0</v>
      </c>
      <c r="U129" s="61">
        <f t="shared" si="15"/>
        <v>0</v>
      </c>
      <c r="V129" s="61">
        <f t="shared" si="16"/>
        <v>0</v>
      </c>
      <c r="W129" s="61">
        <f t="shared" si="17"/>
        <v>0</v>
      </c>
      <c r="X129" s="61">
        <f t="shared" si="18"/>
        <v>0</v>
      </c>
      <c r="Y129" s="61">
        <f t="shared" si="19"/>
        <v>0</v>
      </c>
      <c r="Z129" s="73"/>
      <c r="AA129" s="73"/>
      <c r="AB129" s="73"/>
      <c r="AC129" s="73"/>
      <c r="AD129" s="73"/>
      <c r="AE129" s="73"/>
      <c r="AF129" s="73"/>
      <c r="AG129" s="73"/>
      <c r="AH129" s="73"/>
      <c r="AI129" s="73"/>
      <c r="AJ129" s="73"/>
    </row>
    <row r="130" spans="2:36" ht="15" customHeight="1">
      <c r="B130" s="67"/>
      <c r="C130" s="225"/>
      <c r="D130" s="225"/>
      <c r="E130" s="68"/>
      <c r="F130" s="68"/>
      <c r="G130" s="69"/>
      <c r="H130" s="69"/>
      <c r="I130" s="72"/>
      <c r="J130" s="71"/>
      <c r="K130" s="68"/>
      <c r="L130" s="68"/>
      <c r="M130" s="68"/>
      <c r="N130" s="68"/>
      <c r="O130" s="68"/>
      <c r="P130" s="61">
        <f t="shared" si="10"/>
        <v>0</v>
      </c>
      <c r="Q130" s="61">
        <f t="shared" si="11"/>
        <v>0</v>
      </c>
      <c r="R130" s="61">
        <f t="shared" si="12"/>
        <v>0</v>
      </c>
      <c r="S130" s="61">
        <f t="shared" si="13"/>
        <v>0</v>
      </c>
      <c r="T130" s="61">
        <f t="shared" si="14"/>
        <v>0</v>
      </c>
      <c r="U130" s="61">
        <f t="shared" si="15"/>
        <v>0</v>
      </c>
      <c r="V130" s="61">
        <f t="shared" si="16"/>
        <v>0</v>
      </c>
      <c r="W130" s="61">
        <f t="shared" si="17"/>
        <v>0</v>
      </c>
      <c r="X130" s="61">
        <f t="shared" si="18"/>
        <v>0</v>
      </c>
      <c r="Y130" s="61">
        <f t="shared" si="19"/>
        <v>0</v>
      </c>
      <c r="Z130" s="73"/>
      <c r="AA130" s="73"/>
      <c r="AB130" s="73"/>
      <c r="AC130" s="73"/>
      <c r="AD130" s="73"/>
      <c r="AE130" s="73"/>
      <c r="AF130" s="73"/>
      <c r="AG130" s="73"/>
      <c r="AH130" s="73"/>
      <c r="AI130" s="73"/>
      <c r="AJ130" s="73"/>
    </row>
    <row r="131" spans="2:36" ht="15" customHeight="1">
      <c r="B131" s="67"/>
      <c r="C131" s="225"/>
      <c r="D131" s="225"/>
      <c r="E131" s="68"/>
      <c r="F131" s="68"/>
      <c r="G131" s="69"/>
      <c r="H131" s="69"/>
      <c r="I131" s="72"/>
      <c r="J131" s="71"/>
      <c r="K131" s="68"/>
      <c r="L131" s="68"/>
      <c r="M131" s="68"/>
      <c r="N131" s="68"/>
      <c r="O131" s="68"/>
      <c r="P131" s="61">
        <f t="shared" si="10"/>
        <v>0</v>
      </c>
      <c r="Q131" s="61">
        <f t="shared" si="11"/>
        <v>0</v>
      </c>
      <c r="R131" s="61">
        <f t="shared" si="12"/>
        <v>0</v>
      </c>
      <c r="S131" s="61">
        <f t="shared" si="13"/>
        <v>0</v>
      </c>
      <c r="T131" s="61">
        <f t="shared" si="14"/>
        <v>0</v>
      </c>
      <c r="U131" s="61">
        <f t="shared" si="15"/>
        <v>0</v>
      </c>
      <c r="V131" s="61">
        <f t="shared" si="16"/>
        <v>0</v>
      </c>
      <c r="W131" s="61">
        <f t="shared" si="17"/>
        <v>0</v>
      </c>
      <c r="X131" s="61">
        <f t="shared" si="18"/>
        <v>0</v>
      </c>
      <c r="Y131" s="61">
        <f t="shared" si="19"/>
        <v>0</v>
      </c>
      <c r="Z131" s="73"/>
      <c r="AA131" s="73"/>
      <c r="AB131" s="73"/>
      <c r="AC131" s="73"/>
      <c r="AD131" s="73"/>
      <c r="AE131" s="73"/>
      <c r="AF131" s="73"/>
      <c r="AG131" s="73"/>
      <c r="AH131" s="73"/>
      <c r="AI131" s="73"/>
      <c r="AJ131" s="73"/>
    </row>
    <row r="132" spans="2:36" ht="15" customHeight="1">
      <c r="B132" s="67"/>
      <c r="C132" s="225"/>
      <c r="D132" s="225"/>
      <c r="E132" s="68"/>
      <c r="F132" s="68"/>
      <c r="G132" s="69"/>
      <c r="H132" s="69"/>
      <c r="I132" s="72"/>
      <c r="J132" s="71"/>
      <c r="K132" s="68"/>
      <c r="L132" s="68"/>
      <c r="M132" s="68"/>
      <c r="N132" s="68"/>
      <c r="O132" s="68"/>
      <c r="P132" s="61">
        <f t="shared" si="10"/>
        <v>0</v>
      </c>
      <c r="Q132" s="61">
        <f t="shared" si="11"/>
        <v>0</v>
      </c>
      <c r="R132" s="61">
        <f t="shared" si="12"/>
        <v>0</v>
      </c>
      <c r="S132" s="61">
        <f t="shared" si="13"/>
        <v>0</v>
      </c>
      <c r="T132" s="61">
        <f t="shared" si="14"/>
        <v>0</v>
      </c>
      <c r="U132" s="61">
        <f t="shared" si="15"/>
        <v>0</v>
      </c>
      <c r="V132" s="61">
        <f t="shared" si="16"/>
        <v>0</v>
      </c>
      <c r="W132" s="61">
        <f t="shared" si="17"/>
        <v>0</v>
      </c>
      <c r="X132" s="61">
        <f t="shared" si="18"/>
        <v>0</v>
      </c>
      <c r="Y132" s="61">
        <f t="shared" si="19"/>
        <v>0</v>
      </c>
      <c r="Z132" s="73"/>
      <c r="AA132" s="73"/>
      <c r="AB132" s="73"/>
      <c r="AC132" s="73"/>
      <c r="AD132" s="73"/>
      <c r="AE132" s="73"/>
      <c r="AF132" s="73"/>
      <c r="AG132" s="73"/>
      <c r="AH132" s="73"/>
      <c r="AI132" s="73"/>
      <c r="AJ132" s="73"/>
    </row>
    <row r="133" spans="2:36" ht="15" customHeight="1">
      <c r="B133" s="67"/>
      <c r="C133" s="225"/>
      <c r="D133" s="225"/>
      <c r="E133" s="68"/>
      <c r="F133" s="68"/>
      <c r="G133" s="69"/>
      <c r="H133" s="69"/>
      <c r="I133" s="72"/>
      <c r="J133" s="71"/>
      <c r="K133" s="68"/>
      <c r="L133" s="68"/>
      <c r="M133" s="68"/>
      <c r="N133" s="68"/>
      <c r="O133" s="68"/>
      <c r="P133" s="61">
        <f t="shared" si="10"/>
        <v>0</v>
      </c>
      <c r="Q133" s="61">
        <f t="shared" si="11"/>
        <v>0</v>
      </c>
      <c r="R133" s="61">
        <f t="shared" si="12"/>
        <v>0</v>
      </c>
      <c r="S133" s="61">
        <f t="shared" si="13"/>
        <v>0</v>
      </c>
      <c r="T133" s="61">
        <f t="shared" si="14"/>
        <v>0</v>
      </c>
      <c r="U133" s="61">
        <f t="shared" si="15"/>
        <v>0</v>
      </c>
      <c r="V133" s="61">
        <f t="shared" si="16"/>
        <v>0</v>
      </c>
      <c r="W133" s="61">
        <f t="shared" si="17"/>
        <v>0</v>
      </c>
      <c r="X133" s="61">
        <f t="shared" si="18"/>
        <v>0</v>
      </c>
      <c r="Y133" s="61">
        <f t="shared" si="19"/>
        <v>0</v>
      </c>
      <c r="Z133" s="73"/>
      <c r="AA133" s="73"/>
      <c r="AB133" s="73"/>
      <c r="AC133" s="73"/>
      <c r="AD133" s="73"/>
      <c r="AE133" s="73"/>
      <c r="AF133" s="73"/>
      <c r="AG133" s="73"/>
      <c r="AH133" s="73"/>
      <c r="AI133" s="73"/>
      <c r="AJ133" s="73"/>
    </row>
    <row r="134" spans="2:36" ht="15" customHeight="1">
      <c r="B134" s="67"/>
      <c r="C134" s="225"/>
      <c r="D134" s="225"/>
      <c r="E134" s="68"/>
      <c r="F134" s="68"/>
      <c r="G134" s="69"/>
      <c r="H134" s="69"/>
      <c r="I134" s="72"/>
      <c r="J134" s="71"/>
      <c r="K134" s="68"/>
      <c r="L134" s="68"/>
      <c r="M134" s="68"/>
      <c r="N134" s="68"/>
      <c r="O134" s="68"/>
      <c r="P134" s="61">
        <f t="shared" si="10"/>
        <v>0</v>
      </c>
      <c r="Q134" s="61">
        <f t="shared" si="11"/>
        <v>0</v>
      </c>
      <c r="R134" s="61">
        <f t="shared" si="12"/>
        <v>0</v>
      </c>
      <c r="S134" s="61">
        <f t="shared" si="13"/>
        <v>0</v>
      </c>
      <c r="T134" s="61">
        <f t="shared" si="14"/>
        <v>0</v>
      </c>
      <c r="U134" s="61">
        <f t="shared" si="15"/>
        <v>0</v>
      </c>
      <c r="V134" s="61">
        <f t="shared" si="16"/>
        <v>0</v>
      </c>
      <c r="W134" s="61">
        <f t="shared" si="17"/>
        <v>0</v>
      </c>
      <c r="X134" s="61">
        <f t="shared" si="18"/>
        <v>0</v>
      </c>
      <c r="Y134" s="61">
        <f t="shared" si="19"/>
        <v>0</v>
      </c>
      <c r="Z134" s="73"/>
      <c r="AA134" s="73"/>
      <c r="AB134" s="73"/>
      <c r="AC134" s="73"/>
      <c r="AD134" s="73"/>
      <c r="AE134" s="73"/>
      <c r="AF134" s="73"/>
      <c r="AG134" s="73"/>
      <c r="AH134" s="73"/>
      <c r="AI134" s="73"/>
      <c r="AJ134" s="73"/>
    </row>
    <row r="135" spans="2:36" ht="15" customHeight="1">
      <c r="B135" s="67"/>
      <c r="C135" s="225"/>
      <c r="D135" s="225"/>
      <c r="E135" s="68"/>
      <c r="F135" s="68"/>
      <c r="G135" s="69"/>
      <c r="H135" s="69"/>
      <c r="I135" s="72"/>
      <c r="J135" s="71"/>
      <c r="K135" s="68"/>
      <c r="L135" s="68"/>
      <c r="M135" s="68"/>
      <c r="N135" s="68"/>
      <c r="O135" s="68"/>
      <c r="P135" s="61">
        <f t="shared" si="10"/>
        <v>0</v>
      </c>
      <c r="Q135" s="61">
        <f t="shared" si="11"/>
        <v>0</v>
      </c>
      <c r="R135" s="61">
        <f t="shared" si="12"/>
        <v>0</v>
      </c>
      <c r="S135" s="61">
        <f t="shared" si="13"/>
        <v>0</v>
      </c>
      <c r="T135" s="61">
        <f t="shared" si="14"/>
        <v>0</v>
      </c>
      <c r="U135" s="61">
        <f t="shared" si="15"/>
        <v>0</v>
      </c>
      <c r="V135" s="61">
        <f t="shared" si="16"/>
        <v>0</v>
      </c>
      <c r="W135" s="61">
        <f t="shared" si="17"/>
        <v>0</v>
      </c>
      <c r="X135" s="61">
        <f t="shared" si="18"/>
        <v>0</v>
      </c>
      <c r="Y135" s="61">
        <f t="shared" si="19"/>
        <v>0</v>
      </c>
      <c r="Z135" s="73"/>
      <c r="AA135" s="73"/>
      <c r="AB135" s="73"/>
      <c r="AC135" s="73"/>
      <c r="AD135" s="73"/>
      <c r="AE135" s="73"/>
      <c r="AF135" s="73"/>
      <c r="AG135" s="73"/>
      <c r="AH135" s="73"/>
      <c r="AI135" s="73"/>
      <c r="AJ135" s="73"/>
    </row>
    <row r="136" spans="2:36" ht="15" customHeight="1">
      <c r="B136" s="67"/>
      <c r="C136" s="225"/>
      <c r="D136" s="225"/>
      <c r="E136" s="68"/>
      <c r="F136" s="68"/>
      <c r="G136" s="69"/>
      <c r="H136" s="69"/>
      <c r="I136" s="72"/>
      <c r="J136" s="71"/>
      <c r="K136" s="68"/>
      <c r="L136" s="68"/>
      <c r="M136" s="68"/>
      <c r="N136" s="68"/>
      <c r="O136" s="68"/>
      <c r="P136" s="61">
        <f t="shared" si="10"/>
        <v>0</v>
      </c>
      <c r="Q136" s="61">
        <f t="shared" si="11"/>
        <v>0</v>
      </c>
      <c r="R136" s="61">
        <f t="shared" si="12"/>
        <v>0</v>
      </c>
      <c r="S136" s="61">
        <f t="shared" si="13"/>
        <v>0</v>
      </c>
      <c r="T136" s="61">
        <f t="shared" si="14"/>
        <v>0</v>
      </c>
      <c r="U136" s="61">
        <f t="shared" si="15"/>
        <v>0</v>
      </c>
      <c r="V136" s="61">
        <f t="shared" si="16"/>
        <v>0</v>
      </c>
      <c r="W136" s="61">
        <f t="shared" si="17"/>
        <v>0</v>
      </c>
      <c r="X136" s="61">
        <f t="shared" si="18"/>
        <v>0</v>
      </c>
      <c r="Y136" s="61">
        <f t="shared" si="19"/>
        <v>0</v>
      </c>
      <c r="Z136" s="73"/>
      <c r="AA136" s="73"/>
      <c r="AB136" s="73"/>
      <c r="AC136" s="73"/>
      <c r="AD136" s="73"/>
      <c r="AE136" s="73"/>
      <c r="AF136" s="73"/>
      <c r="AG136" s="73"/>
      <c r="AH136" s="73"/>
      <c r="AI136" s="73"/>
      <c r="AJ136" s="73"/>
    </row>
    <row r="137" spans="2:36" ht="15" customHeight="1">
      <c r="B137" s="67"/>
      <c r="C137" s="225"/>
      <c r="D137" s="225"/>
      <c r="E137" s="68"/>
      <c r="F137" s="68"/>
      <c r="G137" s="69"/>
      <c r="H137" s="69"/>
      <c r="I137" s="72"/>
      <c r="J137" s="71"/>
      <c r="K137" s="68"/>
      <c r="L137" s="68"/>
      <c r="M137" s="68"/>
      <c r="N137" s="68"/>
      <c r="O137" s="68"/>
      <c r="P137" s="61">
        <f t="shared" si="10"/>
        <v>0</v>
      </c>
      <c r="Q137" s="61">
        <f t="shared" si="11"/>
        <v>0</v>
      </c>
      <c r="R137" s="61">
        <f t="shared" si="12"/>
        <v>0</v>
      </c>
      <c r="S137" s="61">
        <f t="shared" si="13"/>
        <v>0</v>
      </c>
      <c r="T137" s="61">
        <f t="shared" si="14"/>
        <v>0</v>
      </c>
      <c r="U137" s="61">
        <f t="shared" si="15"/>
        <v>0</v>
      </c>
      <c r="V137" s="61">
        <f t="shared" si="16"/>
        <v>0</v>
      </c>
      <c r="W137" s="61">
        <f t="shared" si="17"/>
        <v>0</v>
      </c>
      <c r="X137" s="61">
        <f t="shared" si="18"/>
        <v>0</v>
      </c>
      <c r="Y137" s="61">
        <f t="shared" si="19"/>
        <v>0</v>
      </c>
      <c r="Z137" s="73"/>
      <c r="AA137" s="73"/>
      <c r="AB137" s="73"/>
      <c r="AC137" s="73"/>
      <c r="AD137" s="73"/>
      <c r="AE137" s="73"/>
      <c r="AF137" s="73"/>
      <c r="AG137" s="73"/>
      <c r="AH137" s="73"/>
      <c r="AI137" s="73"/>
      <c r="AJ137" s="73"/>
    </row>
    <row r="138" spans="2:36" ht="15" customHeight="1">
      <c r="B138" s="67"/>
      <c r="C138" s="225"/>
      <c r="D138" s="225"/>
      <c r="E138" s="68"/>
      <c r="F138" s="68"/>
      <c r="G138" s="69"/>
      <c r="H138" s="69"/>
      <c r="I138" s="72"/>
      <c r="J138" s="71"/>
      <c r="K138" s="68"/>
      <c r="L138" s="68"/>
      <c r="M138" s="68"/>
      <c r="N138" s="68"/>
      <c r="O138" s="68"/>
      <c r="P138" s="61">
        <f t="shared" si="10"/>
        <v>0</v>
      </c>
      <c r="Q138" s="61">
        <f t="shared" si="11"/>
        <v>0</v>
      </c>
      <c r="R138" s="61">
        <f t="shared" si="12"/>
        <v>0</v>
      </c>
      <c r="S138" s="61">
        <f t="shared" si="13"/>
        <v>0</v>
      </c>
      <c r="T138" s="61">
        <f t="shared" si="14"/>
        <v>0</v>
      </c>
      <c r="U138" s="61">
        <f t="shared" si="15"/>
        <v>0</v>
      </c>
      <c r="V138" s="61">
        <f t="shared" si="16"/>
        <v>0</v>
      </c>
      <c r="W138" s="61">
        <f t="shared" si="17"/>
        <v>0</v>
      </c>
      <c r="X138" s="61">
        <f t="shared" si="18"/>
        <v>0</v>
      </c>
      <c r="Y138" s="61">
        <f t="shared" si="19"/>
        <v>0</v>
      </c>
      <c r="Z138" s="73"/>
      <c r="AA138" s="73"/>
      <c r="AB138" s="73"/>
      <c r="AC138" s="73"/>
      <c r="AD138" s="73"/>
      <c r="AE138" s="73"/>
      <c r="AF138" s="73"/>
      <c r="AG138" s="73"/>
      <c r="AH138" s="73"/>
      <c r="AI138" s="73"/>
      <c r="AJ138" s="73"/>
    </row>
    <row r="139" spans="2:36" ht="15" customHeight="1">
      <c r="B139" s="67"/>
      <c r="C139" s="225"/>
      <c r="D139" s="225"/>
      <c r="E139" s="68"/>
      <c r="F139" s="68"/>
      <c r="G139" s="69"/>
      <c r="H139" s="69"/>
      <c r="I139" s="72"/>
      <c r="J139" s="71"/>
      <c r="K139" s="68"/>
      <c r="L139" s="68"/>
      <c r="M139" s="68"/>
      <c r="N139" s="68"/>
      <c r="O139" s="68"/>
      <c r="P139" s="61">
        <f t="shared" si="10"/>
        <v>0</v>
      </c>
      <c r="Q139" s="61">
        <f t="shared" si="11"/>
        <v>0</v>
      </c>
      <c r="R139" s="61">
        <f t="shared" si="12"/>
        <v>0</v>
      </c>
      <c r="S139" s="61">
        <f t="shared" si="13"/>
        <v>0</v>
      </c>
      <c r="T139" s="61">
        <f t="shared" si="14"/>
        <v>0</v>
      </c>
      <c r="U139" s="61">
        <f t="shared" si="15"/>
        <v>0</v>
      </c>
      <c r="V139" s="61">
        <f t="shared" si="16"/>
        <v>0</v>
      </c>
      <c r="W139" s="61">
        <f t="shared" si="17"/>
        <v>0</v>
      </c>
      <c r="X139" s="61">
        <f t="shared" si="18"/>
        <v>0</v>
      </c>
      <c r="Y139" s="61">
        <f t="shared" si="19"/>
        <v>0</v>
      </c>
      <c r="Z139" s="73"/>
      <c r="AA139" s="73"/>
      <c r="AB139" s="73"/>
      <c r="AC139" s="73"/>
      <c r="AD139" s="73"/>
      <c r="AE139" s="73"/>
      <c r="AF139" s="73"/>
      <c r="AG139" s="73"/>
      <c r="AH139" s="73"/>
      <c r="AI139" s="73"/>
      <c r="AJ139" s="73"/>
    </row>
    <row r="140" spans="2:36" ht="15" customHeight="1">
      <c r="B140" s="67"/>
      <c r="C140" s="225"/>
      <c r="D140" s="225"/>
      <c r="E140" s="68"/>
      <c r="F140" s="68"/>
      <c r="G140" s="69"/>
      <c r="H140" s="69"/>
      <c r="I140" s="72"/>
      <c r="J140" s="71"/>
      <c r="K140" s="68"/>
      <c r="L140" s="68"/>
      <c r="M140" s="68"/>
      <c r="N140" s="68"/>
      <c r="O140" s="68"/>
      <c r="P140" s="61">
        <f t="shared" si="10"/>
        <v>0</v>
      </c>
      <c r="Q140" s="61">
        <f t="shared" si="11"/>
        <v>0</v>
      </c>
      <c r="R140" s="61">
        <f t="shared" si="12"/>
        <v>0</v>
      </c>
      <c r="S140" s="61">
        <f t="shared" si="13"/>
        <v>0</v>
      </c>
      <c r="T140" s="61">
        <f t="shared" si="14"/>
        <v>0</v>
      </c>
      <c r="U140" s="61">
        <f t="shared" si="15"/>
        <v>0</v>
      </c>
      <c r="V140" s="61">
        <f t="shared" si="16"/>
        <v>0</v>
      </c>
      <c r="W140" s="61">
        <f t="shared" si="17"/>
        <v>0</v>
      </c>
      <c r="X140" s="61">
        <f t="shared" si="18"/>
        <v>0</v>
      </c>
      <c r="Y140" s="61">
        <f t="shared" si="19"/>
        <v>0</v>
      </c>
      <c r="Z140" s="73"/>
      <c r="AA140" s="73"/>
      <c r="AB140" s="73"/>
      <c r="AC140" s="73"/>
      <c r="AD140" s="73"/>
      <c r="AE140" s="73"/>
      <c r="AF140" s="73"/>
      <c r="AG140" s="73"/>
      <c r="AH140" s="73"/>
      <c r="AI140" s="73"/>
      <c r="AJ140" s="73"/>
    </row>
    <row r="141" spans="2:36" ht="15" customHeight="1">
      <c r="B141" s="67"/>
      <c r="C141" s="225"/>
      <c r="D141" s="225"/>
      <c r="E141" s="68"/>
      <c r="F141" s="68"/>
      <c r="G141" s="69"/>
      <c r="H141" s="69"/>
      <c r="I141" s="72"/>
      <c r="J141" s="71"/>
      <c r="K141" s="68"/>
      <c r="L141" s="68"/>
      <c r="M141" s="68"/>
      <c r="N141" s="68"/>
      <c r="O141" s="68"/>
      <c r="P141" s="61">
        <f t="shared" si="10"/>
        <v>0</v>
      </c>
      <c r="Q141" s="61">
        <f t="shared" si="11"/>
        <v>0</v>
      </c>
      <c r="R141" s="61">
        <f t="shared" si="12"/>
        <v>0</v>
      </c>
      <c r="S141" s="61">
        <f t="shared" si="13"/>
        <v>0</v>
      </c>
      <c r="T141" s="61">
        <f t="shared" si="14"/>
        <v>0</v>
      </c>
      <c r="U141" s="61">
        <f t="shared" si="15"/>
        <v>0</v>
      </c>
      <c r="V141" s="61">
        <f t="shared" si="16"/>
        <v>0</v>
      </c>
      <c r="W141" s="61">
        <f t="shared" si="17"/>
        <v>0</v>
      </c>
      <c r="X141" s="61">
        <f t="shared" si="18"/>
        <v>0</v>
      </c>
      <c r="Y141" s="61">
        <f t="shared" si="19"/>
        <v>0</v>
      </c>
      <c r="Z141" s="73"/>
      <c r="AA141" s="73"/>
      <c r="AB141" s="73"/>
      <c r="AC141" s="73"/>
      <c r="AD141" s="73"/>
      <c r="AE141" s="73"/>
      <c r="AF141" s="73"/>
      <c r="AG141" s="73"/>
      <c r="AH141" s="73"/>
      <c r="AI141" s="73"/>
      <c r="AJ141" s="73"/>
    </row>
    <row r="142" spans="2:36" ht="15" customHeight="1">
      <c r="B142" s="67"/>
      <c r="C142" s="225"/>
      <c r="D142" s="225"/>
      <c r="E142" s="68"/>
      <c r="F142" s="68"/>
      <c r="G142" s="69"/>
      <c r="H142" s="69"/>
      <c r="I142" s="72"/>
      <c r="J142" s="71"/>
      <c r="K142" s="68"/>
      <c r="L142" s="68"/>
      <c r="M142" s="68"/>
      <c r="N142" s="68"/>
      <c r="O142" s="68"/>
      <c r="P142" s="61">
        <f t="shared" si="10"/>
        <v>0</v>
      </c>
      <c r="Q142" s="61">
        <f t="shared" si="11"/>
        <v>0</v>
      </c>
      <c r="R142" s="61">
        <f t="shared" si="12"/>
        <v>0</v>
      </c>
      <c r="S142" s="61">
        <f t="shared" si="13"/>
        <v>0</v>
      </c>
      <c r="T142" s="61">
        <f t="shared" si="14"/>
        <v>0</v>
      </c>
      <c r="U142" s="61">
        <f t="shared" si="15"/>
        <v>0</v>
      </c>
      <c r="V142" s="61">
        <f t="shared" si="16"/>
        <v>0</v>
      </c>
      <c r="W142" s="61">
        <f t="shared" si="17"/>
        <v>0</v>
      </c>
      <c r="X142" s="61">
        <f t="shared" si="18"/>
        <v>0</v>
      </c>
      <c r="Y142" s="61">
        <f t="shared" si="19"/>
        <v>0</v>
      </c>
      <c r="Z142" s="73"/>
      <c r="AA142" s="73"/>
      <c r="AB142" s="73"/>
      <c r="AC142" s="73"/>
      <c r="AD142" s="73"/>
      <c r="AE142" s="73"/>
      <c r="AF142" s="73"/>
      <c r="AG142" s="73"/>
      <c r="AH142" s="73"/>
      <c r="AI142" s="73"/>
      <c r="AJ142" s="73"/>
    </row>
    <row r="143" spans="2:36" ht="15" customHeight="1">
      <c r="B143" s="67"/>
      <c r="C143" s="225"/>
      <c r="D143" s="225"/>
      <c r="E143" s="68"/>
      <c r="F143" s="68"/>
      <c r="G143" s="69"/>
      <c r="H143" s="69"/>
      <c r="I143" s="72"/>
      <c r="J143" s="71"/>
      <c r="K143" s="68"/>
      <c r="L143" s="68"/>
      <c r="M143" s="68"/>
      <c r="N143" s="68"/>
      <c r="O143" s="68"/>
      <c r="P143" s="61">
        <f t="shared" si="10"/>
        <v>0</v>
      </c>
      <c r="Q143" s="61">
        <f t="shared" si="11"/>
        <v>0</v>
      </c>
      <c r="R143" s="61">
        <f t="shared" si="12"/>
        <v>0</v>
      </c>
      <c r="S143" s="61">
        <f t="shared" si="13"/>
        <v>0</v>
      </c>
      <c r="T143" s="61">
        <f t="shared" si="14"/>
        <v>0</v>
      </c>
      <c r="U143" s="61">
        <f t="shared" si="15"/>
        <v>0</v>
      </c>
      <c r="V143" s="61">
        <f t="shared" si="16"/>
        <v>0</v>
      </c>
      <c r="W143" s="61">
        <f t="shared" si="17"/>
        <v>0</v>
      </c>
      <c r="X143" s="61">
        <f t="shared" si="18"/>
        <v>0</v>
      </c>
      <c r="Y143" s="61">
        <f t="shared" si="19"/>
        <v>0</v>
      </c>
      <c r="Z143" s="73"/>
      <c r="AA143" s="73"/>
      <c r="AB143" s="73"/>
      <c r="AC143" s="73"/>
      <c r="AD143" s="73"/>
      <c r="AE143" s="73"/>
      <c r="AF143" s="73"/>
      <c r="AG143" s="73"/>
      <c r="AH143" s="73"/>
      <c r="AI143" s="73"/>
      <c r="AJ143" s="73"/>
    </row>
    <row r="144" spans="2:36" ht="15" customHeight="1">
      <c r="B144" s="67"/>
      <c r="C144" s="225"/>
      <c r="D144" s="225"/>
      <c r="E144" s="68"/>
      <c r="F144" s="68"/>
      <c r="G144" s="69"/>
      <c r="H144" s="69"/>
      <c r="I144" s="72"/>
      <c r="J144" s="71"/>
      <c r="K144" s="68"/>
      <c r="L144" s="68"/>
      <c r="M144" s="68"/>
      <c r="N144" s="68"/>
      <c r="O144" s="68"/>
      <c r="P144" s="61">
        <f t="shared" si="10"/>
        <v>0</v>
      </c>
      <c r="Q144" s="61">
        <f t="shared" si="11"/>
        <v>0</v>
      </c>
      <c r="R144" s="61">
        <f t="shared" si="12"/>
        <v>0</v>
      </c>
      <c r="S144" s="61">
        <f t="shared" si="13"/>
        <v>0</v>
      </c>
      <c r="T144" s="61">
        <f t="shared" si="14"/>
        <v>0</v>
      </c>
      <c r="U144" s="61">
        <f t="shared" si="15"/>
        <v>0</v>
      </c>
      <c r="V144" s="61">
        <f t="shared" si="16"/>
        <v>0</v>
      </c>
      <c r="W144" s="61">
        <f t="shared" si="17"/>
        <v>0</v>
      </c>
      <c r="X144" s="61">
        <f t="shared" si="18"/>
        <v>0</v>
      </c>
      <c r="Y144" s="61">
        <f t="shared" si="19"/>
        <v>0</v>
      </c>
      <c r="Z144" s="73"/>
      <c r="AA144" s="73"/>
      <c r="AB144" s="73"/>
      <c r="AC144" s="73"/>
      <c r="AD144" s="73"/>
      <c r="AE144" s="73"/>
      <c r="AF144" s="73"/>
      <c r="AG144" s="73"/>
      <c r="AH144" s="73"/>
      <c r="AI144" s="73"/>
      <c r="AJ144" s="73"/>
    </row>
    <row r="145" spans="2:36" ht="15" customHeight="1">
      <c r="B145" s="67"/>
      <c r="C145" s="225"/>
      <c r="D145" s="225"/>
      <c r="E145" s="68"/>
      <c r="F145" s="68"/>
      <c r="G145" s="69"/>
      <c r="H145" s="69"/>
      <c r="I145" s="72"/>
      <c r="J145" s="71"/>
      <c r="K145" s="68"/>
      <c r="L145" s="68"/>
      <c r="M145" s="68"/>
      <c r="N145" s="68"/>
      <c r="O145" s="68"/>
      <c r="P145" s="61">
        <f t="shared" si="10"/>
        <v>0</v>
      </c>
      <c r="Q145" s="61">
        <f t="shared" si="11"/>
        <v>0</v>
      </c>
      <c r="R145" s="61">
        <f t="shared" si="12"/>
        <v>0</v>
      </c>
      <c r="S145" s="61">
        <f t="shared" si="13"/>
        <v>0</v>
      </c>
      <c r="T145" s="61">
        <f t="shared" si="14"/>
        <v>0</v>
      </c>
      <c r="U145" s="61">
        <f t="shared" si="15"/>
        <v>0</v>
      </c>
      <c r="V145" s="61">
        <f t="shared" si="16"/>
        <v>0</v>
      </c>
      <c r="W145" s="61">
        <f t="shared" si="17"/>
        <v>0</v>
      </c>
      <c r="X145" s="61">
        <f t="shared" si="18"/>
        <v>0</v>
      </c>
      <c r="Y145" s="61">
        <f t="shared" si="19"/>
        <v>0</v>
      </c>
      <c r="Z145" s="73"/>
      <c r="AA145" s="73"/>
      <c r="AB145" s="73"/>
      <c r="AC145" s="73"/>
      <c r="AD145" s="73"/>
      <c r="AE145" s="73"/>
      <c r="AF145" s="73"/>
      <c r="AG145" s="73"/>
      <c r="AH145" s="73"/>
      <c r="AI145" s="73"/>
      <c r="AJ145" s="73"/>
    </row>
    <row r="146" spans="2:36" ht="15" customHeight="1">
      <c r="B146" s="67"/>
      <c r="C146" s="225"/>
      <c r="D146" s="225"/>
      <c r="E146" s="68"/>
      <c r="F146" s="68"/>
      <c r="G146" s="69"/>
      <c r="H146" s="69"/>
      <c r="I146" s="72"/>
      <c r="J146" s="71"/>
      <c r="K146" s="68"/>
      <c r="L146" s="68"/>
      <c r="M146" s="68"/>
      <c r="N146" s="68"/>
      <c r="O146" s="68"/>
      <c r="P146" s="61">
        <f t="shared" si="10"/>
        <v>0</v>
      </c>
      <c r="Q146" s="61">
        <f t="shared" si="11"/>
        <v>0</v>
      </c>
      <c r="R146" s="61">
        <f t="shared" si="12"/>
        <v>0</v>
      </c>
      <c r="S146" s="61">
        <f t="shared" si="13"/>
        <v>0</v>
      </c>
      <c r="T146" s="61">
        <f t="shared" si="14"/>
        <v>0</v>
      </c>
      <c r="U146" s="61">
        <f t="shared" si="15"/>
        <v>0</v>
      </c>
      <c r="V146" s="61">
        <f t="shared" si="16"/>
        <v>0</v>
      </c>
      <c r="W146" s="61">
        <f t="shared" si="17"/>
        <v>0</v>
      </c>
      <c r="X146" s="61">
        <f t="shared" si="18"/>
        <v>0</v>
      </c>
      <c r="Y146" s="61">
        <f t="shared" si="19"/>
        <v>0</v>
      </c>
      <c r="Z146" s="73"/>
      <c r="AA146" s="73"/>
      <c r="AB146" s="73"/>
      <c r="AC146" s="73"/>
      <c r="AD146" s="73"/>
      <c r="AE146" s="73"/>
      <c r="AF146" s="73"/>
      <c r="AG146" s="73"/>
      <c r="AH146" s="73"/>
      <c r="AI146" s="73"/>
      <c r="AJ146" s="73"/>
    </row>
    <row r="147" spans="2:36" ht="15" customHeight="1">
      <c r="B147" s="67"/>
      <c r="C147" s="225"/>
      <c r="D147" s="225"/>
      <c r="E147" s="68"/>
      <c r="F147" s="68"/>
      <c r="G147" s="69"/>
      <c r="H147" s="69"/>
      <c r="I147" s="72"/>
      <c r="J147" s="71"/>
      <c r="K147" s="68"/>
      <c r="L147" s="68"/>
      <c r="M147" s="68"/>
      <c r="N147" s="68"/>
      <c r="O147" s="68"/>
      <c r="P147" s="61">
        <f t="shared" si="10"/>
        <v>0</v>
      </c>
      <c r="Q147" s="61">
        <f t="shared" si="11"/>
        <v>0</v>
      </c>
      <c r="R147" s="61">
        <f t="shared" si="12"/>
        <v>0</v>
      </c>
      <c r="S147" s="61">
        <f t="shared" si="13"/>
        <v>0</v>
      </c>
      <c r="T147" s="61">
        <f t="shared" si="14"/>
        <v>0</v>
      </c>
      <c r="U147" s="61">
        <f t="shared" si="15"/>
        <v>0</v>
      </c>
      <c r="V147" s="61">
        <f t="shared" si="16"/>
        <v>0</v>
      </c>
      <c r="W147" s="61">
        <f t="shared" si="17"/>
        <v>0</v>
      </c>
      <c r="X147" s="61">
        <f t="shared" si="18"/>
        <v>0</v>
      </c>
      <c r="Y147" s="61">
        <f t="shared" si="19"/>
        <v>0</v>
      </c>
      <c r="Z147" s="73"/>
      <c r="AA147" s="73"/>
      <c r="AB147" s="73"/>
      <c r="AC147" s="73"/>
      <c r="AD147" s="73"/>
      <c r="AE147" s="73"/>
      <c r="AF147" s="73"/>
      <c r="AG147" s="73"/>
      <c r="AH147" s="73"/>
      <c r="AI147" s="73"/>
      <c r="AJ147" s="73"/>
    </row>
    <row r="148" spans="2:36" ht="15" customHeight="1">
      <c r="B148" s="67"/>
      <c r="C148" s="225"/>
      <c r="D148" s="225"/>
      <c r="E148" s="68"/>
      <c r="F148" s="68"/>
      <c r="G148" s="69"/>
      <c r="H148" s="69"/>
      <c r="I148" s="72"/>
      <c r="J148" s="71"/>
      <c r="K148" s="68"/>
      <c r="L148" s="68"/>
      <c r="M148" s="68"/>
      <c r="N148" s="68"/>
      <c r="O148" s="68"/>
      <c r="P148" s="61">
        <f t="shared" si="10"/>
        <v>0</v>
      </c>
      <c r="Q148" s="61">
        <f t="shared" si="11"/>
        <v>0</v>
      </c>
      <c r="R148" s="61">
        <f t="shared" si="12"/>
        <v>0</v>
      </c>
      <c r="S148" s="61">
        <f t="shared" si="13"/>
        <v>0</v>
      </c>
      <c r="T148" s="61">
        <f t="shared" si="14"/>
        <v>0</v>
      </c>
      <c r="U148" s="61">
        <f t="shared" si="15"/>
        <v>0</v>
      </c>
      <c r="V148" s="61">
        <f t="shared" si="16"/>
        <v>0</v>
      </c>
      <c r="W148" s="61">
        <f t="shared" si="17"/>
        <v>0</v>
      </c>
      <c r="X148" s="61">
        <f t="shared" si="18"/>
        <v>0</v>
      </c>
      <c r="Y148" s="61">
        <f t="shared" si="19"/>
        <v>0</v>
      </c>
      <c r="Z148" s="73"/>
      <c r="AA148" s="73"/>
      <c r="AB148" s="73"/>
      <c r="AC148" s="73"/>
      <c r="AD148" s="73"/>
      <c r="AE148" s="73"/>
      <c r="AF148" s="73"/>
      <c r="AG148" s="73"/>
      <c r="AH148" s="73"/>
      <c r="AI148" s="73"/>
      <c r="AJ148" s="73"/>
    </row>
    <row r="149" spans="2:36" ht="15" customHeight="1">
      <c r="B149" s="67"/>
      <c r="C149" s="225"/>
      <c r="D149" s="225"/>
      <c r="E149" s="68"/>
      <c r="F149" s="68"/>
      <c r="G149" s="69"/>
      <c r="H149" s="69"/>
      <c r="I149" s="72"/>
      <c r="J149" s="71"/>
      <c r="K149" s="68"/>
      <c r="L149" s="68"/>
      <c r="M149" s="68"/>
      <c r="N149" s="68"/>
      <c r="O149" s="68"/>
      <c r="P149" s="61">
        <f t="shared" si="10"/>
        <v>0</v>
      </c>
      <c r="Q149" s="61">
        <f t="shared" si="11"/>
        <v>0</v>
      </c>
      <c r="R149" s="61">
        <f t="shared" si="12"/>
        <v>0</v>
      </c>
      <c r="S149" s="61">
        <f t="shared" si="13"/>
        <v>0</v>
      </c>
      <c r="T149" s="61">
        <f t="shared" si="14"/>
        <v>0</v>
      </c>
      <c r="U149" s="61">
        <f t="shared" si="15"/>
        <v>0</v>
      </c>
      <c r="V149" s="61">
        <f t="shared" si="16"/>
        <v>0</v>
      </c>
      <c r="W149" s="61">
        <f t="shared" si="17"/>
        <v>0</v>
      </c>
      <c r="X149" s="61">
        <f t="shared" si="18"/>
        <v>0</v>
      </c>
      <c r="Y149" s="61">
        <f t="shared" si="19"/>
        <v>0</v>
      </c>
      <c r="Z149" s="73"/>
      <c r="AA149" s="73"/>
      <c r="AB149" s="73"/>
      <c r="AC149" s="73"/>
      <c r="AD149" s="73"/>
      <c r="AE149" s="73"/>
      <c r="AF149" s="73"/>
      <c r="AG149" s="73"/>
      <c r="AH149" s="73"/>
      <c r="AI149" s="73"/>
      <c r="AJ149" s="73"/>
    </row>
    <row r="150" spans="2:36" ht="15" customHeight="1">
      <c r="B150" s="67"/>
      <c r="C150" s="225"/>
      <c r="D150" s="225"/>
      <c r="E150" s="68"/>
      <c r="F150" s="68"/>
      <c r="G150" s="69"/>
      <c r="H150" s="69"/>
      <c r="I150" s="72"/>
      <c r="J150" s="71"/>
      <c r="K150" s="68"/>
      <c r="L150" s="68"/>
      <c r="M150" s="68"/>
      <c r="N150" s="68"/>
      <c r="O150" s="68"/>
      <c r="P150" s="61">
        <f t="shared" si="10"/>
        <v>0</v>
      </c>
      <c r="Q150" s="61">
        <f t="shared" si="11"/>
        <v>0</v>
      </c>
      <c r="R150" s="61">
        <f t="shared" si="12"/>
        <v>0</v>
      </c>
      <c r="S150" s="61">
        <f t="shared" si="13"/>
        <v>0</v>
      </c>
      <c r="T150" s="61">
        <f t="shared" si="14"/>
        <v>0</v>
      </c>
      <c r="U150" s="61">
        <f t="shared" si="15"/>
        <v>0</v>
      </c>
      <c r="V150" s="61">
        <f t="shared" si="16"/>
        <v>0</v>
      </c>
      <c r="W150" s="61">
        <f t="shared" si="17"/>
        <v>0</v>
      </c>
      <c r="X150" s="61">
        <f t="shared" si="18"/>
        <v>0</v>
      </c>
      <c r="Y150" s="61">
        <f t="shared" si="19"/>
        <v>0</v>
      </c>
      <c r="Z150" s="73"/>
      <c r="AA150" s="73"/>
      <c r="AB150" s="73"/>
      <c r="AC150" s="73"/>
      <c r="AD150" s="73"/>
      <c r="AE150" s="73"/>
      <c r="AF150" s="73"/>
      <c r="AG150" s="73"/>
      <c r="AH150" s="73"/>
      <c r="AI150" s="73"/>
      <c r="AJ150" s="73"/>
    </row>
    <row r="151" spans="2:36" ht="15" customHeight="1">
      <c r="B151" s="67"/>
      <c r="C151" s="225"/>
      <c r="D151" s="225"/>
      <c r="E151" s="68"/>
      <c r="F151" s="68"/>
      <c r="G151" s="69"/>
      <c r="H151" s="69"/>
      <c r="I151" s="72"/>
      <c r="J151" s="71"/>
      <c r="K151" s="68"/>
      <c r="L151" s="68"/>
      <c r="M151" s="68"/>
      <c r="N151" s="68"/>
      <c r="O151" s="68"/>
      <c r="P151" s="61">
        <f t="shared" si="10"/>
        <v>0</v>
      </c>
      <c r="Q151" s="61">
        <f t="shared" si="11"/>
        <v>0</v>
      </c>
      <c r="R151" s="61">
        <f t="shared" si="12"/>
        <v>0</v>
      </c>
      <c r="S151" s="61">
        <f t="shared" si="13"/>
        <v>0</v>
      </c>
      <c r="T151" s="61">
        <f t="shared" si="14"/>
        <v>0</v>
      </c>
      <c r="U151" s="61">
        <f t="shared" si="15"/>
        <v>0</v>
      </c>
      <c r="V151" s="61">
        <f t="shared" si="16"/>
        <v>0</v>
      </c>
      <c r="W151" s="61">
        <f t="shared" si="17"/>
        <v>0</v>
      </c>
      <c r="X151" s="61">
        <f t="shared" si="18"/>
        <v>0</v>
      </c>
      <c r="Y151" s="61">
        <f t="shared" si="19"/>
        <v>0</v>
      </c>
      <c r="Z151" s="73"/>
      <c r="AA151" s="73"/>
      <c r="AB151" s="73"/>
      <c r="AC151" s="73"/>
      <c r="AD151" s="73"/>
      <c r="AE151" s="73"/>
      <c r="AF151" s="73"/>
      <c r="AG151" s="73"/>
      <c r="AH151" s="73"/>
      <c r="AI151" s="73"/>
      <c r="AJ151" s="73"/>
    </row>
    <row r="152" spans="2:36" ht="15" customHeight="1">
      <c r="B152" s="67"/>
      <c r="C152" s="225"/>
      <c r="D152" s="225"/>
      <c r="E152" s="68"/>
      <c r="F152" s="68"/>
      <c r="G152" s="69"/>
      <c r="H152" s="69"/>
      <c r="I152" s="72"/>
      <c r="J152" s="71"/>
      <c r="K152" s="68"/>
      <c r="L152" s="68"/>
      <c r="M152" s="68"/>
      <c r="N152" s="68"/>
      <c r="O152" s="68"/>
      <c r="P152" s="61">
        <f t="shared" si="10"/>
        <v>0</v>
      </c>
      <c r="Q152" s="61">
        <f t="shared" si="11"/>
        <v>0</v>
      </c>
      <c r="R152" s="61">
        <f t="shared" si="12"/>
        <v>0</v>
      </c>
      <c r="S152" s="61">
        <f t="shared" si="13"/>
        <v>0</v>
      </c>
      <c r="T152" s="61">
        <f t="shared" si="14"/>
        <v>0</v>
      </c>
      <c r="U152" s="61">
        <f t="shared" si="15"/>
        <v>0</v>
      </c>
      <c r="V152" s="61">
        <f t="shared" si="16"/>
        <v>0</v>
      </c>
      <c r="W152" s="61">
        <f t="shared" si="17"/>
        <v>0</v>
      </c>
      <c r="X152" s="61">
        <f t="shared" si="18"/>
        <v>0</v>
      </c>
      <c r="Y152" s="61">
        <f t="shared" si="19"/>
        <v>0</v>
      </c>
      <c r="Z152" s="73"/>
      <c r="AA152" s="73"/>
      <c r="AB152" s="73"/>
      <c r="AC152" s="73"/>
      <c r="AD152" s="73"/>
      <c r="AE152" s="73"/>
      <c r="AF152" s="73"/>
      <c r="AG152" s="73"/>
      <c r="AH152" s="73"/>
      <c r="AI152" s="73"/>
      <c r="AJ152" s="73"/>
    </row>
    <row r="153" spans="2:36" ht="15" customHeight="1">
      <c r="B153" s="67"/>
      <c r="C153" s="225"/>
      <c r="D153" s="225"/>
      <c r="E153" s="68"/>
      <c r="F153" s="68"/>
      <c r="G153" s="69"/>
      <c r="H153" s="69"/>
      <c r="I153" s="72"/>
      <c r="J153" s="71"/>
      <c r="K153" s="68"/>
      <c r="L153" s="68"/>
      <c r="M153" s="68"/>
      <c r="N153" s="68"/>
      <c r="O153" s="68"/>
      <c r="P153" s="61">
        <f t="shared" si="10"/>
        <v>0</v>
      </c>
      <c r="Q153" s="61">
        <f t="shared" si="11"/>
        <v>0</v>
      </c>
      <c r="R153" s="61">
        <f t="shared" si="12"/>
        <v>0</v>
      </c>
      <c r="S153" s="61">
        <f t="shared" si="13"/>
        <v>0</v>
      </c>
      <c r="T153" s="61">
        <f t="shared" si="14"/>
        <v>0</v>
      </c>
      <c r="U153" s="61">
        <f t="shared" si="15"/>
        <v>0</v>
      </c>
      <c r="V153" s="61">
        <f t="shared" si="16"/>
        <v>0</v>
      </c>
      <c r="W153" s="61">
        <f t="shared" si="17"/>
        <v>0</v>
      </c>
      <c r="X153" s="61">
        <f t="shared" si="18"/>
        <v>0</v>
      </c>
      <c r="Y153" s="61">
        <f t="shared" si="19"/>
        <v>0</v>
      </c>
      <c r="Z153" s="73"/>
      <c r="AA153" s="73"/>
      <c r="AB153" s="73"/>
      <c r="AC153" s="73"/>
      <c r="AD153" s="73"/>
      <c r="AE153" s="73"/>
      <c r="AF153" s="73"/>
      <c r="AG153" s="73"/>
      <c r="AH153" s="73"/>
      <c r="AI153" s="73"/>
      <c r="AJ153" s="73"/>
    </row>
    <row r="154" spans="2:36" ht="15" customHeight="1">
      <c r="B154" s="67"/>
      <c r="C154" s="225"/>
      <c r="D154" s="225"/>
      <c r="E154" s="68"/>
      <c r="F154" s="68"/>
      <c r="G154" s="69"/>
      <c r="H154" s="69"/>
      <c r="I154" s="72"/>
      <c r="J154" s="71"/>
      <c r="K154" s="68"/>
      <c r="L154" s="68"/>
      <c r="M154" s="68"/>
      <c r="N154" s="68"/>
      <c r="O154" s="68"/>
      <c r="P154" s="61">
        <f t="shared" si="10"/>
        <v>0</v>
      </c>
      <c r="Q154" s="61">
        <f t="shared" si="11"/>
        <v>0</v>
      </c>
      <c r="R154" s="61">
        <f t="shared" si="12"/>
        <v>0</v>
      </c>
      <c r="S154" s="61">
        <f t="shared" si="13"/>
        <v>0</v>
      </c>
      <c r="T154" s="61">
        <f t="shared" si="14"/>
        <v>0</v>
      </c>
      <c r="U154" s="61">
        <f t="shared" si="15"/>
        <v>0</v>
      </c>
      <c r="V154" s="61">
        <f t="shared" si="16"/>
        <v>0</v>
      </c>
      <c r="W154" s="61">
        <f t="shared" si="17"/>
        <v>0</v>
      </c>
      <c r="X154" s="61">
        <f t="shared" si="18"/>
        <v>0</v>
      </c>
      <c r="Y154" s="61">
        <f t="shared" si="19"/>
        <v>0</v>
      </c>
      <c r="Z154" s="73"/>
      <c r="AA154" s="73"/>
      <c r="AB154" s="73"/>
      <c r="AC154" s="73"/>
      <c r="AD154" s="73"/>
      <c r="AE154" s="73"/>
      <c r="AF154" s="73"/>
      <c r="AG154" s="73"/>
      <c r="AH154" s="73"/>
      <c r="AI154" s="73"/>
      <c r="AJ154" s="73"/>
    </row>
    <row r="155" spans="2:36" ht="15" customHeight="1">
      <c r="B155" s="67"/>
      <c r="C155" s="225"/>
      <c r="D155" s="225"/>
      <c r="E155" s="68"/>
      <c r="F155" s="68"/>
      <c r="G155" s="69"/>
      <c r="H155" s="69"/>
      <c r="I155" s="72"/>
      <c r="J155" s="71"/>
      <c r="K155" s="68"/>
      <c r="L155" s="68"/>
      <c r="M155" s="68"/>
      <c r="N155" s="68"/>
      <c r="O155" s="68"/>
      <c r="P155" s="61">
        <f t="shared" si="10"/>
        <v>0</v>
      </c>
      <c r="Q155" s="61">
        <f t="shared" si="11"/>
        <v>0</v>
      </c>
      <c r="R155" s="61">
        <f t="shared" si="12"/>
        <v>0</v>
      </c>
      <c r="S155" s="61">
        <f t="shared" si="13"/>
        <v>0</v>
      </c>
      <c r="T155" s="61">
        <f t="shared" si="14"/>
        <v>0</v>
      </c>
      <c r="U155" s="61">
        <f t="shared" si="15"/>
        <v>0</v>
      </c>
      <c r="V155" s="61">
        <f t="shared" si="16"/>
        <v>0</v>
      </c>
      <c r="W155" s="61">
        <f t="shared" si="17"/>
        <v>0</v>
      </c>
      <c r="X155" s="61">
        <f t="shared" si="18"/>
        <v>0</v>
      </c>
      <c r="Y155" s="61">
        <f t="shared" si="19"/>
        <v>0</v>
      </c>
      <c r="Z155" s="73"/>
      <c r="AA155" s="73"/>
      <c r="AB155" s="73"/>
      <c r="AC155" s="73"/>
      <c r="AD155" s="73"/>
      <c r="AE155" s="73"/>
      <c r="AF155" s="73"/>
      <c r="AG155" s="73"/>
      <c r="AH155" s="73"/>
      <c r="AI155" s="73"/>
      <c r="AJ155" s="73"/>
    </row>
    <row r="156" spans="2:36" ht="15" customHeight="1">
      <c r="B156" s="67"/>
      <c r="C156" s="225"/>
      <c r="D156" s="225"/>
      <c r="E156" s="68"/>
      <c r="F156" s="68"/>
      <c r="G156" s="69"/>
      <c r="H156" s="69"/>
      <c r="I156" s="72"/>
      <c r="J156" s="71"/>
      <c r="K156" s="68"/>
      <c r="L156" s="68"/>
      <c r="M156" s="68"/>
      <c r="N156" s="68"/>
      <c r="O156" s="68"/>
      <c r="P156" s="61">
        <f t="shared" si="10"/>
        <v>0</v>
      </c>
      <c r="Q156" s="61">
        <f t="shared" si="11"/>
        <v>0</v>
      </c>
      <c r="R156" s="61">
        <f t="shared" si="12"/>
        <v>0</v>
      </c>
      <c r="S156" s="61">
        <f t="shared" si="13"/>
        <v>0</v>
      </c>
      <c r="T156" s="61">
        <f t="shared" si="14"/>
        <v>0</v>
      </c>
      <c r="U156" s="61">
        <f t="shared" si="15"/>
        <v>0</v>
      </c>
      <c r="V156" s="61">
        <f t="shared" si="16"/>
        <v>0</v>
      </c>
      <c r="W156" s="61">
        <f t="shared" si="17"/>
        <v>0</v>
      </c>
      <c r="X156" s="61">
        <f t="shared" si="18"/>
        <v>0</v>
      </c>
      <c r="Y156" s="61">
        <f t="shared" si="19"/>
        <v>0</v>
      </c>
      <c r="Z156" s="73"/>
      <c r="AA156" s="73"/>
      <c r="AB156" s="73"/>
      <c r="AC156" s="73"/>
      <c r="AD156" s="73"/>
      <c r="AE156" s="73"/>
      <c r="AF156" s="73"/>
      <c r="AG156" s="73"/>
      <c r="AH156" s="73"/>
      <c r="AI156" s="73"/>
      <c r="AJ156" s="73"/>
    </row>
    <row r="157" spans="2:36" ht="15" customHeight="1">
      <c r="B157" s="67"/>
      <c r="C157" s="225"/>
      <c r="D157" s="225"/>
      <c r="E157" s="68"/>
      <c r="F157" s="68"/>
      <c r="G157" s="69"/>
      <c r="H157" s="69"/>
      <c r="I157" s="72"/>
      <c r="J157" s="71"/>
      <c r="K157" s="68"/>
      <c r="L157" s="68"/>
      <c r="M157" s="68"/>
      <c r="N157" s="68"/>
      <c r="O157" s="68"/>
      <c r="P157" s="61">
        <f t="shared" si="10"/>
        <v>0</v>
      </c>
      <c r="Q157" s="61">
        <f t="shared" si="11"/>
        <v>0</v>
      </c>
      <c r="R157" s="61">
        <f t="shared" si="12"/>
        <v>0</v>
      </c>
      <c r="S157" s="61">
        <f t="shared" si="13"/>
        <v>0</v>
      </c>
      <c r="T157" s="61">
        <f t="shared" si="14"/>
        <v>0</v>
      </c>
      <c r="U157" s="61">
        <f t="shared" si="15"/>
        <v>0</v>
      </c>
      <c r="V157" s="61">
        <f t="shared" si="16"/>
        <v>0</v>
      </c>
      <c r="W157" s="61">
        <f t="shared" si="17"/>
        <v>0</v>
      </c>
      <c r="X157" s="61">
        <f t="shared" si="18"/>
        <v>0</v>
      </c>
      <c r="Y157" s="61">
        <f t="shared" si="19"/>
        <v>0</v>
      </c>
      <c r="Z157" s="73"/>
      <c r="AA157" s="73"/>
      <c r="AB157" s="73"/>
      <c r="AC157" s="73"/>
      <c r="AD157" s="73"/>
      <c r="AE157" s="73"/>
      <c r="AF157" s="73"/>
      <c r="AG157" s="73"/>
      <c r="AH157" s="73"/>
      <c r="AI157" s="73"/>
      <c r="AJ157" s="73"/>
    </row>
    <row r="158" spans="2:36" ht="15" customHeight="1">
      <c r="B158" s="67"/>
      <c r="C158" s="225"/>
      <c r="D158" s="225"/>
      <c r="E158" s="68"/>
      <c r="F158" s="68"/>
      <c r="G158" s="69"/>
      <c r="H158" s="69"/>
      <c r="I158" s="72"/>
      <c r="J158" s="71"/>
      <c r="K158" s="68"/>
      <c r="L158" s="68"/>
      <c r="M158" s="68"/>
      <c r="N158" s="68"/>
      <c r="O158" s="68"/>
      <c r="P158" s="61">
        <f t="shared" si="10"/>
        <v>0</v>
      </c>
      <c r="Q158" s="61">
        <f t="shared" si="11"/>
        <v>0</v>
      </c>
      <c r="R158" s="61">
        <f t="shared" si="12"/>
        <v>0</v>
      </c>
      <c r="S158" s="61">
        <f t="shared" si="13"/>
        <v>0</v>
      </c>
      <c r="T158" s="61">
        <f t="shared" si="14"/>
        <v>0</v>
      </c>
      <c r="U158" s="61">
        <f t="shared" si="15"/>
        <v>0</v>
      </c>
      <c r="V158" s="61">
        <f t="shared" si="16"/>
        <v>0</v>
      </c>
      <c r="W158" s="61">
        <f t="shared" si="17"/>
        <v>0</v>
      </c>
      <c r="X158" s="61">
        <f t="shared" si="18"/>
        <v>0</v>
      </c>
      <c r="Y158" s="61">
        <f t="shared" si="19"/>
        <v>0</v>
      </c>
      <c r="Z158" s="73"/>
      <c r="AA158" s="73"/>
      <c r="AB158" s="73"/>
      <c r="AC158" s="73"/>
      <c r="AD158" s="73"/>
      <c r="AE158" s="73"/>
      <c r="AF158" s="73"/>
      <c r="AG158" s="73"/>
      <c r="AH158" s="73"/>
      <c r="AI158" s="73"/>
      <c r="AJ158" s="73"/>
    </row>
    <row r="159" spans="2:36" ht="15" customHeight="1">
      <c r="B159" s="67"/>
      <c r="C159" s="225"/>
      <c r="D159" s="225"/>
      <c r="E159" s="68"/>
      <c r="F159" s="68"/>
      <c r="G159" s="69"/>
      <c r="H159" s="69"/>
      <c r="I159" s="72"/>
      <c r="J159" s="71"/>
      <c r="K159" s="68"/>
      <c r="L159" s="68"/>
      <c r="M159" s="68"/>
      <c r="N159" s="68"/>
      <c r="O159" s="68"/>
      <c r="P159" s="61">
        <f t="shared" si="10"/>
        <v>0</v>
      </c>
      <c r="Q159" s="61">
        <f t="shared" si="11"/>
        <v>0</v>
      </c>
      <c r="R159" s="61">
        <f t="shared" si="12"/>
        <v>0</v>
      </c>
      <c r="S159" s="61">
        <f t="shared" si="13"/>
        <v>0</v>
      </c>
      <c r="T159" s="61">
        <f t="shared" si="14"/>
        <v>0</v>
      </c>
      <c r="U159" s="61">
        <f t="shared" si="15"/>
        <v>0</v>
      </c>
      <c r="V159" s="61">
        <f t="shared" si="16"/>
        <v>0</v>
      </c>
      <c r="W159" s="61">
        <f t="shared" si="17"/>
        <v>0</v>
      </c>
      <c r="X159" s="61">
        <f t="shared" si="18"/>
        <v>0</v>
      </c>
      <c r="Y159" s="61">
        <f t="shared" si="19"/>
        <v>0</v>
      </c>
      <c r="Z159" s="73"/>
      <c r="AA159" s="73"/>
      <c r="AB159" s="73"/>
      <c r="AC159" s="73"/>
      <c r="AD159" s="73"/>
      <c r="AE159" s="73"/>
      <c r="AF159" s="73"/>
      <c r="AG159" s="73"/>
      <c r="AH159" s="73"/>
      <c r="AI159" s="73"/>
      <c r="AJ159" s="73"/>
    </row>
    <row r="160" spans="2:36" ht="15" customHeight="1">
      <c r="B160" s="67"/>
      <c r="C160" s="225"/>
      <c r="D160" s="225"/>
      <c r="E160" s="68"/>
      <c r="F160" s="68"/>
      <c r="G160" s="69"/>
      <c r="H160" s="69"/>
      <c r="I160" s="72"/>
      <c r="J160" s="71"/>
      <c r="K160" s="68"/>
      <c r="L160" s="68"/>
      <c r="M160" s="68"/>
      <c r="N160" s="68"/>
      <c r="O160" s="68"/>
      <c r="P160" s="61">
        <f t="shared" ref="P160:P223" si="20">IF(H160="REJ",1,0)</f>
        <v>0</v>
      </c>
      <c r="Q160" s="61">
        <f t="shared" ref="Q160:Q223" si="21">IF(J160="",0,1)</f>
        <v>0</v>
      </c>
      <c r="R160" s="61">
        <f t="shared" si="12"/>
        <v>0</v>
      </c>
      <c r="S160" s="61">
        <f t="shared" si="13"/>
        <v>0</v>
      </c>
      <c r="T160" s="61">
        <f t="shared" si="14"/>
        <v>0</v>
      </c>
      <c r="U160" s="61">
        <f t="shared" si="15"/>
        <v>0</v>
      </c>
      <c r="V160" s="61">
        <f t="shared" si="16"/>
        <v>0</v>
      </c>
      <c r="W160" s="61">
        <f t="shared" si="17"/>
        <v>0</v>
      </c>
      <c r="X160" s="61">
        <f t="shared" si="18"/>
        <v>0</v>
      </c>
      <c r="Y160" s="61">
        <f t="shared" si="19"/>
        <v>0</v>
      </c>
      <c r="Z160" s="73"/>
      <c r="AA160" s="73"/>
      <c r="AB160" s="73"/>
      <c r="AC160" s="73"/>
      <c r="AD160" s="73"/>
      <c r="AE160" s="73"/>
      <c r="AF160" s="73"/>
      <c r="AG160" s="73"/>
      <c r="AH160" s="73"/>
      <c r="AI160" s="73"/>
      <c r="AJ160" s="73"/>
    </row>
    <row r="161" spans="2:36" ht="15" customHeight="1">
      <c r="B161" s="67"/>
      <c r="C161" s="225"/>
      <c r="D161" s="225"/>
      <c r="E161" s="68"/>
      <c r="F161" s="68"/>
      <c r="G161" s="69"/>
      <c r="H161" s="69"/>
      <c r="I161" s="72"/>
      <c r="J161" s="71"/>
      <c r="K161" s="68"/>
      <c r="L161" s="68"/>
      <c r="M161" s="68"/>
      <c r="N161" s="68"/>
      <c r="O161" s="68"/>
      <c r="P161" s="61">
        <f t="shared" si="20"/>
        <v>0</v>
      </c>
      <c r="Q161" s="61">
        <f t="shared" si="21"/>
        <v>0</v>
      </c>
      <c r="R161" s="61">
        <f t="shared" ref="R161:R224" si="22">IF(OR(H161="REJ"),IF(J161="",1,0),0)</f>
        <v>0</v>
      </c>
      <c r="S161" s="61">
        <f t="shared" ref="S161:S224" si="23">IF(E161="CR",1,0)</f>
        <v>0</v>
      </c>
      <c r="T161" s="61">
        <f t="shared" ref="T161:T224" si="24">IF(J161="",0,1)</f>
        <v>0</v>
      </c>
      <c r="U161" s="61">
        <f t="shared" ref="U161:U224" si="25">IF(OR(E161="CR",E161="MA",E161="E"),IF(J161="",1,0),0)</f>
        <v>0</v>
      </c>
      <c r="V161" s="61">
        <f t="shared" ref="V161:V224" si="26">IF(H161="ACC",1,0)</f>
        <v>0</v>
      </c>
      <c r="W161" s="61">
        <f t="shared" ref="W161:W224" si="27">IF(K161="",0,1)</f>
        <v>0</v>
      </c>
      <c r="X161" s="61">
        <f t="shared" ref="X161:X224" si="28">IF(AND(H161="ACC"),IF(K161="",1,0),0)</f>
        <v>0</v>
      </c>
      <c r="Y161" s="61">
        <f t="shared" ref="Y161:Y224" si="29">IF(AND(H161="ACC"),IF(M161="",1,0),0)</f>
        <v>0</v>
      </c>
      <c r="Z161" s="73"/>
      <c r="AA161" s="73"/>
      <c r="AB161" s="73"/>
      <c r="AC161" s="73"/>
      <c r="AD161" s="73"/>
      <c r="AE161" s="73"/>
      <c r="AF161" s="73"/>
      <c r="AG161" s="73"/>
      <c r="AH161" s="73"/>
      <c r="AI161" s="73"/>
      <c r="AJ161" s="73"/>
    </row>
    <row r="162" spans="2:36" ht="15" customHeight="1">
      <c r="B162" s="67"/>
      <c r="C162" s="225"/>
      <c r="D162" s="225"/>
      <c r="E162" s="68"/>
      <c r="F162" s="68"/>
      <c r="G162" s="69"/>
      <c r="H162" s="69"/>
      <c r="I162" s="72"/>
      <c r="J162" s="71"/>
      <c r="K162" s="68"/>
      <c r="L162" s="68"/>
      <c r="M162" s="68"/>
      <c r="N162" s="68"/>
      <c r="O162" s="68"/>
      <c r="P162" s="61">
        <f t="shared" si="20"/>
        <v>0</v>
      </c>
      <c r="Q162" s="61">
        <f t="shared" si="21"/>
        <v>0</v>
      </c>
      <c r="R162" s="61">
        <f t="shared" si="22"/>
        <v>0</v>
      </c>
      <c r="S162" s="61">
        <f t="shared" si="23"/>
        <v>0</v>
      </c>
      <c r="T162" s="61">
        <f t="shared" si="24"/>
        <v>0</v>
      </c>
      <c r="U162" s="61">
        <f t="shared" si="25"/>
        <v>0</v>
      </c>
      <c r="V162" s="61">
        <f t="shared" si="26"/>
        <v>0</v>
      </c>
      <c r="W162" s="61">
        <f t="shared" si="27"/>
        <v>0</v>
      </c>
      <c r="X162" s="61">
        <f t="shared" si="28"/>
        <v>0</v>
      </c>
      <c r="Y162" s="61">
        <f t="shared" si="29"/>
        <v>0</v>
      </c>
      <c r="Z162" s="73"/>
      <c r="AA162" s="73"/>
      <c r="AB162" s="73"/>
      <c r="AC162" s="73"/>
      <c r="AD162" s="73"/>
      <c r="AE162" s="73"/>
      <c r="AF162" s="73"/>
      <c r="AG162" s="73"/>
      <c r="AH162" s="73"/>
      <c r="AI162" s="73"/>
      <c r="AJ162" s="73"/>
    </row>
    <row r="163" spans="2:36" ht="15" customHeight="1">
      <c r="B163" s="67"/>
      <c r="C163" s="225"/>
      <c r="D163" s="225"/>
      <c r="E163" s="68"/>
      <c r="F163" s="68"/>
      <c r="G163" s="69"/>
      <c r="H163" s="69"/>
      <c r="I163" s="72"/>
      <c r="J163" s="71"/>
      <c r="K163" s="68"/>
      <c r="L163" s="68"/>
      <c r="M163" s="68"/>
      <c r="N163" s="68"/>
      <c r="O163" s="68"/>
      <c r="P163" s="61">
        <f t="shared" si="20"/>
        <v>0</v>
      </c>
      <c r="Q163" s="61">
        <f t="shared" si="21"/>
        <v>0</v>
      </c>
      <c r="R163" s="61">
        <f t="shared" si="22"/>
        <v>0</v>
      </c>
      <c r="S163" s="61">
        <f t="shared" si="23"/>
        <v>0</v>
      </c>
      <c r="T163" s="61">
        <f t="shared" si="24"/>
        <v>0</v>
      </c>
      <c r="U163" s="61">
        <f t="shared" si="25"/>
        <v>0</v>
      </c>
      <c r="V163" s="61">
        <f t="shared" si="26"/>
        <v>0</v>
      </c>
      <c r="W163" s="61">
        <f t="shared" si="27"/>
        <v>0</v>
      </c>
      <c r="X163" s="61">
        <f t="shared" si="28"/>
        <v>0</v>
      </c>
      <c r="Y163" s="61">
        <f t="shared" si="29"/>
        <v>0</v>
      </c>
      <c r="Z163" s="73"/>
      <c r="AA163" s="73"/>
      <c r="AB163" s="73"/>
      <c r="AC163" s="73"/>
      <c r="AD163" s="73"/>
      <c r="AE163" s="73"/>
      <c r="AF163" s="73"/>
      <c r="AG163" s="73"/>
      <c r="AH163" s="73"/>
      <c r="AI163" s="73"/>
      <c r="AJ163" s="73"/>
    </row>
    <row r="164" spans="2:36" ht="15" customHeight="1">
      <c r="B164" s="67"/>
      <c r="C164" s="225"/>
      <c r="D164" s="225"/>
      <c r="E164" s="68"/>
      <c r="F164" s="68"/>
      <c r="G164" s="69"/>
      <c r="H164" s="69"/>
      <c r="I164" s="72"/>
      <c r="J164" s="71"/>
      <c r="K164" s="68"/>
      <c r="L164" s="68"/>
      <c r="M164" s="68"/>
      <c r="N164" s="68"/>
      <c r="O164" s="68"/>
      <c r="P164" s="61">
        <f t="shared" si="20"/>
        <v>0</v>
      </c>
      <c r="Q164" s="61">
        <f t="shared" si="21"/>
        <v>0</v>
      </c>
      <c r="R164" s="61">
        <f t="shared" si="22"/>
        <v>0</v>
      </c>
      <c r="S164" s="61">
        <f t="shared" si="23"/>
        <v>0</v>
      </c>
      <c r="T164" s="61">
        <f t="shared" si="24"/>
        <v>0</v>
      </c>
      <c r="U164" s="61">
        <f t="shared" si="25"/>
        <v>0</v>
      </c>
      <c r="V164" s="61">
        <f t="shared" si="26"/>
        <v>0</v>
      </c>
      <c r="W164" s="61">
        <f t="shared" si="27"/>
        <v>0</v>
      </c>
      <c r="X164" s="61">
        <f t="shared" si="28"/>
        <v>0</v>
      </c>
      <c r="Y164" s="61">
        <f t="shared" si="29"/>
        <v>0</v>
      </c>
      <c r="Z164" s="73"/>
      <c r="AA164" s="73"/>
      <c r="AB164" s="73"/>
      <c r="AC164" s="73"/>
      <c r="AD164" s="73"/>
      <c r="AE164" s="73"/>
      <c r="AF164" s="73"/>
      <c r="AG164" s="73"/>
      <c r="AH164" s="73"/>
      <c r="AI164" s="73"/>
      <c r="AJ164" s="73"/>
    </row>
    <row r="165" spans="2:36" ht="15" customHeight="1">
      <c r="B165" s="67"/>
      <c r="C165" s="225"/>
      <c r="D165" s="225"/>
      <c r="E165" s="68"/>
      <c r="F165" s="68"/>
      <c r="G165" s="69"/>
      <c r="H165" s="69"/>
      <c r="I165" s="72"/>
      <c r="J165" s="71"/>
      <c r="K165" s="68"/>
      <c r="L165" s="68"/>
      <c r="M165" s="68"/>
      <c r="N165" s="68"/>
      <c r="O165" s="68"/>
      <c r="P165" s="61">
        <f t="shared" si="20"/>
        <v>0</v>
      </c>
      <c r="Q165" s="61">
        <f t="shared" si="21"/>
        <v>0</v>
      </c>
      <c r="R165" s="61">
        <f t="shared" si="22"/>
        <v>0</v>
      </c>
      <c r="S165" s="61">
        <f t="shared" si="23"/>
        <v>0</v>
      </c>
      <c r="T165" s="61">
        <f t="shared" si="24"/>
        <v>0</v>
      </c>
      <c r="U165" s="61">
        <f t="shared" si="25"/>
        <v>0</v>
      </c>
      <c r="V165" s="61">
        <f t="shared" si="26"/>
        <v>0</v>
      </c>
      <c r="W165" s="61">
        <f t="shared" si="27"/>
        <v>0</v>
      </c>
      <c r="X165" s="61">
        <f t="shared" si="28"/>
        <v>0</v>
      </c>
      <c r="Y165" s="61">
        <f t="shared" si="29"/>
        <v>0</v>
      </c>
      <c r="Z165" s="73"/>
      <c r="AA165" s="73"/>
      <c r="AB165" s="73"/>
      <c r="AC165" s="73"/>
      <c r="AD165" s="73"/>
      <c r="AE165" s="73"/>
      <c r="AF165" s="73"/>
      <c r="AG165" s="73"/>
      <c r="AH165" s="73"/>
      <c r="AI165" s="73"/>
      <c r="AJ165" s="73"/>
    </row>
    <row r="166" spans="2:36" ht="15" customHeight="1">
      <c r="B166" s="67"/>
      <c r="C166" s="225"/>
      <c r="D166" s="225"/>
      <c r="E166" s="68"/>
      <c r="F166" s="68"/>
      <c r="G166" s="69"/>
      <c r="H166" s="69"/>
      <c r="I166" s="72"/>
      <c r="J166" s="71"/>
      <c r="K166" s="68"/>
      <c r="L166" s="68"/>
      <c r="M166" s="68"/>
      <c r="N166" s="68"/>
      <c r="O166" s="68"/>
      <c r="P166" s="61">
        <f t="shared" si="20"/>
        <v>0</v>
      </c>
      <c r="Q166" s="61">
        <f t="shared" si="21"/>
        <v>0</v>
      </c>
      <c r="R166" s="61">
        <f t="shared" si="22"/>
        <v>0</v>
      </c>
      <c r="S166" s="61">
        <f t="shared" si="23"/>
        <v>0</v>
      </c>
      <c r="T166" s="61">
        <f t="shared" si="24"/>
        <v>0</v>
      </c>
      <c r="U166" s="61">
        <f t="shared" si="25"/>
        <v>0</v>
      </c>
      <c r="V166" s="61">
        <f t="shared" si="26"/>
        <v>0</v>
      </c>
      <c r="W166" s="61">
        <f t="shared" si="27"/>
        <v>0</v>
      </c>
      <c r="X166" s="61">
        <f t="shared" si="28"/>
        <v>0</v>
      </c>
      <c r="Y166" s="61">
        <f t="shared" si="29"/>
        <v>0</v>
      </c>
      <c r="Z166" s="73"/>
      <c r="AA166" s="73"/>
      <c r="AB166" s="73"/>
      <c r="AC166" s="73"/>
      <c r="AD166" s="73"/>
      <c r="AE166" s="73"/>
      <c r="AF166" s="73"/>
      <c r="AG166" s="73"/>
      <c r="AH166" s="73"/>
      <c r="AI166" s="73"/>
      <c r="AJ166" s="73"/>
    </row>
    <row r="167" spans="2:36" ht="15" customHeight="1">
      <c r="B167" s="67"/>
      <c r="C167" s="225"/>
      <c r="D167" s="225"/>
      <c r="E167" s="68"/>
      <c r="F167" s="68"/>
      <c r="G167" s="69"/>
      <c r="H167" s="69"/>
      <c r="I167" s="72"/>
      <c r="J167" s="71"/>
      <c r="K167" s="68"/>
      <c r="L167" s="68"/>
      <c r="M167" s="68"/>
      <c r="N167" s="68"/>
      <c r="O167" s="68"/>
      <c r="P167" s="61">
        <f t="shared" si="20"/>
        <v>0</v>
      </c>
      <c r="Q167" s="61">
        <f t="shared" si="21"/>
        <v>0</v>
      </c>
      <c r="R167" s="61">
        <f t="shared" si="22"/>
        <v>0</v>
      </c>
      <c r="S167" s="61">
        <f t="shared" si="23"/>
        <v>0</v>
      </c>
      <c r="T167" s="61">
        <f t="shared" si="24"/>
        <v>0</v>
      </c>
      <c r="U167" s="61">
        <f t="shared" si="25"/>
        <v>0</v>
      </c>
      <c r="V167" s="61">
        <f t="shared" si="26"/>
        <v>0</v>
      </c>
      <c r="W167" s="61">
        <f t="shared" si="27"/>
        <v>0</v>
      </c>
      <c r="X167" s="61">
        <f t="shared" si="28"/>
        <v>0</v>
      </c>
      <c r="Y167" s="61">
        <f t="shared" si="29"/>
        <v>0</v>
      </c>
      <c r="Z167" s="73"/>
      <c r="AA167" s="73"/>
      <c r="AB167" s="73"/>
      <c r="AC167" s="73"/>
      <c r="AD167" s="73"/>
      <c r="AE167" s="73"/>
      <c r="AF167" s="73"/>
      <c r="AG167" s="73"/>
      <c r="AH167" s="73"/>
      <c r="AI167" s="73"/>
      <c r="AJ167" s="73"/>
    </row>
    <row r="168" spans="2:36" ht="15" customHeight="1">
      <c r="B168" s="67"/>
      <c r="C168" s="225"/>
      <c r="D168" s="225"/>
      <c r="E168" s="68"/>
      <c r="F168" s="68"/>
      <c r="G168" s="69"/>
      <c r="H168" s="69"/>
      <c r="I168" s="72"/>
      <c r="J168" s="71"/>
      <c r="K168" s="68"/>
      <c r="L168" s="68"/>
      <c r="M168" s="68"/>
      <c r="N168" s="68"/>
      <c r="O168" s="68"/>
      <c r="P168" s="61">
        <f t="shared" si="20"/>
        <v>0</v>
      </c>
      <c r="Q168" s="61">
        <f t="shared" si="21"/>
        <v>0</v>
      </c>
      <c r="R168" s="61">
        <f t="shared" si="22"/>
        <v>0</v>
      </c>
      <c r="S168" s="61">
        <f t="shared" si="23"/>
        <v>0</v>
      </c>
      <c r="T168" s="61">
        <f t="shared" si="24"/>
        <v>0</v>
      </c>
      <c r="U168" s="61">
        <f t="shared" si="25"/>
        <v>0</v>
      </c>
      <c r="V168" s="61">
        <f t="shared" si="26"/>
        <v>0</v>
      </c>
      <c r="W168" s="61">
        <f t="shared" si="27"/>
        <v>0</v>
      </c>
      <c r="X168" s="61">
        <f t="shared" si="28"/>
        <v>0</v>
      </c>
      <c r="Y168" s="61">
        <f t="shared" si="29"/>
        <v>0</v>
      </c>
      <c r="Z168" s="73"/>
      <c r="AA168" s="73"/>
      <c r="AB168" s="73"/>
      <c r="AC168" s="73"/>
      <c r="AD168" s="73"/>
      <c r="AE168" s="73"/>
      <c r="AF168" s="73"/>
      <c r="AG168" s="73"/>
      <c r="AH168" s="73"/>
      <c r="AI168" s="73"/>
      <c r="AJ168" s="73"/>
    </row>
    <row r="169" spans="2:36" ht="15" customHeight="1">
      <c r="B169" s="67"/>
      <c r="C169" s="225"/>
      <c r="D169" s="225"/>
      <c r="E169" s="68"/>
      <c r="F169" s="68"/>
      <c r="G169" s="69"/>
      <c r="H169" s="69"/>
      <c r="I169" s="72"/>
      <c r="J169" s="71"/>
      <c r="K169" s="68"/>
      <c r="L169" s="68"/>
      <c r="M169" s="68"/>
      <c r="N169" s="68"/>
      <c r="O169" s="68"/>
      <c r="P169" s="61">
        <f t="shared" si="20"/>
        <v>0</v>
      </c>
      <c r="Q169" s="61">
        <f t="shared" si="21"/>
        <v>0</v>
      </c>
      <c r="R169" s="61">
        <f t="shared" si="22"/>
        <v>0</v>
      </c>
      <c r="S169" s="61">
        <f t="shared" si="23"/>
        <v>0</v>
      </c>
      <c r="T169" s="61">
        <f t="shared" si="24"/>
        <v>0</v>
      </c>
      <c r="U169" s="61">
        <f t="shared" si="25"/>
        <v>0</v>
      </c>
      <c r="V169" s="61">
        <f t="shared" si="26"/>
        <v>0</v>
      </c>
      <c r="W169" s="61">
        <f t="shared" si="27"/>
        <v>0</v>
      </c>
      <c r="X169" s="61">
        <f t="shared" si="28"/>
        <v>0</v>
      </c>
      <c r="Y169" s="61">
        <f t="shared" si="29"/>
        <v>0</v>
      </c>
      <c r="Z169" s="73"/>
      <c r="AA169" s="73"/>
      <c r="AB169" s="73"/>
      <c r="AC169" s="73"/>
      <c r="AD169" s="73"/>
      <c r="AE169" s="73"/>
      <c r="AF169" s="73"/>
      <c r="AG169" s="73"/>
      <c r="AH169" s="73"/>
      <c r="AI169" s="73"/>
      <c r="AJ169" s="73"/>
    </row>
    <row r="170" spans="2:36" ht="15" customHeight="1">
      <c r="B170" s="67"/>
      <c r="C170" s="225"/>
      <c r="D170" s="225"/>
      <c r="E170" s="68"/>
      <c r="F170" s="68"/>
      <c r="G170" s="69"/>
      <c r="H170" s="69"/>
      <c r="I170" s="72"/>
      <c r="J170" s="71"/>
      <c r="K170" s="68"/>
      <c r="L170" s="68"/>
      <c r="M170" s="68"/>
      <c r="N170" s="68"/>
      <c r="O170" s="68"/>
      <c r="P170" s="61">
        <f t="shared" si="20"/>
        <v>0</v>
      </c>
      <c r="Q170" s="61">
        <f t="shared" si="21"/>
        <v>0</v>
      </c>
      <c r="R170" s="61">
        <f t="shared" si="22"/>
        <v>0</v>
      </c>
      <c r="S170" s="61">
        <f t="shared" si="23"/>
        <v>0</v>
      </c>
      <c r="T170" s="61">
        <f t="shared" si="24"/>
        <v>0</v>
      </c>
      <c r="U170" s="61">
        <f t="shared" si="25"/>
        <v>0</v>
      </c>
      <c r="V170" s="61">
        <f t="shared" si="26"/>
        <v>0</v>
      </c>
      <c r="W170" s="61">
        <f t="shared" si="27"/>
        <v>0</v>
      </c>
      <c r="X170" s="61">
        <f t="shared" si="28"/>
        <v>0</v>
      </c>
      <c r="Y170" s="61">
        <f t="shared" si="29"/>
        <v>0</v>
      </c>
      <c r="Z170" s="73"/>
      <c r="AA170" s="73"/>
      <c r="AB170" s="73"/>
      <c r="AC170" s="73"/>
      <c r="AD170" s="73"/>
      <c r="AE170" s="73"/>
      <c r="AF170" s="73"/>
      <c r="AG170" s="73"/>
      <c r="AH170" s="73"/>
      <c r="AI170" s="73"/>
      <c r="AJ170" s="73"/>
    </row>
    <row r="171" spans="2:36" ht="15" customHeight="1">
      <c r="B171" s="67"/>
      <c r="C171" s="225"/>
      <c r="D171" s="225"/>
      <c r="E171" s="68"/>
      <c r="F171" s="68"/>
      <c r="G171" s="69"/>
      <c r="H171" s="69"/>
      <c r="I171" s="72"/>
      <c r="J171" s="71"/>
      <c r="K171" s="68"/>
      <c r="L171" s="68"/>
      <c r="M171" s="68"/>
      <c r="N171" s="68"/>
      <c r="O171" s="68"/>
      <c r="P171" s="61">
        <f t="shared" si="20"/>
        <v>0</v>
      </c>
      <c r="Q171" s="61">
        <f t="shared" si="21"/>
        <v>0</v>
      </c>
      <c r="R171" s="61">
        <f t="shared" si="22"/>
        <v>0</v>
      </c>
      <c r="S171" s="61">
        <f t="shared" si="23"/>
        <v>0</v>
      </c>
      <c r="T171" s="61">
        <f t="shared" si="24"/>
        <v>0</v>
      </c>
      <c r="U171" s="61">
        <f t="shared" si="25"/>
        <v>0</v>
      </c>
      <c r="V171" s="61">
        <f t="shared" si="26"/>
        <v>0</v>
      </c>
      <c r="W171" s="61">
        <f t="shared" si="27"/>
        <v>0</v>
      </c>
      <c r="X171" s="61">
        <f t="shared" si="28"/>
        <v>0</v>
      </c>
      <c r="Y171" s="61">
        <f t="shared" si="29"/>
        <v>0</v>
      </c>
      <c r="Z171" s="73"/>
      <c r="AA171" s="73"/>
      <c r="AB171" s="73"/>
      <c r="AC171" s="73"/>
      <c r="AD171" s="73"/>
      <c r="AE171" s="73"/>
      <c r="AF171" s="73"/>
      <c r="AG171" s="73"/>
      <c r="AH171" s="73"/>
      <c r="AI171" s="73"/>
      <c r="AJ171" s="73"/>
    </row>
    <row r="172" spans="2:36" ht="15" customHeight="1">
      <c r="B172" s="67"/>
      <c r="C172" s="225"/>
      <c r="D172" s="225"/>
      <c r="E172" s="68"/>
      <c r="F172" s="68"/>
      <c r="G172" s="69"/>
      <c r="H172" s="69"/>
      <c r="I172" s="72"/>
      <c r="J172" s="71"/>
      <c r="K172" s="68"/>
      <c r="L172" s="68"/>
      <c r="M172" s="68"/>
      <c r="N172" s="68"/>
      <c r="O172" s="68"/>
      <c r="P172" s="61">
        <f t="shared" si="20"/>
        <v>0</v>
      </c>
      <c r="Q172" s="61">
        <f t="shared" si="21"/>
        <v>0</v>
      </c>
      <c r="R172" s="61">
        <f t="shared" si="22"/>
        <v>0</v>
      </c>
      <c r="S172" s="61">
        <f t="shared" si="23"/>
        <v>0</v>
      </c>
      <c r="T172" s="61">
        <f t="shared" si="24"/>
        <v>0</v>
      </c>
      <c r="U172" s="61">
        <f t="shared" si="25"/>
        <v>0</v>
      </c>
      <c r="V172" s="61">
        <f t="shared" si="26"/>
        <v>0</v>
      </c>
      <c r="W172" s="61">
        <f t="shared" si="27"/>
        <v>0</v>
      </c>
      <c r="X172" s="61">
        <f t="shared" si="28"/>
        <v>0</v>
      </c>
      <c r="Y172" s="61">
        <f t="shared" si="29"/>
        <v>0</v>
      </c>
      <c r="Z172" s="73"/>
      <c r="AA172" s="73"/>
      <c r="AB172" s="73"/>
      <c r="AC172" s="73"/>
      <c r="AD172" s="73"/>
      <c r="AE172" s="73"/>
      <c r="AF172" s="73"/>
      <c r="AG172" s="73"/>
      <c r="AH172" s="73"/>
      <c r="AI172" s="73"/>
      <c r="AJ172" s="73"/>
    </row>
    <row r="173" spans="2:36" ht="15" customHeight="1">
      <c r="B173" s="67"/>
      <c r="C173" s="225"/>
      <c r="D173" s="225"/>
      <c r="E173" s="68"/>
      <c r="F173" s="68"/>
      <c r="G173" s="69"/>
      <c r="H173" s="69"/>
      <c r="I173" s="72"/>
      <c r="J173" s="71"/>
      <c r="K173" s="68"/>
      <c r="L173" s="68"/>
      <c r="M173" s="68"/>
      <c r="N173" s="68"/>
      <c r="O173" s="68"/>
      <c r="P173" s="61">
        <f t="shared" si="20"/>
        <v>0</v>
      </c>
      <c r="Q173" s="61">
        <f t="shared" si="21"/>
        <v>0</v>
      </c>
      <c r="R173" s="61">
        <f t="shared" si="22"/>
        <v>0</v>
      </c>
      <c r="S173" s="61">
        <f t="shared" si="23"/>
        <v>0</v>
      </c>
      <c r="T173" s="61">
        <f t="shared" si="24"/>
        <v>0</v>
      </c>
      <c r="U173" s="61">
        <f t="shared" si="25"/>
        <v>0</v>
      </c>
      <c r="V173" s="61">
        <f t="shared" si="26"/>
        <v>0</v>
      </c>
      <c r="W173" s="61">
        <f t="shared" si="27"/>
        <v>0</v>
      </c>
      <c r="X173" s="61">
        <f t="shared" si="28"/>
        <v>0</v>
      </c>
      <c r="Y173" s="61">
        <f t="shared" si="29"/>
        <v>0</v>
      </c>
      <c r="Z173" s="73"/>
      <c r="AA173" s="73"/>
      <c r="AB173" s="73"/>
      <c r="AC173" s="73"/>
      <c r="AD173" s="73"/>
      <c r="AE173" s="73"/>
      <c r="AF173" s="73"/>
      <c r="AG173" s="73"/>
      <c r="AH173" s="73"/>
      <c r="AI173" s="73"/>
      <c r="AJ173" s="73"/>
    </row>
    <row r="174" spans="2:36" ht="15" customHeight="1">
      <c r="B174" s="67"/>
      <c r="C174" s="225"/>
      <c r="D174" s="225"/>
      <c r="E174" s="68"/>
      <c r="F174" s="68"/>
      <c r="G174" s="69"/>
      <c r="H174" s="69"/>
      <c r="I174" s="72"/>
      <c r="J174" s="71"/>
      <c r="K174" s="68"/>
      <c r="L174" s="68"/>
      <c r="M174" s="68"/>
      <c r="N174" s="68"/>
      <c r="O174" s="68"/>
      <c r="P174" s="61">
        <f t="shared" si="20"/>
        <v>0</v>
      </c>
      <c r="Q174" s="61">
        <f t="shared" si="21"/>
        <v>0</v>
      </c>
      <c r="R174" s="61">
        <f t="shared" si="22"/>
        <v>0</v>
      </c>
      <c r="S174" s="61">
        <f t="shared" si="23"/>
        <v>0</v>
      </c>
      <c r="T174" s="61">
        <f t="shared" si="24"/>
        <v>0</v>
      </c>
      <c r="U174" s="61">
        <f t="shared" si="25"/>
        <v>0</v>
      </c>
      <c r="V174" s="61">
        <f t="shared" si="26"/>
        <v>0</v>
      </c>
      <c r="W174" s="61">
        <f t="shared" si="27"/>
        <v>0</v>
      </c>
      <c r="X174" s="61">
        <f t="shared" si="28"/>
        <v>0</v>
      </c>
      <c r="Y174" s="61">
        <f t="shared" si="29"/>
        <v>0</v>
      </c>
      <c r="Z174" s="73"/>
      <c r="AA174" s="73"/>
      <c r="AB174" s="73"/>
      <c r="AC174" s="73"/>
      <c r="AD174" s="73"/>
      <c r="AE174" s="73"/>
      <c r="AF174" s="73"/>
      <c r="AG174" s="73"/>
      <c r="AH174" s="73"/>
      <c r="AI174" s="73"/>
      <c r="AJ174" s="73"/>
    </row>
    <row r="175" spans="2:36" ht="15" customHeight="1">
      <c r="B175" s="67"/>
      <c r="C175" s="225"/>
      <c r="D175" s="225"/>
      <c r="E175" s="68"/>
      <c r="F175" s="68"/>
      <c r="G175" s="69"/>
      <c r="H175" s="69"/>
      <c r="I175" s="72"/>
      <c r="J175" s="71"/>
      <c r="K175" s="68"/>
      <c r="L175" s="68"/>
      <c r="M175" s="68"/>
      <c r="N175" s="68"/>
      <c r="O175" s="68"/>
      <c r="P175" s="61">
        <f t="shared" si="20"/>
        <v>0</v>
      </c>
      <c r="Q175" s="61">
        <f t="shared" si="21"/>
        <v>0</v>
      </c>
      <c r="R175" s="61">
        <f t="shared" si="22"/>
        <v>0</v>
      </c>
      <c r="S175" s="61">
        <f t="shared" si="23"/>
        <v>0</v>
      </c>
      <c r="T175" s="61">
        <f t="shared" si="24"/>
        <v>0</v>
      </c>
      <c r="U175" s="61">
        <f t="shared" si="25"/>
        <v>0</v>
      </c>
      <c r="V175" s="61">
        <f t="shared" si="26"/>
        <v>0</v>
      </c>
      <c r="W175" s="61">
        <f t="shared" si="27"/>
        <v>0</v>
      </c>
      <c r="X175" s="61">
        <f t="shared" si="28"/>
        <v>0</v>
      </c>
      <c r="Y175" s="61">
        <f t="shared" si="29"/>
        <v>0</v>
      </c>
      <c r="Z175" s="73"/>
      <c r="AA175" s="73"/>
      <c r="AB175" s="73"/>
      <c r="AC175" s="73"/>
      <c r="AD175" s="73"/>
      <c r="AE175" s="73"/>
      <c r="AF175" s="73"/>
      <c r="AG175" s="73"/>
      <c r="AH175" s="73"/>
      <c r="AI175" s="73"/>
      <c r="AJ175" s="73"/>
    </row>
    <row r="176" spans="2:36" ht="15" customHeight="1">
      <c r="B176" s="67"/>
      <c r="C176" s="225"/>
      <c r="D176" s="225"/>
      <c r="E176" s="68"/>
      <c r="F176" s="68"/>
      <c r="G176" s="69"/>
      <c r="H176" s="69"/>
      <c r="I176" s="72"/>
      <c r="J176" s="71"/>
      <c r="K176" s="68"/>
      <c r="L176" s="68"/>
      <c r="M176" s="68"/>
      <c r="N176" s="68"/>
      <c r="O176" s="68"/>
      <c r="P176" s="61">
        <f t="shared" si="20"/>
        <v>0</v>
      </c>
      <c r="Q176" s="61">
        <f t="shared" si="21"/>
        <v>0</v>
      </c>
      <c r="R176" s="61">
        <f t="shared" si="22"/>
        <v>0</v>
      </c>
      <c r="S176" s="61">
        <f t="shared" si="23"/>
        <v>0</v>
      </c>
      <c r="T176" s="61">
        <f t="shared" si="24"/>
        <v>0</v>
      </c>
      <c r="U176" s="61">
        <f t="shared" si="25"/>
        <v>0</v>
      </c>
      <c r="V176" s="61">
        <f t="shared" si="26"/>
        <v>0</v>
      </c>
      <c r="W176" s="61">
        <f t="shared" si="27"/>
        <v>0</v>
      </c>
      <c r="X176" s="61">
        <f t="shared" si="28"/>
        <v>0</v>
      </c>
      <c r="Y176" s="61">
        <f t="shared" si="29"/>
        <v>0</v>
      </c>
      <c r="Z176" s="73"/>
      <c r="AA176" s="73"/>
      <c r="AB176" s="73"/>
      <c r="AC176" s="73"/>
      <c r="AD176" s="73"/>
      <c r="AE176" s="73"/>
      <c r="AF176" s="73"/>
      <c r="AG176" s="73"/>
      <c r="AH176" s="73"/>
      <c r="AI176" s="73"/>
      <c r="AJ176" s="73"/>
    </row>
    <row r="177" spans="2:36" ht="15" customHeight="1">
      <c r="B177" s="67"/>
      <c r="C177" s="225"/>
      <c r="D177" s="225"/>
      <c r="E177" s="68"/>
      <c r="F177" s="68"/>
      <c r="G177" s="69"/>
      <c r="H177" s="69"/>
      <c r="I177" s="72"/>
      <c r="J177" s="71"/>
      <c r="K177" s="68"/>
      <c r="L177" s="68"/>
      <c r="M177" s="68"/>
      <c r="N177" s="68"/>
      <c r="O177" s="68"/>
      <c r="P177" s="61">
        <f t="shared" si="20"/>
        <v>0</v>
      </c>
      <c r="Q177" s="61">
        <f t="shared" si="21"/>
        <v>0</v>
      </c>
      <c r="R177" s="61">
        <f t="shared" si="22"/>
        <v>0</v>
      </c>
      <c r="S177" s="61">
        <f t="shared" si="23"/>
        <v>0</v>
      </c>
      <c r="T177" s="61">
        <f t="shared" si="24"/>
        <v>0</v>
      </c>
      <c r="U177" s="61">
        <f t="shared" si="25"/>
        <v>0</v>
      </c>
      <c r="V177" s="61">
        <f t="shared" si="26"/>
        <v>0</v>
      </c>
      <c r="W177" s="61">
        <f t="shared" si="27"/>
        <v>0</v>
      </c>
      <c r="X177" s="61">
        <f t="shared" si="28"/>
        <v>0</v>
      </c>
      <c r="Y177" s="61">
        <f t="shared" si="29"/>
        <v>0</v>
      </c>
      <c r="Z177" s="73"/>
      <c r="AA177" s="73"/>
      <c r="AB177" s="73"/>
      <c r="AC177" s="73"/>
      <c r="AD177" s="73"/>
      <c r="AE177" s="73"/>
      <c r="AF177" s="73"/>
      <c r="AG177" s="73"/>
      <c r="AH177" s="73"/>
      <c r="AI177" s="73"/>
      <c r="AJ177" s="73"/>
    </row>
    <row r="178" spans="2:36" ht="15" customHeight="1">
      <c r="B178" s="67"/>
      <c r="C178" s="225"/>
      <c r="D178" s="225"/>
      <c r="E178" s="68"/>
      <c r="F178" s="68"/>
      <c r="G178" s="69"/>
      <c r="H178" s="69"/>
      <c r="I178" s="72"/>
      <c r="J178" s="71"/>
      <c r="K178" s="68"/>
      <c r="L178" s="68"/>
      <c r="M178" s="68"/>
      <c r="N178" s="68"/>
      <c r="O178" s="68"/>
      <c r="P178" s="61">
        <f t="shared" si="20"/>
        <v>0</v>
      </c>
      <c r="Q178" s="61">
        <f t="shared" si="21"/>
        <v>0</v>
      </c>
      <c r="R178" s="61">
        <f t="shared" si="22"/>
        <v>0</v>
      </c>
      <c r="S178" s="61">
        <f t="shared" si="23"/>
        <v>0</v>
      </c>
      <c r="T178" s="61">
        <f t="shared" si="24"/>
        <v>0</v>
      </c>
      <c r="U178" s="61">
        <f t="shared" si="25"/>
        <v>0</v>
      </c>
      <c r="V178" s="61">
        <f t="shared" si="26"/>
        <v>0</v>
      </c>
      <c r="W178" s="61">
        <f t="shared" si="27"/>
        <v>0</v>
      </c>
      <c r="X178" s="61">
        <f t="shared" si="28"/>
        <v>0</v>
      </c>
      <c r="Y178" s="61">
        <f t="shared" si="29"/>
        <v>0</v>
      </c>
      <c r="Z178" s="73"/>
      <c r="AA178" s="73"/>
      <c r="AB178" s="73"/>
      <c r="AC178" s="73"/>
      <c r="AD178" s="73"/>
      <c r="AE178" s="73"/>
      <c r="AF178" s="73"/>
      <c r="AG178" s="73"/>
      <c r="AH178" s="73"/>
      <c r="AI178" s="73"/>
      <c r="AJ178" s="73"/>
    </row>
    <row r="179" spans="2:36" ht="15" customHeight="1">
      <c r="B179" s="67"/>
      <c r="C179" s="225"/>
      <c r="D179" s="225"/>
      <c r="E179" s="68"/>
      <c r="F179" s="68"/>
      <c r="G179" s="69"/>
      <c r="H179" s="69"/>
      <c r="I179" s="72"/>
      <c r="J179" s="71"/>
      <c r="K179" s="68"/>
      <c r="L179" s="68"/>
      <c r="M179" s="68"/>
      <c r="N179" s="68"/>
      <c r="O179" s="68"/>
      <c r="P179" s="61">
        <f t="shared" si="20"/>
        <v>0</v>
      </c>
      <c r="Q179" s="61">
        <f t="shared" si="21"/>
        <v>0</v>
      </c>
      <c r="R179" s="61">
        <f t="shared" si="22"/>
        <v>0</v>
      </c>
      <c r="S179" s="61">
        <f t="shared" si="23"/>
        <v>0</v>
      </c>
      <c r="T179" s="61">
        <f t="shared" si="24"/>
        <v>0</v>
      </c>
      <c r="U179" s="61">
        <f t="shared" si="25"/>
        <v>0</v>
      </c>
      <c r="V179" s="61">
        <f t="shared" si="26"/>
        <v>0</v>
      </c>
      <c r="W179" s="61">
        <f t="shared" si="27"/>
        <v>0</v>
      </c>
      <c r="X179" s="61">
        <f t="shared" si="28"/>
        <v>0</v>
      </c>
      <c r="Y179" s="61">
        <f t="shared" si="29"/>
        <v>0</v>
      </c>
      <c r="Z179" s="73"/>
      <c r="AA179" s="73"/>
      <c r="AB179" s="73"/>
      <c r="AC179" s="73"/>
      <c r="AD179" s="73"/>
      <c r="AE179" s="73"/>
      <c r="AF179" s="73"/>
      <c r="AG179" s="73"/>
      <c r="AH179" s="73"/>
      <c r="AI179" s="73"/>
      <c r="AJ179" s="73"/>
    </row>
    <row r="180" spans="2:36" ht="15" customHeight="1">
      <c r="B180" s="67"/>
      <c r="C180" s="225"/>
      <c r="D180" s="225"/>
      <c r="E180" s="68"/>
      <c r="F180" s="68"/>
      <c r="G180" s="69"/>
      <c r="H180" s="69"/>
      <c r="I180" s="72"/>
      <c r="J180" s="71"/>
      <c r="K180" s="68"/>
      <c r="L180" s="68"/>
      <c r="M180" s="68"/>
      <c r="N180" s="68"/>
      <c r="O180" s="68"/>
      <c r="P180" s="61">
        <f t="shared" si="20"/>
        <v>0</v>
      </c>
      <c r="Q180" s="61">
        <f t="shared" si="21"/>
        <v>0</v>
      </c>
      <c r="R180" s="61">
        <f t="shared" si="22"/>
        <v>0</v>
      </c>
      <c r="S180" s="61">
        <f t="shared" si="23"/>
        <v>0</v>
      </c>
      <c r="T180" s="61">
        <f t="shared" si="24"/>
        <v>0</v>
      </c>
      <c r="U180" s="61">
        <f t="shared" si="25"/>
        <v>0</v>
      </c>
      <c r="V180" s="61">
        <f t="shared" si="26"/>
        <v>0</v>
      </c>
      <c r="W180" s="61">
        <f t="shared" si="27"/>
        <v>0</v>
      </c>
      <c r="X180" s="61">
        <f t="shared" si="28"/>
        <v>0</v>
      </c>
      <c r="Y180" s="61">
        <f t="shared" si="29"/>
        <v>0</v>
      </c>
      <c r="Z180" s="73"/>
      <c r="AA180" s="73"/>
      <c r="AB180" s="73"/>
      <c r="AC180" s="73"/>
      <c r="AD180" s="73"/>
      <c r="AE180" s="73"/>
      <c r="AF180" s="73"/>
      <c r="AG180" s="73"/>
      <c r="AH180" s="73"/>
      <c r="AI180" s="73"/>
      <c r="AJ180" s="73"/>
    </row>
    <row r="181" spans="2:36" ht="15" customHeight="1">
      <c r="B181" s="67"/>
      <c r="C181" s="225"/>
      <c r="D181" s="225"/>
      <c r="E181" s="68"/>
      <c r="F181" s="68"/>
      <c r="G181" s="69"/>
      <c r="H181" s="69"/>
      <c r="I181" s="72"/>
      <c r="J181" s="71"/>
      <c r="K181" s="68"/>
      <c r="L181" s="68"/>
      <c r="M181" s="68"/>
      <c r="N181" s="68"/>
      <c r="O181" s="68"/>
      <c r="P181" s="61">
        <f t="shared" si="20"/>
        <v>0</v>
      </c>
      <c r="Q181" s="61">
        <f t="shared" si="21"/>
        <v>0</v>
      </c>
      <c r="R181" s="61">
        <f t="shared" si="22"/>
        <v>0</v>
      </c>
      <c r="S181" s="61">
        <f t="shared" si="23"/>
        <v>0</v>
      </c>
      <c r="T181" s="61">
        <f t="shared" si="24"/>
        <v>0</v>
      </c>
      <c r="U181" s="61">
        <f t="shared" si="25"/>
        <v>0</v>
      </c>
      <c r="V181" s="61">
        <f t="shared" si="26"/>
        <v>0</v>
      </c>
      <c r="W181" s="61">
        <f t="shared" si="27"/>
        <v>0</v>
      </c>
      <c r="X181" s="61">
        <f t="shared" si="28"/>
        <v>0</v>
      </c>
      <c r="Y181" s="61">
        <f t="shared" si="29"/>
        <v>0</v>
      </c>
      <c r="Z181" s="73"/>
      <c r="AA181" s="73"/>
      <c r="AB181" s="73"/>
      <c r="AC181" s="73"/>
      <c r="AD181" s="73"/>
      <c r="AE181" s="73"/>
      <c r="AF181" s="73"/>
      <c r="AG181" s="73"/>
      <c r="AH181" s="73"/>
      <c r="AI181" s="73"/>
      <c r="AJ181" s="73"/>
    </row>
    <row r="182" spans="2:36" ht="15" customHeight="1">
      <c r="B182" s="67"/>
      <c r="C182" s="225"/>
      <c r="D182" s="225"/>
      <c r="E182" s="68"/>
      <c r="F182" s="68"/>
      <c r="G182" s="69"/>
      <c r="H182" s="69"/>
      <c r="I182" s="72"/>
      <c r="J182" s="71"/>
      <c r="K182" s="68"/>
      <c r="L182" s="68"/>
      <c r="M182" s="68"/>
      <c r="N182" s="68"/>
      <c r="O182" s="68"/>
      <c r="P182" s="61">
        <f t="shared" si="20"/>
        <v>0</v>
      </c>
      <c r="Q182" s="61">
        <f t="shared" si="21"/>
        <v>0</v>
      </c>
      <c r="R182" s="61">
        <f t="shared" si="22"/>
        <v>0</v>
      </c>
      <c r="S182" s="61">
        <f t="shared" si="23"/>
        <v>0</v>
      </c>
      <c r="T182" s="61">
        <f t="shared" si="24"/>
        <v>0</v>
      </c>
      <c r="U182" s="61">
        <f t="shared" si="25"/>
        <v>0</v>
      </c>
      <c r="V182" s="61">
        <f t="shared" si="26"/>
        <v>0</v>
      </c>
      <c r="W182" s="61">
        <f t="shared" si="27"/>
        <v>0</v>
      </c>
      <c r="X182" s="61">
        <f t="shared" si="28"/>
        <v>0</v>
      </c>
      <c r="Y182" s="61">
        <f t="shared" si="29"/>
        <v>0</v>
      </c>
      <c r="Z182" s="73"/>
      <c r="AA182" s="73"/>
      <c r="AB182" s="73"/>
      <c r="AC182" s="73"/>
      <c r="AD182" s="73"/>
      <c r="AE182" s="73"/>
      <c r="AF182" s="73"/>
      <c r="AG182" s="73"/>
      <c r="AH182" s="73"/>
      <c r="AI182" s="73"/>
      <c r="AJ182" s="73"/>
    </row>
    <row r="183" spans="2:36" ht="15" customHeight="1">
      <c r="B183" s="67"/>
      <c r="C183" s="225"/>
      <c r="D183" s="225"/>
      <c r="E183" s="68"/>
      <c r="F183" s="68"/>
      <c r="G183" s="69"/>
      <c r="H183" s="69"/>
      <c r="I183" s="72"/>
      <c r="J183" s="71"/>
      <c r="K183" s="68"/>
      <c r="L183" s="68"/>
      <c r="M183" s="68"/>
      <c r="N183" s="68"/>
      <c r="O183" s="68"/>
      <c r="P183" s="61">
        <f t="shared" si="20"/>
        <v>0</v>
      </c>
      <c r="Q183" s="61">
        <f t="shared" si="21"/>
        <v>0</v>
      </c>
      <c r="R183" s="61">
        <f t="shared" si="22"/>
        <v>0</v>
      </c>
      <c r="S183" s="61">
        <f t="shared" si="23"/>
        <v>0</v>
      </c>
      <c r="T183" s="61">
        <f t="shared" si="24"/>
        <v>0</v>
      </c>
      <c r="U183" s="61">
        <f t="shared" si="25"/>
        <v>0</v>
      </c>
      <c r="V183" s="61">
        <f t="shared" si="26"/>
        <v>0</v>
      </c>
      <c r="W183" s="61">
        <f t="shared" si="27"/>
        <v>0</v>
      </c>
      <c r="X183" s="61">
        <f t="shared" si="28"/>
        <v>0</v>
      </c>
      <c r="Y183" s="61">
        <f t="shared" si="29"/>
        <v>0</v>
      </c>
      <c r="Z183" s="73"/>
      <c r="AA183" s="73"/>
      <c r="AB183" s="73"/>
      <c r="AC183" s="73"/>
      <c r="AD183" s="73"/>
      <c r="AE183" s="73"/>
      <c r="AF183" s="73"/>
      <c r="AG183" s="73"/>
      <c r="AH183" s="73"/>
      <c r="AI183" s="73"/>
      <c r="AJ183" s="73"/>
    </row>
    <row r="184" spans="2:36" ht="15" customHeight="1">
      <c r="B184" s="67"/>
      <c r="C184" s="225"/>
      <c r="D184" s="225"/>
      <c r="E184" s="68"/>
      <c r="F184" s="68"/>
      <c r="G184" s="69"/>
      <c r="H184" s="69"/>
      <c r="I184" s="72"/>
      <c r="J184" s="71"/>
      <c r="K184" s="68"/>
      <c r="L184" s="68"/>
      <c r="M184" s="68"/>
      <c r="N184" s="68"/>
      <c r="O184" s="68"/>
      <c r="P184" s="61">
        <f t="shared" si="20"/>
        <v>0</v>
      </c>
      <c r="Q184" s="61">
        <f t="shared" si="21"/>
        <v>0</v>
      </c>
      <c r="R184" s="61">
        <f t="shared" si="22"/>
        <v>0</v>
      </c>
      <c r="S184" s="61">
        <f t="shared" si="23"/>
        <v>0</v>
      </c>
      <c r="T184" s="61">
        <f t="shared" si="24"/>
        <v>0</v>
      </c>
      <c r="U184" s="61">
        <f t="shared" si="25"/>
        <v>0</v>
      </c>
      <c r="V184" s="61">
        <f t="shared" si="26"/>
        <v>0</v>
      </c>
      <c r="W184" s="61">
        <f t="shared" si="27"/>
        <v>0</v>
      </c>
      <c r="X184" s="61">
        <f t="shared" si="28"/>
        <v>0</v>
      </c>
      <c r="Y184" s="61">
        <f t="shared" si="29"/>
        <v>0</v>
      </c>
      <c r="Z184" s="73"/>
      <c r="AA184" s="73"/>
      <c r="AB184" s="73"/>
      <c r="AC184" s="73"/>
      <c r="AD184" s="73"/>
      <c r="AE184" s="73"/>
      <c r="AF184" s="73"/>
      <c r="AG184" s="73"/>
      <c r="AH184" s="73"/>
      <c r="AI184" s="73"/>
      <c r="AJ184" s="73"/>
    </row>
    <row r="185" spans="2:36" ht="15" customHeight="1">
      <c r="B185" s="67"/>
      <c r="C185" s="225"/>
      <c r="D185" s="225"/>
      <c r="E185" s="68"/>
      <c r="F185" s="68"/>
      <c r="G185" s="69"/>
      <c r="H185" s="69"/>
      <c r="I185" s="72"/>
      <c r="J185" s="71"/>
      <c r="K185" s="68"/>
      <c r="L185" s="68"/>
      <c r="M185" s="68"/>
      <c r="N185" s="68"/>
      <c r="O185" s="68"/>
      <c r="P185" s="61">
        <f t="shared" si="20"/>
        <v>0</v>
      </c>
      <c r="Q185" s="61">
        <f t="shared" si="21"/>
        <v>0</v>
      </c>
      <c r="R185" s="61">
        <f t="shared" si="22"/>
        <v>0</v>
      </c>
      <c r="S185" s="61">
        <f t="shared" si="23"/>
        <v>0</v>
      </c>
      <c r="T185" s="61">
        <f t="shared" si="24"/>
        <v>0</v>
      </c>
      <c r="U185" s="61">
        <f t="shared" si="25"/>
        <v>0</v>
      </c>
      <c r="V185" s="61">
        <f t="shared" si="26"/>
        <v>0</v>
      </c>
      <c r="W185" s="61">
        <f t="shared" si="27"/>
        <v>0</v>
      </c>
      <c r="X185" s="61">
        <f t="shared" si="28"/>
        <v>0</v>
      </c>
      <c r="Y185" s="61">
        <f t="shared" si="29"/>
        <v>0</v>
      </c>
      <c r="Z185" s="73"/>
      <c r="AA185" s="73"/>
      <c r="AB185" s="73"/>
      <c r="AC185" s="73"/>
      <c r="AD185" s="73"/>
      <c r="AE185" s="73"/>
      <c r="AF185" s="73"/>
      <c r="AG185" s="73"/>
      <c r="AH185" s="73"/>
      <c r="AI185" s="73"/>
      <c r="AJ185" s="73"/>
    </row>
    <row r="186" spans="2:36" ht="15" customHeight="1">
      <c r="B186" s="67"/>
      <c r="C186" s="225"/>
      <c r="D186" s="225"/>
      <c r="E186" s="68"/>
      <c r="F186" s="68"/>
      <c r="G186" s="69"/>
      <c r="H186" s="69"/>
      <c r="I186" s="72"/>
      <c r="J186" s="71"/>
      <c r="K186" s="68"/>
      <c r="L186" s="68"/>
      <c r="M186" s="68"/>
      <c r="N186" s="68"/>
      <c r="O186" s="68"/>
      <c r="P186" s="61">
        <f t="shared" si="20"/>
        <v>0</v>
      </c>
      <c r="Q186" s="61">
        <f t="shared" si="21"/>
        <v>0</v>
      </c>
      <c r="R186" s="61">
        <f t="shared" si="22"/>
        <v>0</v>
      </c>
      <c r="S186" s="61">
        <f t="shared" si="23"/>
        <v>0</v>
      </c>
      <c r="T186" s="61">
        <f t="shared" si="24"/>
        <v>0</v>
      </c>
      <c r="U186" s="61">
        <f t="shared" si="25"/>
        <v>0</v>
      </c>
      <c r="V186" s="61">
        <f t="shared" si="26"/>
        <v>0</v>
      </c>
      <c r="W186" s="61">
        <f t="shared" si="27"/>
        <v>0</v>
      </c>
      <c r="X186" s="61">
        <f t="shared" si="28"/>
        <v>0</v>
      </c>
      <c r="Y186" s="61">
        <f t="shared" si="29"/>
        <v>0</v>
      </c>
      <c r="Z186" s="73"/>
      <c r="AA186" s="73"/>
      <c r="AB186" s="73"/>
      <c r="AC186" s="73"/>
      <c r="AD186" s="73"/>
      <c r="AE186" s="73"/>
      <c r="AF186" s="73"/>
      <c r="AG186" s="73"/>
      <c r="AH186" s="73"/>
      <c r="AI186" s="73"/>
      <c r="AJ186" s="73"/>
    </row>
    <row r="187" spans="2:36" ht="15" customHeight="1">
      <c r="B187" s="67"/>
      <c r="C187" s="225"/>
      <c r="D187" s="225"/>
      <c r="E187" s="68"/>
      <c r="F187" s="68"/>
      <c r="G187" s="69"/>
      <c r="H187" s="69"/>
      <c r="I187" s="72"/>
      <c r="J187" s="71"/>
      <c r="K187" s="68"/>
      <c r="L187" s="68"/>
      <c r="M187" s="68"/>
      <c r="N187" s="68"/>
      <c r="O187" s="68"/>
      <c r="P187" s="61">
        <f t="shared" si="20"/>
        <v>0</v>
      </c>
      <c r="Q187" s="61">
        <f t="shared" si="21"/>
        <v>0</v>
      </c>
      <c r="R187" s="61">
        <f t="shared" si="22"/>
        <v>0</v>
      </c>
      <c r="S187" s="61">
        <f t="shared" si="23"/>
        <v>0</v>
      </c>
      <c r="T187" s="61">
        <f t="shared" si="24"/>
        <v>0</v>
      </c>
      <c r="U187" s="61">
        <f t="shared" si="25"/>
        <v>0</v>
      </c>
      <c r="V187" s="61">
        <f t="shared" si="26"/>
        <v>0</v>
      </c>
      <c r="W187" s="61">
        <f t="shared" si="27"/>
        <v>0</v>
      </c>
      <c r="X187" s="61">
        <f t="shared" si="28"/>
        <v>0</v>
      </c>
      <c r="Y187" s="61">
        <f t="shared" si="29"/>
        <v>0</v>
      </c>
      <c r="Z187" s="73"/>
      <c r="AA187" s="73"/>
      <c r="AB187" s="73"/>
      <c r="AC187" s="73"/>
      <c r="AD187" s="73"/>
      <c r="AE187" s="73"/>
      <c r="AF187" s="73"/>
      <c r="AG187" s="73"/>
      <c r="AH187" s="73"/>
      <c r="AI187" s="73"/>
      <c r="AJ187" s="73"/>
    </row>
    <row r="188" spans="2:36" ht="15" customHeight="1">
      <c r="B188" s="67"/>
      <c r="C188" s="225"/>
      <c r="D188" s="225"/>
      <c r="E188" s="68"/>
      <c r="F188" s="68"/>
      <c r="G188" s="69"/>
      <c r="H188" s="69"/>
      <c r="I188" s="72"/>
      <c r="J188" s="71"/>
      <c r="K188" s="68"/>
      <c r="L188" s="68"/>
      <c r="M188" s="68"/>
      <c r="N188" s="68"/>
      <c r="O188" s="68"/>
      <c r="P188" s="61">
        <f t="shared" si="20"/>
        <v>0</v>
      </c>
      <c r="Q188" s="61">
        <f t="shared" si="21"/>
        <v>0</v>
      </c>
      <c r="R188" s="61">
        <f t="shared" si="22"/>
        <v>0</v>
      </c>
      <c r="S188" s="61">
        <f t="shared" si="23"/>
        <v>0</v>
      </c>
      <c r="T188" s="61">
        <f t="shared" si="24"/>
        <v>0</v>
      </c>
      <c r="U188" s="61">
        <f t="shared" si="25"/>
        <v>0</v>
      </c>
      <c r="V188" s="61">
        <f t="shared" si="26"/>
        <v>0</v>
      </c>
      <c r="W188" s="61">
        <f t="shared" si="27"/>
        <v>0</v>
      </c>
      <c r="X188" s="61">
        <f t="shared" si="28"/>
        <v>0</v>
      </c>
      <c r="Y188" s="61">
        <f t="shared" si="29"/>
        <v>0</v>
      </c>
      <c r="Z188" s="73"/>
      <c r="AA188" s="73"/>
      <c r="AB188" s="73"/>
      <c r="AC188" s="73"/>
      <c r="AD188" s="73"/>
      <c r="AE188" s="73"/>
      <c r="AF188" s="73"/>
      <c r="AG188" s="73"/>
      <c r="AH188" s="73"/>
      <c r="AI188" s="73"/>
      <c r="AJ188" s="73"/>
    </row>
    <row r="189" spans="2:36" ht="15" customHeight="1">
      <c r="B189" s="67"/>
      <c r="C189" s="225"/>
      <c r="D189" s="225"/>
      <c r="E189" s="68"/>
      <c r="F189" s="68"/>
      <c r="G189" s="69"/>
      <c r="H189" s="69"/>
      <c r="I189" s="72"/>
      <c r="J189" s="71"/>
      <c r="K189" s="68"/>
      <c r="L189" s="68"/>
      <c r="M189" s="68"/>
      <c r="N189" s="68"/>
      <c r="O189" s="68"/>
      <c r="P189" s="61">
        <f t="shared" si="20"/>
        <v>0</v>
      </c>
      <c r="Q189" s="61">
        <f t="shared" si="21"/>
        <v>0</v>
      </c>
      <c r="R189" s="61">
        <f t="shared" si="22"/>
        <v>0</v>
      </c>
      <c r="S189" s="61">
        <f t="shared" si="23"/>
        <v>0</v>
      </c>
      <c r="T189" s="61">
        <f t="shared" si="24"/>
        <v>0</v>
      </c>
      <c r="U189" s="61">
        <f t="shared" si="25"/>
        <v>0</v>
      </c>
      <c r="V189" s="61">
        <f t="shared" si="26"/>
        <v>0</v>
      </c>
      <c r="W189" s="61">
        <f t="shared" si="27"/>
        <v>0</v>
      </c>
      <c r="X189" s="61">
        <f t="shared" si="28"/>
        <v>0</v>
      </c>
      <c r="Y189" s="61">
        <f t="shared" si="29"/>
        <v>0</v>
      </c>
      <c r="Z189" s="73"/>
      <c r="AA189" s="73"/>
      <c r="AB189" s="73"/>
      <c r="AC189" s="73"/>
      <c r="AD189" s="73"/>
      <c r="AE189" s="73"/>
      <c r="AF189" s="73"/>
      <c r="AG189" s="73"/>
      <c r="AH189" s="73"/>
      <c r="AI189" s="73"/>
      <c r="AJ189" s="73"/>
    </row>
    <row r="190" spans="2:36" ht="15" customHeight="1">
      <c r="B190" s="67"/>
      <c r="C190" s="225"/>
      <c r="D190" s="225"/>
      <c r="E190" s="68"/>
      <c r="F190" s="68"/>
      <c r="G190" s="69"/>
      <c r="H190" s="69"/>
      <c r="I190" s="72"/>
      <c r="J190" s="71"/>
      <c r="K190" s="68"/>
      <c r="L190" s="68"/>
      <c r="M190" s="68"/>
      <c r="N190" s="68"/>
      <c r="O190" s="68"/>
      <c r="P190" s="61">
        <f t="shared" si="20"/>
        <v>0</v>
      </c>
      <c r="Q190" s="61">
        <f t="shared" si="21"/>
        <v>0</v>
      </c>
      <c r="R190" s="61">
        <f t="shared" si="22"/>
        <v>0</v>
      </c>
      <c r="S190" s="61">
        <f t="shared" si="23"/>
        <v>0</v>
      </c>
      <c r="T190" s="61">
        <f t="shared" si="24"/>
        <v>0</v>
      </c>
      <c r="U190" s="61">
        <f t="shared" si="25"/>
        <v>0</v>
      </c>
      <c r="V190" s="61">
        <f t="shared" si="26"/>
        <v>0</v>
      </c>
      <c r="W190" s="61">
        <f t="shared" si="27"/>
        <v>0</v>
      </c>
      <c r="X190" s="61">
        <f t="shared" si="28"/>
        <v>0</v>
      </c>
      <c r="Y190" s="61">
        <f t="shared" si="29"/>
        <v>0</v>
      </c>
      <c r="Z190" s="73"/>
      <c r="AA190" s="73"/>
      <c r="AB190" s="73"/>
      <c r="AC190" s="73"/>
      <c r="AD190" s="73"/>
      <c r="AE190" s="73"/>
      <c r="AF190" s="73"/>
      <c r="AG190" s="73"/>
      <c r="AH190" s="73"/>
      <c r="AI190" s="73"/>
      <c r="AJ190" s="73"/>
    </row>
    <row r="191" spans="2:36" ht="15" customHeight="1">
      <c r="B191" s="67"/>
      <c r="C191" s="225"/>
      <c r="D191" s="225"/>
      <c r="E191" s="68"/>
      <c r="F191" s="68"/>
      <c r="G191" s="69"/>
      <c r="H191" s="69"/>
      <c r="I191" s="72"/>
      <c r="J191" s="71"/>
      <c r="K191" s="68"/>
      <c r="L191" s="68"/>
      <c r="M191" s="68"/>
      <c r="N191" s="68"/>
      <c r="O191" s="68"/>
      <c r="P191" s="61">
        <f t="shared" si="20"/>
        <v>0</v>
      </c>
      <c r="Q191" s="61">
        <f t="shared" si="21"/>
        <v>0</v>
      </c>
      <c r="R191" s="61">
        <f t="shared" si="22"/>
        <v>0</v>
      </c>
      <c r="S191" s="61">
        <f t="shared" si="23"/>
        <v>0</v>
      </c>
      <c r="T191" s="61">
        <f t="shared" si="24"/>
        <v>0</v>
      </c>
      <c r="U191" s="61">
        <f t="shared" si="25"/>
        <v>0</v>
      </c>
      <c r="V191" s="61">
        <f t="shared" si="26"/>
        <v>0</v>
      </c>
      <c r="W191" s="61">
        <f t="shared" si="27"/>
        <v>0</v>
      </c>
      <c r="X191" s="61">
        <f t="shared" si="28"/>
        <v>0</v>
      </c>
      <c r="Y191" s="61">
        <f t="shared" si="29"/>
        <v>0</v>
      </c>
      <c r="Z191" s="73"/>
      <c r="AA191" s="73"/>
      <c r="AB191" s="73"/>
      <c r="AC191" s="73"/>
      <c r="AD191" s="73"/>
      <c r="AE191" s="73"/>
      <c r="AF191" s="73"/>
      <c r="AG191" s="73"/>
      <c r="AH191" s="73"/>
      <c r="AI191" s="73"/>
      <c r="AJ191" s="73"/>
    </row>
    <row r="192" spans="2:36" ht="15" customHeight="1">
      <c r="B192" s="67"/>
      <c r="C192" s="225"/>
      <c r="D192" s="225"/>
      <c r="E192" s="68"/>
      <c r="F192" s="68"/>
      <c r="G192" s="69"/>
      <c r="H192" s="69"/>
      <c r="I192" s="72"/>
      <c r="J192" s="71"/>
      <c r="K192" s="68"/>
      <c r="L192" s="68"/>
      <c r="M192" s="68"/>
      <c r="N192" s="68"/>
      <c r="O192" s="68"/>
      <c r="P192" s="61">
        <f t="shared" si="20"/>
        <v>0</v>
      </c>
      <c r="Q192" s="61">
        <f t="shared" si="21"/>
        <v>0</v>
      </c>
      <c r="R192" s="61">
        <f t="shared" si="22"/>
        <v>0</v>
      </c>
      <c r="S192" s="61">
        <f t="shared" si="23"/>
        <v>0</v>
      </c>
      <c r="T192" s="61">
        <f t="shared" si="24"/>
        <v>0</v>
      </c>
      <c r="U192" s="61">
        <f t="shared" si="25"/>
        <v>0</v>
      </c>
      <c r="V192" s="61">
        <f t="shared" si="26"/>
        <v>0</v>
      </c>
      <c r="W192" s="61">
        <f t="shared" si="27"/>
        <v>0</v>
      </c>
      <c r="X192" s="61">
        <f t="shared" si="28"/>
        <v>0</v>
      </c>
      <c r="Y192" s="61">
        <f t="shared" si="29"/>
        <v>0</v>
      </c>
      <c r="Z192" s="73"/>
      <c r="AA192" s="73"/>
      <c r="AB192" s="73"/>
      <c r="AC192" s="73"/>
      <c r="AD192" s="73"/>
      <c r="AE192" s="73"/>
      <c r="AF192" s="73"/>
      <c r="AG192" s="73"/>
      <c r="AH192" s="73"/>
      <c r="AI192" s="73"/>
      <c r="AJ192" s="73"/>
    </row>
    <row r="193" spans="2:36" ht="15" customHeight="1">
      <c r="B193" s="67"/>
      <c r="C193" s="225"/>
      <c r="D193" s="225"/>
      <c r="E193" s="68"/>
      <c r="F193" s="68"/>
      <c r="G193" s="69"/>
      <c r="H193" s="69"/>
      <c r="I193" s="72"/>
      <c r="J193" s="71"/>
      <c r="K193" s="68"/>
      <c r="L193" s="68"/>
      <c r="M193" s="68"/>
      <c r="N193" s="68"/>
      <c r="O193" s="68"/>
      <c r="P193" s="61">
        <f t="shared" si="20"/>
        <v>0</v>
      </c>
      <c r="Q193" s="61">
        <f t="shared" si="21"/>
        <v>0</v>
      </c>
      <c r="R193" s="61">
        <f t="shared" si="22"/>
        <v>0</v>
      </c>
      <c r="S193" s="61">
        <f t="shared" si="23"/>
        <v>0</v>
      </c>
      <c r="T193" s="61">
        <f t="shared" si="24"/>
        <v>0</v>
      </c>
      <c r="U193" s="61">
        <f t="shared" si="25"/>
        <v>0</v>
      </c>
      <c r="V193" s="61">
        <f t="shared" si="26"/>
        <v>0</v>
      </c>
      <c r="W193" s="61">
        <f t="shared" si="27"/>
        <v>0</v>
      </c>
      <c r="X193" s="61">
        <f t="shared" si="28"/>
        <v>0</v>
      </c>
      <c r="Y193" s="61">
        <f t="shared" si="29"/>
        <v>0</v>
      </c>
      <c r="Z193" s="73"/>
      <c r="AA193" s="73"/>
      <c r="AB193" s="73"/>
      <c r="AC193" s="73"/>
      <c r="AD193" s="73"/>
      <c r="AE193" s="73"/>
      <c r="AF193" s="73"/>
      <c r="AG193" s="73"/>
      <c r="AH193" s="73"/>
      <c r="AI193" s="73"/>
      <c r="AJ193" s="73"/>
    </row>
    <row r="194" spans="2:36" ht="15" customHeight="1">
      <c r="B194" s="67"/>
      <c r="C194" s="225"/>
      <c r="D194" s="225"/>
      <c r="E194" s="68"/>
      <c r="F194" s="68"/>
      <c r="G194" s="69"/>
      <c r="H194" s="69"/>
      <c r="I194" s="72"/>
      <c r="J194" s="71"/>
      <c r="K194" s="68"/>
      <c r="L194" s="68"/>
      <c r="M194" s="68"/>
      <c r="N194" s="68"/>
      <c r="O194" s="68"/>
      <c r="P194" s="61">
        <f t="shared" si="20"/>
        <v>0</v>
      </c>
      <c r="Q194" s="61">
        <f t="shared" si="21"/>
        <v>0</v>
      </c>
      <c r="R194" s="61">
        <f t="shared" si="22"/>
        <v>0</v>
      </c>
      <c r="S194" s="61">
        <f t="shared" si="23"/>
        <v>0</v>
      </c>
      <c r="T194" s="61">
        <f t="shared" si="24"/>
        <v>0</v>
      </c>
      <c r="U194" s="61">
        <f t="shared" si="25"/>
        <v>0</v>
      </c>
      <c r="V194" s="61">
        <f t="shared" si="26"/>
        <v>0</v>
      </c>
      <c r="W194" s="61">
        <f t="shared" si="27"/>
        <v>0</v>
      </c>
      <c r="X194" s="61">
        <f t="shared" si="28"/>
        <v>0</v>
      </c>
      <c r="Y194" s="61">
        <f t="shared" si="29"/>
        <v>0</v>
      </c>
      <c r="Z194" s="73"/>
      <c r="AA194" s="73"/>
      <c r="AB194" s="73"/>
      <c r="AC194" s="73"/>
      <c r="AD194" s="73"/>
      <c r="AE194" s="73"/>
      <c r="AF194" s="73"/>
      <c r="AG194" s="73"/>
      <c r="AH194" s="73"/>
      <c r="AI194" s="73"/>
      <c r="AJ194" s="73"/>
    </row>
    <row r="195" spans="2:36" ht="15" customHeight="1">
      <c r="B195" s="67"/>
      <c r="C195" s="225"/>
      <c r="D195" s="225"/>
      <c r="E195" s="68"/>
      <c r="F195" s="68"/>
      <c r="G195" s="69"/>
      <c r="H195" s="69"/>
      <c r="I195" s="72"/>
      <c r="J195" s="71"/>
      <c r="K195" s="68"/>
      <c r="L195" s="68"/>
      <c r="M195" s="68"/>
      <c r="N195" s="68"/>
      <c r="O195" s="68"/>
      <c r="P195" s="61">
        <f t="shared" si="20"/>
        <v>0</v>
      </c>
      <c r="Q195" s="61">
        <f t="shared" si="21"/>
        <v>0</v>
      </c>
      <c r="R195" s="61">
        <f t="shared" si="22"/>
        <v>0</v>
      </c>
      <c r="S195" s="61">
        <f t="shared" si="23"/>
        <v>0</v>
      </c>
      <c r="T195" s="61">
        <f t="shared" si="24"/>
        <v>0</v>
      </c>
      <c r="U195" s="61">
        <f t="shared" si="25"/>
        <v>0</v>
      </c>
      <c r="V195" s="61">
        <f t="shared" si="26"/>
        <v>0</v>
      </c>
      <c r="W195" s="61">
        <f t="shared" si="27"/>
        <v>0</v>
      </c>
      <c r="X195" s="61">
        <f t="shared" si="28"/>
        <v>0</v>
      </c>
      <c r="Y195" s="61">
        <f t="shared" si="29"/>
        <v>0</v>
      </c>
      <c r="Z195" s="73"/>
      <c r="AA195" s="73"/>
      <c r="AB195" s="73"/>
      <c r="AC195" s="73"/>
      <c r="AD195" s="73"/>
      <c r="AE195" s="73"/>
      <c r="AF195" s="73"/>
      <c r="AG195" s="73"/>
      <c r="AH195" s="73"/>
      <c r="AI195" s="73"/>
      <c r="AJ195" s="73"/>
    </row>
    <row r="196" spans="2:36" ht="15" customHeight="1">
      <c r="B196" s="67"/>
      <c r="C196" s="225"/>
      <c r="D196" s="225"/>
      <c r="E196" s="68"/>
      <c r="F196" s="68"/>
      <c r="G196" s="69"/>
      <c r="H196" s="69"/>
      <c r="I196" s="72"/>
      <c r="J196" s="71"/>
      <c r="K196" s="68"/>
      <c r="L196" s="68"/>
      <c r="M196" s="68"/>
      <c r="N196" s="68"/>
      <c r="O196" s="68"/>
      <c r="P196" s="61">
        <f t="shared" si="20"/>
        <v>0</v>
      </c>
      <c r="Q196" s="61">
        <f t="shared" si="21"/>
        <v>0</v>
      </c>
      <c r="R196" s="61">
        <f t="shared" si="22"/>
        <v>0</v>
      </c>
      <c r="S196" s="61">
        <f t="shared" si="23"/>
        <v>0</v>
      </c>
      <c r="T196" s="61">
        <f t="shared" si="24"/>
        <v>0</v>
      </c>
      <c r="U196" s="61">
        <f t="shared" si="25"/>
        <v>0</v>
      </c>
      <c r="V196" s="61">
        <f t="shared" si="26"/>
        <v>0</v>
      </c>
      <c r="W196" s="61">
        <f t="shared" si="27"/>
        <v>0</v>
      </c>
      <c r="X196" s="61">
        <f t="shared" si="28"/>
        <v>0</v>
      </c>
      <c r="Y196" s="61">
        <f t="shared" si="29"/>
        <v>0</v>
      </c>
      <c r="Z196" s="73"/>
      <c r="AA196" s="73"/>
      <c r="AB196" s="73"/>
      <c r="AC196" s="73"/>
      <c r="AD196" s="73"/>
      <c r="AE196" s="73"/>
      <c r="AF196" s="73"/>
      <c r="AG196" s="73"/>
      <c r="AH196" s="73"/>
      <c r="AI196" s="73"/>
      <c r="AJ196" s="73"/>
    </row>
    <row r="197" spans="2:36" ht="15" customHeight="1">
      <c r="B197" s="67"/>
      <c r="C197" s="225"/>
      <c r="D197" s="225"/>
      <c r="E197" s="68"/>
      <c r="F197" s="68"/>
      <c r="G197" s="69"/>
      <c r="H197" s="69"/>
      <c r="I197" s="72"/>
      <c r="J197" s="71"/>
      <c r="K197" s="68"/>
      <c r="L197" s="68"/>
      <c r="M197" s="68"/>
      <c r="N197" s="68"/>
      <c r="O197" s="68"/>
      <c r="P197" s="61">
        <f t="shared" si="20"/>
        <v>0</v>
      </c>
      <c r="Q197" s="61">
        <f t="shared" si="21"/>
        <v>0</v>
      </c>
      <c r="R197" s="61">
        <f t="shared" si="22"/>
        <v>0</v>
      </c>
      <c r="S197" s="61">
        <f t="shared" si="23"/>
        <v>0</v>
      </c>
      <c r="T197" s="61">
        <f t="shared" si="24"/>
        <v>0</v>
      </c>
      <c r="U197" s="61">
        <f t="shared" si="25"/>
        <v>0</v>
      </c>
      <c r="V197" s="61">
        <f t="shared" si="26"/>
        <v>0</v>
      </c>
      <c r="W197" s="61">
        <f t="shared" si="27"/>
        <v>0</v>
      </c>
      <c r="X197" s="61">
        <f t="shared" si="28"/>
        <v>0</v>
      </c>
      <c r="Y197" s="61">
        <f t="shared" si="29"/>
        <v>0</v>
      </c>
      <c r="Z197" s="73"/>
      <c r="AA197" s="73"/>
      <c r="AB197" s="73"/>
      <c r="AC197" s="73"/>
      <c r="AD197" s="73"/>
      <c r="AE197" s="73"/>
      <c r="AF197" s="73"/>
      <c r="AG197" s="73"/>
      <c r="AH197" s="73"/>
      <c r="AI197" s="73"/>
      <c r="AJ197" s="73"/>
    </row>
    <row r="198" spans="2:36" ht="15" customHeight="1">
      <c r="B198" s="67"/>
      <c r="C198" s="225"/>
      <c r="D198" s="225"/>
      <c r="E198" s="68"/>
      <c r="F198" s="68"/>
      <c r="G198" s="69"/>
      <c r="H198" s="69"/>
      <c r="I198" s="72"/>
      <c r="J198" s="71"/>
      <c r="K198" s="68"/>
      <c r="L198" s="68"/>
      <c r="M198" s="68"/>
      <c r="N198" s="68"/>
      <c r="O198" s="68"/>
      <c r="P198" s="61">
        <f t="shared" si="20"/>
        <v>0</v>
      </c>
      <c r="Q198" s="61">
        <f t="shared" si="21"/>
        <v>0</v>
      </c>
      <c r="R198" s="61">
        <f t="shared" si="22"/>
        <v>0</v>
      </c>
      <c r="S198" s="61">
        <f t="shared" si="23"/>
        <v>0</v>
      </c>
      <c r="T198" s="61">
        <f t="shared" si="24"/>
        <v>0</v>
      </c>
      <c r="U198" s="61">
        <f t="shared" si="25"/>
        <v>0</v>
      </c>
      <c r="V198" s="61">
        <f t="shared" si="26"/>
        <v>0</v>
      </c>
      <c r="W198" s="61">
        <f t="shared" si="27"/>
        <v>0</v>
      </c>
      <c r="X198" s="61">
        <f t="shared" si="28"/>
        <v>0</v>
      </c>
      <c r="Y198" s="61">
        <f t="shared" si="29"/>
        <v>0</v>
      </c>
      <c r="Z198" s="73"/>
      <c r="AA198" s="73"/>
      <c r="AB198" s="73"/>
      <c r="AC198" s="73"/>
      <c r="AD198" s="73"/>
      <c r="AE198" s="73"/>
      <c r="AF198" s="73"/>
      <c r="AG198" s="73"/>
      <c r="AH198" s="73"/>
      <c r="AI198" s="73"/>
      <c r="AJ198" s="73"/>
    </row>
    <row r="199" spans="2:36" ht="15" customHeight="1">
      <c r="B199" s="67"/>
      <c r="C199" s="225"/>
      <c r="D199" s="225"/>
      <c r="E199" s="68"/>
      <c r="F199" s="68"/>
      <c r="G199" s="69"/>
      <c r="H199" s="69"/>
      <c r="I199" s="72"/>
      <c r="J199" s="71"/>
      <c r="K199" s="68"/>
      <c r="L199" s="68"/>
      <c r="M199" s="68"/>
      <c r="N199" s="68"/>
      <c r="O199" s="68"/>
      <c r="P199" s="61">
        <f t="shared" si="20"/>
        <v>0</v>
      </c>
      <c r="Q199" s="61">
        <f t="shared" si="21"/>
        <v>0</v>
      </c>
      <c r="R199" s="61">
        <f t="shared" si="22"/>
        <v>0</v>
      </c>
      <c r="S199" s="61">
        <f t="shared" si="23"/>
        <v>0</v>
      </c>
      <c r="T199" s="61">
        <f t="shared" si="24"/>
        <v>0</v>
      </c>
      <c r="U199" s="61">
        <f t="shared" si="25"/>
        <v>0</v>
      </c>
      <c r="V199" s="61">
        <f t="shared" si="26"/>
        <v>0</v>
      </c>
      <c r="W199" s="61">
        <f t="shared" si="27"/>
        <v>0</v>
      </c>
      <c r="X199" s="61">
        <f t="shared" si="28"/>
        <v>0</v>
      </c>
      <c r="Y199" s="61">
        <f t="shared" si="29"/>
        <v>0</v>
      </c>
      <c r="Z199" s="73"/>
      <c r="AA199" s="73"/>
      <c r="AB199" s="73"/>
      <c r="AC199" s="73"/>
      <c r="AD199" s="73"/>
      <c r="AE199" s="73"/>
      <c r="AF199" s="73"/>
      <c r="AG199" s="73"/>
      <c r="AH199" s="73"/>
      <c r="AI199" s="73"/>
      <c r="AJ199" s="73"/>
    </row>
    <row r="200" spans="2:36" ht="15" customHeight="1">
      <c r="B200" s="67"/>
      <c r="C200" s="225"/>
      <c r="D200" s="225"/>
      <c r="E200" s="68"/>
      <c r="F200" s="68"/>
      <c r="G200" s="69"/>
      <c r="H200" s="69"/>
      <c r="I200" s="72"/>
      <c r="J200" s="71"/>
      <c r="K200" s="68"/>
      <c r="L200" s="68"/>
      <c r="M200" s="68"/>
      <c r="N200" s="68"/>
      <c r="O200" s="68"/>
      <c r="P200" s="61">
        <f t="shared" si="20"/>
        <v>0</v>
      </c>
      <c r="Q200" s="61">
        <f t="shared" si="21"/>
        <v>0</v>
      </c>
      <c r="R200" s="61">
        <f t="shared" si="22"/>
        <v>0</v>
      </c>
      <c r="S200" s="61">
        <f t="shared" si="23"/>
        <v>0</v>
      </c>
      <c r="T200" s="61">
        <f t="shared" si="24"/>
        <v>0</v>
      </c>
      <c r="U200" s="61">
        <f t="shared" si="25"/>
        <v>0</v>
      </c>
      <c r="V200" s="61">
        <f t="shared" si="26"/>
        <v>0</v>
      </c>
      <c r="W200" s="61">
        <f t="shared" si="27"/>
        <v>0</v>
      </c>
      <c r="X200" s="61">
        <f t="shared" si="28"/>
        <v>0</v>
      </c>
      <c r="Y200" s="61">
        <f t="shared" si="29"/>
        <v>0</v>
      </c>
      <c r="Z200" s="73"/>
      <c r="AA200" s="73"/>
      <c r="AB200" s="73"/>
      <c r="AC200" s="73"/>
      <c r="AD200" s="73"/>
      <c r="AE200" s="73"/>
      <c r="AF200" s="73"/>
      <c r="AG200" s="73"/>
      <c r="AH200" s="73"/>
      <c r="AI200" s="73"/>
      <c r="AJ200" s="73"/>
    </row>
    <row r="201" spans="2:36" ht="15" customHeight="1">
      <c r="B201" s="67"/>
      <c r="C201" s="225"/>
      <c r="D201" s="225"/>
      <c r="E201" s="68"/>
      <c r="F201" s="68"/>
      <c r="G201" s="69"/>
      <c r="H201" s="69"/>
      <c r="I201" s="72"/>
      <c r="J201" s="71"/>
      <c r="K201" s="68"/>
      <c r="L201" s="68"/>
      <c r="M201" s="68"/>
      <c r="N201" s="68"/>
      <c r="O201" s="68"/>
      <c r="P201" s="61">
        <f t="shared" si="20"/>
        <v>0</v>
      </c>
      <c r="Q201" s="61">
        <f t="shared" si="21"/>
        <v>0</v>
      </c>
      <c r="R201" s="61">
        <f t="shared" si="22"/>
        <v>0</v>
      </c>
      <c r="S201" s="61">
        <f t="shared" si="23"/>
        <v>0</v>
      </c>
      <c r="T201" s="61">
        <f t="shared" si="24"/>
        <v>0</v>
      </c>
      <c r="U201" s="61">
        <f t="shared" si="25"/>
        <v>0</v>
      </c>
      <c r="V201" s="61">
        <f t="shared" si="26"/>
        <v>0</v>
      </c>
      <c r="W201" s="61">
        <f t="shared" si="27"/>
        <v>0</v>
      </c>
      <c r="X201" s="61">
        <f t="shared" si="28"/>
        <v>0</v>
      </c>
      <c r="Y201" s="61">
        <f t="shared" si="29"/>
        <v>0</v>
      </c>
      <c r="Z201" s="73"/>
      <c r="AA201" s="73"/>
      <c r="AB201" s="73"/>
      <c r="AC201" s="73"/>
      <c r="AD201" s="73"/>
      <c r="AE201" s="73"/>
      <c r="AF201" s="73"/>
      <c r="AG201" s="73"/>
      <c r="AH201" s="73"/>
      <c r="AI201" s="73"/>
      <c r="AJ201" s="73"/>
    </row>
    <row r="202" spans="2:36" ht="15" customHeight="1">
      <c r="B202" s="67"/>
      <c r="C202" s="225"/>
      <c r="D202" s="225"/>
      <c r="E202" s="68"/>
      <c r="F202" s="68"/>
      <c r="G202" s="69"/>
      <c r="H202" s="69"/>
      <c r="I202" s="72"/>
      <c r="J202" s="71"/>
      <c r="K202" s="68"/>
      <c r="L202" s="68"/>
      <c r="M202" s="68"/>
      <c r="N202" s="68"/>
      <c r="O202" s="68"/>
      <c r="P202" s="61">
        <f t="shared" si="20"/>
        <v>0</v>
      </c>
      <c r="Q202" s="61">
        <f t="shared" si="21"/>
        <v>0</v>
      </c>
      <c r="R202" s="61">
        <f t="shared" si="22"/>
        <v>0</v>
      </c>
      <c r="S202" s="61">
        <f t="shared" si="23"/>
        <v>0</v>
      </c>
      <c r="T202" s="61">
        <f t="shared" si="24"/>
        <v>0</v>
      </c>
      <c r="U202" s="61">
        <f t="shared" si="25"/>
        <v>0</v>
      </c>
      <c r="V202" s="61">
        <f t="shared" si="26"/>
        <v>0</v>
      </c>
      <c r="W202" s="61">
        <f t="shared" si="27"/>
        <v>0</v>
      </c>
      <c r="X202" s="61">
        <f t="shared" si="28"/>
        <v>0</v>
      </c>
      <c r="Y202" s="61">
        <f t="shared" si="29"/>
        <v>0</v>
      </c>
      <c r="Z202" s="73"/>
      <c r="AA202" s="73"/>
      <c r="AB202" s="73"/>
      <c r="AC202" s="73"/>
      <c r="AD202" s="73"/>
      <c r="AE202" s="73"/>
      <c r="AF202" s="73"/>
      <c r="AG202" s="73"/>
      <c r="AH202" s="73"/>
      <c r="AI202" s="73"/>
      <c r="AJ202" s="73"/>
    </row>
    <row r="203" spans="2:36" ht="15" customHeight="1">
      <c r="B203" s="67"/>
      <c r="C203" s="225"/>
      <c r="D203" s="225"/>
      <c r="E203" s="68"/>
      <c r="F203" s="68"/>
      <c r="G203" s="69"/>
      <c r="H203" s="69"/>
      <c r="I203" s="72"/>
      <c r="J203" s="71"/>
      <c r="K203" s="68"/>
      <c r="L203" s="68"/>
      <c r="M203" s="68"/>
      <c r="N203" s="68"/>
      <c r="O203" s="68"/>
      <c r="P203" s="61">
        <f t="shared" si="20"/>
        <v>0</v>
      </c>
      <c r="Q203" s="61">
        <f t="shared" si="21"/>
        <v>0</v>
      </c>
      <c r="R203" s="61">
        <f t="shared" si="22"/>
        <v>0</v>
      </c>
      <c r="S203" s="61">
        <f t="shared" si="23"/>
        <v>0</v>
      </c>
      <c r="T203" s="61">
        <f t="shared" si="24"/>
        <v>0</v>
      </c>
      <c r="U203" s="61">
        <f t="shared" si="25"/>
        <v>0</v>
      </c>
      <c r="V203" s="61">
        <f t="shared" si="26"/>
        <v>0</v>
      </c>
      <c r="W203" s="61">
        <f t="shared" si="27"/>
        <v>0</v>
      </c>
      <c r="X203" s="61">
        <f t="shared" si="28"/>
        <v>0</v>
      </c>
      <c r="Y203" s="61">
        <f t="shared" si="29"/>
        <v>0</v>
      </c>
      <c r="Z203" s="73"/>
      <c r="AA203" s="73"/>
      <c r="AB203" s="73"/>
      <c r="AC203" s="73"/>
      <c r="AD203" s="73"/>
      <c r="AE203" s="73"/>
      <c r="AF203" s="73"/>
      <c r="AG203" s="73"/>
      <c r="AH203" s="73"/>
      <c r="AI203" s="73"/>
      <c r="AJ203" s="73"/>
    </row>
    <row r="204" spans="2:36" ht="15" customHeight="1">
      <c r="B204" s="67"/>
      <c r="C204" s="225"/>
      <c r="D204" s="225"/>
      <c r="E204" s="68"/>
      <c r="F204" s="68"/>
      <c r="G204" s="69"/>
      <c r="H204" s="69"/>
      <c r="I204" s="72"/>
      <c r="J204" s="71"/>
      <c r="K204" s="68"/>
      <c r="L204" s="68"/>
      <c r="M204" s="68"/>
      <c r="N204" s="68"/>
      <c r="O204" s="68"/>
      <c r="P204" s="61">
        <f t="shared" si="20"/>
        <v>0</v>
      </c>
      <c r="Q204" s="61">
        <f t="shared" si="21"/>
        <v>0</v>
      </c>
      <c r="R204" s="61">
        <f t="shared" si="22"/>
        <v>0</v>
      </c>
      <c r="S204" s="61">
        <f t="shared" si="23"/>
        <v>0</v>
      </c>
      <c r="T204" s="61">
        <f t="shared" si="24"/>
        <v>0</v>
      </c>
      <c r="U204" s="61">
        <f t="shared" si="25"/>
        <v>0</v>
      </c>
      <c r="V204" s="61">
        <f t="shared" si="26"/>
        <v>0</v>
      </c>
      <c r="W204" s="61">
        <f t="shared" si="27"/>
        <v>0</v>
      </c>
      <c r="X204" s="61">
        <f t="shared" si="28"/>
        <v>0</v>
      </c>
      <c r="Y204" s="61">
        <f t="shared" si="29"/>
        <v>0</v>
      </c>
      <c r="Z204" s="73"/>
      <c r="AA204" s="73"/>
      <c r="AB204" s="73"/>
      <c r="AC204" s="73"/>
      <c r="AD204" s="73"/>
      <c r="AE204" s="73"/>
      <c r="AF204" s="73"/>
      <c r="AG204" s="73"/>
      <c r="AH204" s="73"/>
      <c r="AI204" s="73"/>
      <c r="AJ204" s="73"/>
    </row>
    <row r="205" spans="2:36" ht="15" customHeight="1">
      <c r="B205" s="67"/>
      <c r="C205" s="225"/>
      <c r="D205" s="225"/>
      <c r="E205" s="68"/>
      <c r="F205" s="68"/>
      <c r="G205" s="69"/>
      <c r="H205" s="69"/>
      <c r="I205" s="72"/>
      <c r="J205" s="71"/>
      <c r="K205" s="68"/>
      <c r="L205" s="68"/>
      <c r="M205" s="68"/>
      <c r="N205" s="68"/>
      <c r="O205" s="68"/>
      <c r="P205" s="61">
        <f t="shared" si="20"/>
        <v>0</v>
      </c>
      <c r="Q205" s="61">
        <f t="shared" si="21"/>
        <v>0</v>
      </c>
      <c r="R205" s="61">
        <f t="shared" si="22"/>
        <v>0</v>
      </c>
      <c r="S205" s="61">
        <f t="shared" si="23"/>
        <v>0</v>
      </c>
      <c r="T205" s="61">
        <f t="shared" si="24"/>
        <v>0</v>
      </c>
      <c r="U205" s="61">
        <f t="shared" si="25"/>
        <v>0</v>
      </c>
      <c r="V205" s="61">
        <f t="shared" si="26"/>
        <v>0</v>
      </c>
      <c r="W205" s="61">
        <f t="shared" si="27"/>
        <v>0</v>
      </c>
      <c r="X205" s="61">
        <f t="shared" si="28"/>
        <v>0</v>
      </c>
      <c r="Y205" s="61">
        <f t="shared" si="29"/>
        <v>0</v>
      </c>
      <c r="Z205" s="73"/>
      <c r="AA205" s="73"/>
      <c r="AB205" s="73"/>
      <c r="AC205" s="73"/>
      <c r="AD205" s="73"/>
      <c r="AE205" s="73"/>
      <c r="AF205" s="73"/>
      <c r="AG205" s="73"/>
      <c r="AH205" s="73"/>
      <c r="AI205" s="73"/>
      <c r="AJ205" s="73"/>
    </row>
    <row r="206" spans="2:36" ht="15" customHeight="1">
      <c r="B206" s="67"/>
      <c r="C206" s="225"/>
      <c r="D206" s="225"/>
      <c r="E206" s="68"/>
      <c r="F206" s="68"/>
      <c r="G206" s="69"/>
      <c r="H206" s="69"/>
      <c r="I206" s="72"/>
      <c r="J206" s="71"/>
      <c r="K206" s="68"/>
      <c r="L206" s="68"/>
      <c r="M206" s="68"/>
      <c r="N206" s="68"/>
      <c r="O206" s="68"/>
      <c r="P206" s="61">
        <f t="shared" si="20"/>
        <v>0</v>
      </c>
      <c r="Q206" s="61">
        <f t="shared" si="21"/>
        <v>0</v>
      </c>
      <c r="R206" s="61">
        <f t="shared" si="22"/>
        <v>0</v>
      </c>
      <c r="S206" s="61">
        <f t="shared" si="23"/>
        <v>0</v>
      </c>
      <c r="T206" s="61">
        <f t="shared" si="24"/>
        <v>0</v>
      </c>
      <c r="U206" s="61">
        <f t="shared" si="25"/>
        <v>0</v>
      </c>
      <c r="V206" s="61">
        <f t="shared" si="26"/>
        <v>0</v>
      </c>
      <c r="W206" s="61">
        <f t="shared" si="27"/>
        <v>0</v>
      </c>
      <c r="X206" s="61">
        <f t="shared" si="28"/>
        <v>0</v>
      </c>
      <c r="Y206" s="61">
        <f t="shared" si="29"/>
        <v>0</v>
      </c>
      <c r="Z206" s="73"/>
      <c r="AA206" s="73"/>
      <c r="AB206" s="73"/>
      <c r="AC206" s="73"/>
      <c r="AD206" s="73"/>
      <c r="AE206" s="73"/>
      <c r="AF206" s="73"/>
      <c r="AG206" s="73"/>
      <c r="AH206" s="73"/>
      <c r="AI206" s="73"/>
      <c r="AJ206" s="73"/>
    </row>
    <row r="207" spans="2:36" ht="15" customHeight="1">
      <c r="B207" s="67"/>
      <c r="C207" s="225"/>
      <c r="D207" s="225"/>
      <c r="E207" s="68"/>
      <c r="F207" s="68"/>
      <c r="G207" s="69"/>
      <c r="H207" s="69"/>
      <c r="I207" s="72"/>
      <c r="J207" s="71"/>
      <c r="K207" s="68"/>
      <c r="L207" s="68"/>
      <c r="M207" s="68"/>
      <c r="N207" s="68"/>
      <c r="O207" s="68"/>
      <c r="P207" s="61">
        <f t="shared" si="20"/>
        <v>0</v>
      </c>
      <c r="Q207" s="61">
        <f t="shared" si="21"/>
        <v>0</v>
      </c>
      <c r="R207" s="61">
        <f t="shared" si="22"/>
        <v>0</v>
      </c>
      <c r="S207" s="61">
        <f t="shared" si="23"/>
        <v>0</v>
      </c>
      <c r="T207" s="61">
        <f t="shared" si="24"/>
        <v>0</v>
      </c>
      <c r="U207" s="61">
        <f t="shared" si="25"/>
        <v>0</v>
      </c>
      <c r="V207" s="61">
        <f t="shared" si="26"/>
        <v>0</v>
      </c>
      <c r="W207" s="61">
        <f t="shared" si="27"/>
        <v>0</v>
      </c>
      <c r="X207" s="61">
        <f t="shared" si="28"/>
        <v>0</v>
      </c>
      <c r="Y207" s="61">
        <f t="shared" si="29"/>
        <v>0</v>
      </c>
      <c r="Z207" s="73"/>
      <c r="AA207" s="73"/>
      <c r="AB207" s="73"/>
      <c r="AC207" s="73"/>
      <c r="AD207" s="73"/>
      <c r="AE207" s="73"/>
      <c r="AF207" s="73"/>
      <c r="AG207" s="73"/>
      <c r="AH207" s="73"/>
      <c r="AI207" s="73"/>
      <c r="AJ207" s="73"/>
    </row>
    <row r="208" spans="2:36" ht="15" customHeight="1">
      <c r="B208" s="67"/>
      <c r="C208" s="225"/>
      <c r="D208" s="225"/>
      <c r="E208" s="68"/>
      <c r="F208" s="68"/>
      <c r="G208" s="69"/>
      <c r="H208" s="69"/>
      <c r="I208" s="72"/>
      <c r="J208" s="71"/>
      <c r="K208" s="68"/>
      <c r="L208" s="68"/>
      <c r="M208" s="68"/>
      <c r="N208" s="68"/>
      <c r="O208" s="68"/>
      <c r="P208" s="61">
        <f t="shared" si="20"/>
        <v>0</v>
      </c>
      <c r="Q208" s="61">
        <f t="shared" si="21"/>
        <v>0</v>
      </c>
      <c r="R208" s="61">
        <f t="shared" si="22"/>
        <v>0</v>
      </c>
      <c r="S208" s="61">
        <f t="shared" si="23"/>
        <v>0</v>
      </c>
      <c r="T208" s="61">
        <f t="shared" si="24"/>
        <v>0</v>
      </c>
      <c r="U208" s="61">
        <f t="shared" si="25"/>
        <v>0</v>
      </c>
      <c r="V208" s="61">
        <f t="shared" si="26"/>
        <v>0</v>
      </c>
      <c r="W208" s="61">
        <f t="shared" si="27"/>
        <v>0</v>
      </c>
      <c r="X208" s="61">
        <f t="shared" si="28"/>
        <v>0</v>
      </c>
      <c r="Y208" s="61">
        <f t="shared" si="29"/>
        <v>0</v>
      </c>
      <c r="Z208" s="73"/>
      <c r="AA208" s="73"/>
      <c r="AB208" s="73"/>
      <c r="AC208" s="73"/>
      <c r="AD208" s="73"/>
      <c r="AE208" s="73"/>
      <c r="AF208" s="73"/>
      <c r="AG208" s="73"/>
      <c r="AH208" s="73"/>
      <c r="AI208" s="73"/>
      <c r="AJ208" s="73"/>
    </row>
    <row r="209" spans="2:36" ht="15" customHeight="1">
      <c r="B209" s="67"/>
      <c r="C209" s="225"/>
      <c r="D209" s="225"/>
      <c r="E209" s="68"/>
      <c r="F209" s="68"/>
      <c r="G209" s="69"/>
      <c r="H209" s="69"/>
      <c r="I209" s="72"/>
      <c r="J209" s="71"/>
      <c r="K209" s="68"/>
      <c r="L209" s="68"/>
      <c r="M209" s="68"/>
      <c r="N209" s="68"/>
      <c r="O209" s="68"/>
      <c r="P209" s="61">
        <f t="shared" si="20"/>
        <v>0</v>
      </c>
      <c r="Q209" s="61">
        <f t="shared" si="21"/>
        <v>0</v>
      </c>
      <c r="R209" s="61">
        <f t="shared" si="22"/>
        <v>0</v>
      </c>
      <c r="S209" s="61">
        <f t="shared" si="23"/>
        <v>0</v>
      </c>
      <c r="T209" s="61">
        <f t="shared" si="24"/>
        <v>0</v>
      </c>
      <c r="U209" s="61">
        <f t="shared" si="25"/>
        <v>0</v>
      </c>
      <c r="V209" s="61">
        <f t="shared" si="26"/>
        <v>0</v>
      </c>
      <c r="W209" s="61">
        <f t="shared" si="27"/>
        <v>0</v>
      </c>
      <c r="X209" s="61">
        <f t="shared" si="28"/>
        <v>0</v>
      </c>
      <c r="Y209" s="61">
        <f t="shared" si="29"/>
        <v>0</v>
      </c>
      <c r="Z209" s="73"/>
      <c r="AA209" s="73"/>
      <c r="AB209" s="73"/>
      <c r="AC209" s="73"/>
      <c r="AD209" s="73"/>
      <c r="AE209" s="73"/>
      <c r="AF209" s="73"/>
      <c r="AG209" s="73"/>
      <c r="AH209" s="73"/>
      <c r="AI209" s="73"/>
      <c r="AJ209" s="73"/>
    </row>
    <row r="210" spans="2:36" ht="15" customHeight="1">
      <c r="B210" s="67"/>
      <c r="C210" s="225"/>
      <c r="D210" s="225"/>
      <c r="E210" s="68"/>
      <c r="F210" s="68"/>
      <c r="G210" s="69"/>
      <c r="H210" s="69"/>
      <c r="I210" s="72"/>
      <c r="J210" s="71"/>
      <c r="K210" s="68"/>
      <c r="L210" s="68"/>
      <c r="M210" s="68"/>
      <c r="N210" s="68"/>
      <c r="O210" s="68"/>
      <c r="P210" s="61">
        <f t="shared" si="20"/>
        <v>0</v>
      </c>
      <c r="Q210" s="61">
        <f t="shared" si="21"/>
        <v>0</v>
      </c>
      <c r="R210" s="61">
        <f t="shared" si="22"/>
        <v>0</v>
      </c>
      <c r="S210" s="61">
        <f t="shared" si="23"/>
        <v>0</v>
      </c>
      <c r="T210" s="61">
        <f t="shared" si="24"/>
        <v>0</v>
      </c>
      <c r="U210" s="61">
        <f t="shared" si="25"/>
        <v>0</v>
      </c>
      <c r="V210" s="61">
        <f t="shared" si="26"/>
        <v>0</v>
      </c>
      <c r="W210" s="61">
        <f t="shared" si="27"/>
        <v>0</v>
      </c>
      <c r="X210" s="61">
        <f t="shared" si="28"/>
        <v>0</v>
      </c>
      <c r="Y210" s="61">
        <f t="shared" si="29"/>
        <v>0</v>
      </c>
      <c r="Z210" s="73"/>
      <c r="AA210" s="73"/>
      <c r="AB210" s="73"/>
      <c r="AC210" s="73"/>
      <c r="AD210" s="73"/>
      <c r="AE210" s="73"/>
      <c r="AF210" s="73"/>
      <c r="AG210" s="73"/>
      <c r="AH210" s="73"/>
      <c r="AI210" s="73"/>
      <c r="AJ210" s="73"/>
    </row>
    <row r="211" spans="2:36" ht="15" customHeight="1">
      <c r="B211" s="67"/>
      <c r="C211" s="225"/>
      <c r="D211" s="225"/>
      <c r="E211" s="68"/>
      <c r="F211" s="68"/>
      <c r="G211" s="69"/>
      <c r="H211" s="69"/>
      <c r="I211" s="72"/>
      <c r="J211" s="71"/>
      <c r="K211" s="68"/>
      <c r="L211" s="68"/>
      <c r="M211" s="68"/>
      <c r="N211" s="68"/>
      <c r="O211" s="68"/>
      <c r="P211" s="61">
        <f t="shared" si="20"/>
        <v>0</v>
      </c>
      <c r="Q211" s="61">
        <f t="shared" si="21"/>
        <v>0</v>
      </c>
      <c r="R211" s="61">
        <f t="shared" si="22"/>
        <v>0</v>
      </c>
      <c r="S211" s="61">
        <f t="shared" si="23"/>
        <v>0</v>
      </c>
      <c r="T211" s="61">
        <f t="shared" si="24"/>
        <v>0</v>
      </c>
      <c r="U211" s="61">
        <f t="shared" si="25"/>
        <v>0</v>
      </c>
      <c r="V211" s="61">
        <f t="shared" si="26"/>
        <v>0</v>
      </c>
      <c r="W211" s="61">
        <f t="shared" si="27"/>
        <v>0</v>
      </c>
      <c r="X211" s="61">
        <f t="shared" si="28"/>
        <v>0</v>
      </c>
      <c r="Y211" s="61">
        <f t="shared" si="29"/>
        <v>0</v>
      </c>
      <c r="Z211" s="73"/>
      <c r="AA211" s="73"/>
      <c r="AB211" s="73"/>
      <c r="AC211" s="73"/>
      <c r="AD211" s="73"/>
      <c r="AE211" s="73"/>
      <c r="AF211" s="73"/>
      <c r="AG211" s="73"/>
      <c r="AH211" s="73"/>
      <c r="AI211" s="73"/>
      <c r="AJ211" s="73"/>
    </row>
    <row r="212" spans="2:36" ht="15" customHeight="1">
      <c r="B212" s="67"/>
      <c r="C212" s="225"/>
      <c r="D212" s="225"/>
      <c r="E212" s="68"/>
      <c r="F212" s="68"/>
      <c r="G212" s="69"/>
      <c r="H212" s="69"/>
      <c r="I212" s="72"/>
      <c r="J212" s="71"/>
      <c r="K212" s="68"/>
      <c r="L212" s="68"/>
      <c r="M212" s="68"/>
      <c r="N212" s="68"/>
      <c r="O212" s="68"/>
      <c r="P212" s="61">
        <f t="shared" si="20"/>
        <v>0</v>
      </c>
      <c r="Q212" s="61">
        <f t="shared" si="21"/>
        <v>0</v>
      </c>
      <c r="R212" s="61">
        <f t="shared" si="22"/>
        <v>0</v>
      </c>
      <c r="S212" s="61">
        <f t="shared" si="23"/>
        <v>0</v>
      </c>
      <c r="T212" s="61">
        <f t="shared" si="24"/>
        <v>0</v>
      </c>
      <c r="U212" s="61">
        <f t="shared" si="25"/>
        <v>0</v>
      </c>
      <c r="V212" s="61">
        <f t="shared" si="26"/>
        <v>0</v>
      </c>
      <c r="W212" s="61">
        <f t="shared" si="27"/>
        <v>0</v>
      </c>
      <c r="X212" s="61">
        <f t="shared" si="28"/>
        <v>0</v>
      </c>
      <c r="Y212" s="61">
        <f t="shared" si="29"/>
        <v>0</v>
      </c>
      <c r="Z212" s="73"/>
      <c r="AA212" s="73"/>
      <c r="AB212" s="73"/>
      <c r="AC212" s="73"/>
      <c r="AD212" s="73"/>
      <c r="AE212" s="73"/>
      <c r="AF212" s="73"/>
      <c r="AG212" s="73"/>
      <c r="AH212" s="73"/>
      <c r="AI212" s="73"/>
      <c r="AJ212" s="73"/>
    </row>
    <row r="213" spans="2:36" ht="15" customHeight="1">
      <c r="B213" s="67"/>
      <c r="C213" s="225"/>
      <c r="D213" s="225"/>
      <c r="E213" s="68"/>
      <c r="F213" s="68"/>
      <c r="G213" s="69"/>
      <c r="H213" s="69"/>
      <c r="I213" s="72"/>
      <c r="J213" s="71"/>
      <c r="K213" s="68"/>
      <c r="L213" s="68"/>
      <c r="M213" s="68"/>
      <c r="N213" s="68"/>
      <c r="O213" s="68"/>
      <c r="P213" s="61">
        <f t="shared" si="20"/>
        <v>0</v>
      </c>
      <c r="Q213" s="61">
        <f t="shared" si="21"/>
        <v>0</v>
      </c>
      <c r="R213" s="61">
        <f t="shared" si="22"/>
        <v>0</v>
      </c>
      <c r="S213" s="61">
        <f t="shared" si="23"/>
        <v>0</v>
      </c>
      <c r="T213" s="61">
        <f t="shared" si="24"/>
        <v>0</v>
      </c>
      <c r="U213" s="61">
        <f t="shared" si="25"/>
        <v>0</v>
      </c>
      <c r="V213" s="61">
        <f t="shared" si="26"/>
        <v>0</v>
      </c>
      <c r="W213" s="61">
        <f t="shared" si="27"/>
        <v>0</v>
      </c>
      <c r="X213" s="61">
        <f t="shared" si="28"/>
        <v>0</v>
      </c>
      <c r="Y213" s="61">
        <f t="shared" si="29"/>
        <v>0</v>
      </c>
      <c r="Z213" s="73"/>
      <c r="AA213" s="73"/>
      <c r="AB213" s="73"/>
      <c r="AC213" s="73"/>
      <c r="AD213" s="73"/>
      <c r="AE213" s="73"/>
      <c r="AF213" s="73"/>
      <c r="AG213" s="73"/>
      <c r="AH213" s="73"/>
      <c r="AI213" s="73"/>
      <c r="AJ213" s="73"/>
    </row>
    <row r="214" spans="2:36" ht="15" customHeight="1">
      <c r="B214" s="67"/>
      <c r="C214" s="225"/>
      <c r="D214" s="225"/>
      <c r="E214" s="68"/>
      <c r="F214" s="68"/>
      <c r="G214" s="69"/>
      <c r="H214" s="69"/>
      <c r="I214" s="72"/>
      <c r="J214" s="71"/>
      <c r="K214" s="68"/>
      <c r="L214" s="68"/>
      <c r="M214" s="68"/>
      <c r="N214" s="68"/>
      <c r="O214" s="68"/>
      <c r="P214" s="61">
        <f t="shared" si="20"/>
        <v>0</v>
      </c>
      <c r="Q214" s="61">
        <f t="shared" si="21"/>
        <v>0</v>
      </c>
      <c r="R214" s="61">
        <f t="shared" si="22"/>
        <v>0</v>
      </c>
      <c r="S214" s="61">
        <f t="shared" si="23"/>
        <v>0</v>
      </c>
      <c r="T214" s="61">
        <f t="shared" si="24"/>
        <v>0</v>
      </c>
      <c r="U214" s="61">
        <f t="shared" si="25"/>
        <v>0</v>
      </c>
      <c r="V214" s="61">
        <f t="shared" si="26"/>
        <v>0</v>
      </c>
      <c r="W214" s="61">
        <f t="shared" si="27"/>
        <v>0</v>
      </c>
      <c r="X214" s="61">
        <f t="shared" si="28"/>
        <v>0</v>
      </c>
      <c r="Y214" s="61">
        <f t="shared" si="29"/>
        <v>0</v>
      </c>
      <c r="Z214" s="73"/>
      <c r="AA214" s="73"/>
      <c r="AB214" s="73"/>
      <c r="AC214" s="73"/>
      <c r="AD214" s="73"/>
      <c r="AE214" s="73"/>
      <c r="AF214" s="73"/>
      <c r="AG214" s="73"/>
      <c r="AH214" s="73"/>
      <c r="AI214" s="73"/>
      <c r="AJ214" s="73"/>
    </row>
    <row r="215" spans="2:36" ht="15" customHeight="1">
      <c r="B215" s="67"/>
      <c r="C215" s="225"/>
      <c r="D215" s="225"/>
      <c r="E215" s="68"/>
      <c r="F215" s="68"/>
      <c r="G215" s="69"/>
      <c r="H215" s="69"/>
      <c r="I215" s="72"/>
      <c r="J215" s="71"/>
      <c r="K215" s="68"/>
      <c r="L215" s="68"/>
      <c r="M215" s="68"/>
      <c r="N215" s="68"/>
      <c r="O215" s="68"/>
      <c r="P215" s="61">
        <f t="shared" si="20"/>
        <v>0</v>
      </c>
      <c r="Q215" s="61">
        <f t="shared" si="21"/>
        <v>0</v>
      </c>
      <c r="R215" s="61">
        <f t="shared" si="22"/>
        <v>0</v>
      </c>
      <c r="S215" s="61">
        <f t="shared" si="23"/>
        <v>0</v>
      </c>
      <c r="T215" s="61">
        <f t="shared" si="24"/>
        <v>0</v>
      </c>
      <c r="U215" s="61">
        <f t="shared" si="25"/>
        <v>0</v>
      </c>
      <c r="V215" s="61">
        <f t="shared" si="26"/>
        <v>0</v>
      </c>
      <c r="W215" s="61">
        <f t="shared" si="27"/>
        <v>0</v>
      </c>
      <c r="X215" s="61">
        <f t="shared" si="28"/>
        <v>0</v>
      </c>
      <c r="Y215" s="61">
        <f t="shared" si="29"/>
        <v>0</v>
      </c>
      <c r="Z215" s="73"/>
      <c r="AA215" s="73"/>
      <c r="AB215" s="73"/>
      <c r="AC215" s="73"/>
      <c r="AD215" s="73"/>
      <c r="AE215" s="73"/>
      <c r="AF215" s="73"/>
      <c r="AG215" s="73"/>
      <c r="AH215" s="73"/>
      <c r="AI215" s="73"/>
      <c r="AJ215" s="73"/>
    </row>
    <row r="216" spans="2:36" ht="15" customHeight="1">
      <c r="B216" s="67"/>
      <c r="C216" s="225"/>
      <c r="D216" s="225"/>
      <c r="E216" s="68"/>
      <c r="F216" s="68"/>
      <c r="G216" s="69"/>
      <c r="H216" s="69"/>
      <c r="I216" s="72"/>
      <c r="J216" s="71"/>
      <c r="K216" s="68"/>
      <c r="L216" s="68"/>
      <c r="M216" s="68"/>
      <c r="N216" s="68"/>
      <c r="O216" s="68"/>
      <c r="P216" s="61">
        <f t="shared" si="20"/>
        <v>0</v>
      </c>
      <c r="Q216" s="61">
        <f t="shared" si="21"/>
        <v>0</v>
      </c>
      <c r="R216" s="61">
        <f t="shared" si="22"/>
        <v>0</v>
      </c>
      <c r="S216" s="61">
        <f t="shared" si="23"/>
        <v>0</v>
      </c>
      <c r="T216" s="61">
        <f t="shared" si="24"/>
        <v>0</v>
      </c>
      <c r="U216" s="61">
        <f t="shared" si="25"/>
        <v>0</v>
      </c>
      <c r="V216" s="61">
        <f t="shared" si="26"/>
        <v>0</v>
      </c>
      <c r="W216" s="61">
        <f t="shared" si="27"/>
        <v>0</v>
      </c>
      <c r="X216" s="61">
        <f t="shared" si="28"/>
        <v>0</v>
      </c>
      <c r="Y216" s="61">
        <f t="shared" si="29"/>
        <v>0</v>
      </c>
      <c r="Z216" s="73"/>
      <c r="AA216" s="73"/>
      <c r="AB216" s="73"/>
      <c r="AC216" s="73"/>
      <c r="AD216" s="73"/>
      <c r="AE216" s="73"/>
      <c r="AF216" s="73"/>
      <c r="AG216" s="73"/>
      <c r="AH216" s="73"/>
      <c r="AI216" s="73"/>
      <c r="AJ216" s="73"/>
    </row>
    <row r="217" spans="2:36" ht="15" customHeight="1">
      <c r="B217" s="67"/>
      <c r="C217" s="225"/>
      <c r="D217" s="225"/>
      <c r="E217" s="68"/>
      <c r="F217" s="68"/>
      <c r="G217" s="69"/>
      <c r="H217" s="69"/>
      <c r="I217" s="72"/>
      <c r="J217" s="71"/>
      <c r="K217" s="68"/>
      <c r="L217" s="68"/>
      <c r="M217" s="68"/>
      <c r="N217" s="68"/>
      <c r="O217" s="68"/>
      <c r="P217" s="61">
        <f t="shared" si="20"/>
        <v>0</v>
      </c>
      <c r="Q217" s="61">
        <f t="shared" si="21"/>
        <v>0</v>
      </c>
      <c r="R217" s="61">
        <f t="shared" si="22"/>
        <v>0</v>
      </c>
      <c r="S217" s="61">
        <f t="shared" si="23"/>
        <v>0</v>
      </c>
      <c r="T217" s="61">
        <f t="shared" si="24"/>
        <v>0</v>
      </c>
      <c r="U217" s="61">
        <f t="shared" si="25"/>
        <v>0</v>
      </c>
      <c r="V217" s="61">
        <f t="shared" si="26"/>
        <v>0</v>
      </c>
      <c r="W217" s="61">
        <f t="shared" si="27"/>
        <v>0</v>
      </c>
      <c r="X217" s="61">
        <f t="shared" si="28"/>
        <v>0</v>
      </c>
      <c r="Y217" s="61">
        <f t="shared" si="29"/>
        <v>0</v>
      </c>
      <c r="Z217" s="73"/>
      <c r="AA217" s="73"/>
      <c r="AB217" s="73"/>
      <c r="AC217" s="73"/>
      <c r="AD217" s="73"/>
      <c r="AE217" s="73"/>
      <c r="AF217" s="73"/>
      <c r="AG217" s="73"/>
      <c r="AH217" s="73"/>
      <c r="AI217" s="73"/>
      <c r="AJ217" s="73"/>
    </row>
    <row r="218" spans="2:36" ht="15" customHeight="1">
      <c r="B218" s="67"/>
      <c r="C218" s="225"/>
      <c r="D218" s="225"/>
      <c r="E218" s="68"/>
      <c r="F218" s="68"/>
      <c r="G218" s="69"/>
      <c r="H218" s="69"/>
      <c r="I218" s="72"/>
      <c r="J218" s="71"/>
      <c r="K218" s="68"/>
      <c r="L218" s="68"/>
      <c r="M218" s="68"/>
      <c r="N218" s="68"/>
      <c r="O218" s="68"/>
      <c r="P218" s="61">
        <f t="shared" si="20"/>
        <v>0</v>
      </c>
      <c r="Q218" s="61">
        <f t="shared" si="21"/>
        <v>0</v>
      </c>
      <c r="R218" s="61">
        <f t="shared" si="22"/>
        <v>0</v>
      </c>
      <c r="S218" s="61">
        <f t="shared" si="23"/>
        <v>0</v>
      </c>
      <c r="T218" s="61">
        <f t="shared" si="24"/>
        <v>0</v>
      </c>
      <c r="U218" s="61">
        <f t="shared" si="25"/>
        <v>0</v>
      </c>
      <c r="V218" s="61">
        <f t="shared" si="26"/>
        <v>0</v>
      </c>
      <c r="W218" s="61">
        <f t="shared" si="27"/>
        <v>0</v>
      </c>
      <c r="X218" s="61">
        <f t="shared" si="28"/>
        <v>0</v>
      </c>
      <c r="Y218" s="61">
        <f t="shared" si="29"/>
        <v>0</v>
      </c>
      <c r="Z218" s="73"/>
      <c r="AA218" s="73"/>
      <c r="AB218" s="73"/>
      <c r="AC218" s="73"/>
      <c r="AD218" s="73"/>
      <c r="AE218" s="73"/>
      <c r="AF218" s="73"/>
      <c r="AG218" s="73"/>
      <c r="AH218" s="73"/>
      <c r="AI218" s="73"/>
      <c r="AJ218" s="73"/>
    </row>
    <row r="219" spans="2:36" ht="15" customHeight="1">
      <c r="B219" s="67"/>
      <c r="C219" s="225"/>
      <c r="D219" s="225"/>
      <c r="E219" s="68"/>
      <c r="F219" s="68"/>
      <c r="G219" s="69"/>
      <c r="H219" s="69"/>
      <c r="I219" s="72"/>
      <c r="J219" s="71"/>
      <c r="K219" s="68"/>
      <c r="L219" s="68"/>
      <c r="M219" s="68"/>
      <c r="N219" s="68"/>
      <c r="O219" s="68"/>
      <c r="P219" s="61">
        <f t="shared" si="20"/>
        <v>0</v>
      </c>
      <c r="Q219" s="61">
        <f t="shared" si="21"/>
        <v>0</v>
      </c>
      <c r="R219" s="61">
        <f t="shared" si="22"/>
        <v>0</v>
      </c>
      <c r="S219" s="61">
        <f t="shared" si="23"/>
        <v>0</v>
      </c>
      <c r="T219" s="61">
        <f t="shared" si="24"/>
        <v>0</v>
      </c>
      <c r="U219" s="61">
        <f t="shared" si="25"/>
        <v>0</v>
      </c>
      <c r="V219" s="61">
        <f t="shared" si="26"/>
        <v>0</v>
      </c>
      <c r="W219" s="61">
        <f t="shared" si="27"/>
        <v>0</v>
      </c>
      <c r="X219" s="61">
        <f t="shared" si="28"/>
        <v>0</v>
      </c>
      <c r="Y219" s="61">
        <f t="shared" si="29"/>
        <v>0</v>
      </c>
      <c r="Z219" s="73"/>
      <c r="AA219" s="73"/>
      <c r="AB219" s="73"/>
      <c r="AC219" s="73"/>
      <c r="AD219" s="73"/>
      <c r="AE219" s="73"/>
      <c r="AF219" s="73"/>
      <c r="AG219" s="73"/>
      <c r="AH219" s="73"/>
      <c r="AI219" s="73"/>
      <c r="AJ219" s="73"/>
    </row>
    <row r="220" spans="2:36" ht="15" customHeight="1">
      <c r="B220" s="67"/>
      <c r="C220" s="225"/>
      <c r="D220" s="225"/>
      <c r="E220" s="68"/>
      <c r="F220" s="68"/>
      <c r="G220" s="69"/>
      <c r="H220" s="69"/>
      <c r="I220" s="72"/>
      <c r="J220" s="71"/>
      <c r="K220" s="68"/>
      <c r="L220" s="68"/>
      <c r="M220" s="68"/>
      <c r="N220" s="68"/>
      <c r="O220" s="68"/>
      <c r="P220" s="61">
        <f t="shared" si="20"/>
        <v>0</v>
      </c>
      <c r="Q220" s="61">
        <f t="shared" si="21"/>
        <v>0</v>
      </c>
      <c r="R220" s="61">
        <f t="shared" si="22"/>
        <v>0</v>
      </c>
      <c r="S220" s="61">
        <f t="shared" si="23"/>
        <v>0</v>
      </c>
      <c r="T220" s="61">
        <f t="shared" si="24"/>
        <v>0</v>
      </c>
      <c r="U220" s="61">
        <f t="shared" si="25"/>
        <v>0</v>
      </c>
      <c r="V220" s="61">
        <f t="shared" si="26"/>
        <v>0</v>
      </c>
      <c r="W220" s="61">
        <f t="shared" si="27"/>
        <v>0</v>
      </c>
      <c r="X220" s="61">
        <f t="shared" si="28"/>
        <v>0</v>
      </c>
      <c r="Y220" s="61">
        <f t="shared" si="29"/>
        <v>0</v>
      </c>
      <c r="Z220" s="73"/>
      <c r="AA220" s="73"/>
      <c r="AB220" s="73"/>
      <c r="AC220" s="73"/>
      <c r="AD220" s="73"/>
      <c r="AE220" s="73"/>
      <c r="AF220" s="73"/>
      <c r="AG220" s="73"/>
      <c r="AH220" s="73"/>
      <c r="AI220" s="73"/>
      <c r="AJ220" s="73"/>
    </row>
    <row r="221" spans="2:36" ht="15" customHeight="1">
      <c r="B221" s="67"/>
      <c r="C221" s="225"/>
      <c r="D221" s="225"/>
      <c r="E221" s="68"/>
      <c r="F221" s="68"/>
      <c r="G221" s="69"/>
      <c r="H221" s="69"/>
      <c r="I221" s="72"/>
      <c r="J221" s="71"/>
      <c r="K221" s="68"/>
      <c r="L221" s="68"/>
      <c r="M221" s="68"/>
      <c r="N221" s="68"/>
      <c r="O221" s="68"/>
      <c r="P221" s="61">
        <f t="shared" si="20"/>
        <v>0</v>
      </c>
      <c r="Q221" s="61">
        <f t="shared" si="21"/>
        <v>0</v>
      </c>
      <c r="R221" s="61">
        <f t="shared" si="22"/>
        <v>0</v>
      </c>
      <c r="S221" s="61">
        <f t="shared" si="23"/>
        <v>0</v>
      </c>
      <c r="T221" s="61">
        <f t="shared" si="24"/>
        <v>0</v>
      </c>
      <c r="U221" s="61">
        <f t="shared" si="25"/>
        <v>0</v>
      </c>
      <c r="V221" s="61">
        <f t="shared" si="26"/>
        <v>0</v>
      </c>
      <c r="W221" s="61">
        <f t="shared" si="27"/>
        <v>0</v>
      </c>
      <c r="X221" s="61">
        <f t="shared" si="28"/>
        <v>0</v>
      </c>
      <c r="Y221" s="61">
        <f t="shared" si="29"/>
        <v>0</v>
      </c>
      <c r="Z221" s="73"/>
      <c r="AA221" s="73"/>
      <c r="AB221" s="73"/>
      <c r="AC221" s="73"/>
      <c r="AD221" s="73"/>
      <c r="AE221" s="73"/>
      <c r="AF221" s="73"/>
      <c r="AG221" s="73"/>
      <c r="AH221" s="73"/>
      <c r="AI221" s="73"/>
      <c r="AJ221" s="73"/>
    </row>
    <row r="222" spans="2:36" ht="15" customHeight="1">
      <c r="B222" s="67"/>
      <c r="C222" s="225"/>
      <c r="D222" s="225"/>
      <c r="E222" s="68"/>
      <c r="F222" s="68"/>
      <c r="G222" s="69"/>
      <c r="H222" s="69"/>
      <c r="I222" s="72"/>
      <c r="J222" s="71"/>
      <c r="K222" s="68"/>
      <c r="L222" s="68"/>
      <c r="M222" s="68"/>
      <c r="N222" s="68"/>
      <c r="O222" s="68"/>
      <c r="P222" s="61">
        <f t="shared" si="20"/>
        <v>0</v>
      </c>
      <c r="Q222" s="61">
        <f t="shared" si="21"/>
        <v>0</v>
      </c>
      <c r="R222" s="61">
        <f t="shared" si="22"/>
        <v>0</v>
      </c>
      <c r="S222" s="61">
        <f t="shared" si="23"/>
        <v>0</v>
      </c>
      <c r="T222" s="61">
        <f t="shared" si="24"/>
        <v>0</v>
      </c>
      <c r="U222" s="61">
        <f t="shared" si="25"/>
        <v>0</v>
      </c>
      <c r="V222" s="61">
        <f t="shared" si="26"/>
        <v>0</v>
      </c>
      <c r="W222" s="61">
        <f t="shared" si="27"/>
        <v>0</v>
      </c>
      <c r="X222" s="61">
        <f t="shared" si="28"/>
        <v>0</v>
      </c>
      <c r="Y222" s="61">
        <f t="shared" si="29"/>
        <v>0</v>
      </c>
      <c r="Z222" s="73"/>
      <c r="AA222" s="73"/>
      <c r="AB222" s="73"/>
      <c r="AC222" s="73"/>
      <c r="AD222" s="73"/>
      <c r="AE222" s="73"/>
      <c r="AF222" s="73"/>
      <c r="AG222" s="73"/>
      <c r="AH222" s="73"/>
      <c r="AI222" s="73"/>
      <c r="AJ222" s="73"/>
    </row>
    <row r="223" spans="2:36" ht="15" customHeight="1">
      <c r="B223" s="67"/>
      <c r="C223" s="225"/>
      <c r="D223" s="225"/>
      <c r="E223" s="68"/>
      <c r="F223" s="68"/>
      <c r="G223" s="69"/>
      <c r="H223" s="69"/>
      <c r="I223" s="72"/>
      <c r="J223" s="71"/>
      <c r="K223" s="68"/>
      <c r="L223" s="68"/>
      <c r="M223" s="68"/>
      <c r="N223" s="68"/>
      <c r="O223" s="68"/>
      <c r="P223" s="61">
        <f t="shared" si="20"/>
        <v>0</v>
      </c>
      <c r="Q223" s="61">
        <f t="shared" si="21"/>
        <v>0</v>
      </c>
      <c r="R223" s="61">
        <f t="shared" si="22"/>
        <v>0</v>
      </c>
      <c r="S223" s="61">
        <f t="shared" si="23"/>
        <v>0</v>
      </c>
      <c r="T223" s="61">
        <f t="shared" si="24"/>
        <v>0</v>
      </c>
      <c r="U223" s="61">
        <f t="shared" si="25"/>
        <v>0</v>
      </c>
      <c r="V223" s="61">
        <f t="shared" si="26"/>
        <v>0</v>
      </c>
      <c r="W223" s="61">
        <f t="shared" si="27"/>
        <v>0</v>
      </c>
      <c r="X223" s="61">
        <f t="shared" si="28"/>
        <v>0</v>
      </c>
      <c r="Y223" s="61">
        <f t="shared" si="29"/>
        <v>0</v>
      </c>
      <c r="Z223" s="73"/>
      <c r="AA223" s="73"/>
      <c r="AB223" s="73"/>
      <c r="AC223" s="73"/>
      <c r="AD223" s="73"/>
      <c r="AE223" s="73"/>
      <c r="AF223" s="73"/>
      <c r="AG223" s="73"/>
      <c r="AH223" s="73"/>
      <c r="AI223" s="73"/>
      <c r="AJ223" s="73"/>
    </row>
    <row r="224" spans="2:36" ht="15" customHeight="1">
      <c r="B224" s="67"/>
      <c r="C224" s="225"/>
      <c r="D224" s="225"/>
      <c r="E224" s="68"/>
      <c r="F224" s="68"/>
      <c r="G224" s="69"/>
      <c r="H224" s="69"/>
      <c r="I224" s="72"/>
      <c r="J224" s="71"/>
      <c r="K224" s="68"/>
      <c r="L224" s="68"/>
      <c r="M224" s="68"/>
      <c r="N224" s="68"/>
      <c r="O224" s="68"/>
      <c r="P224" s="61">
        <f t="shared" ref="P224:P287" si="30">IF(H224="REJ",1,0)</f>
        <v>0</v>
      </c>
      <c r="Q224" s="61">
        <f t="shared" ref="Q224:Q287" si="31">IF(J224="",0,1)</f>
        <v>0</v>
      </c>
      <c r="R224" s="61">
        <f t="shared" si="22"/>
        <v>0</v>
      </c>
      <c r="S224" s="61">
        <f t="shared" si="23"/>
        <v>0</v>
      </c>
      <c r="T224" s="61">
        <f t="shared" si="24"/>
        <v>0</v>
      </c>
      <c r="U224" s="61">
        <f t="shared" si="25"/>
        <v>0</v>
      </c>
      <c r="V224" s="61">
        <f t="shared" si="26"/>
        <v>0</v>
      </c>
      <c r="W224" s="61">
        <f t="shared" si="27"/>
        <v>0</v>
      </c>
      <c r="X224" s="61">
        <f t="shared" si="28"/>
        <v>0</v>
      </c>
      <c r="Y224" s="61">
        <f t="shared" si="29"/>
        <v>0</v>
      </c>
      <c r="Z224" s="73"/>
      <c r="AA224" s="73"/>
      <c r="AB224" s="73"/>
      <c r="AC224" s="73"/>
      <c r="AD224" s="73"/>
      <c r="AE224" s="73"/>
      <c r="AF224" s="73"/>
      <c r="AG224" s="73"/>
      <c r="AH224" s="73"/>
      <c r="AI224" s="73"/>
      <c r="AJ224" s="73"/>
    </row>
    <row r="225" spans="2:36" ht="15" customHeight="1">
      <c r="B225" s="67"/>
      <c r="C225" s="225"/>
      <c r="D225" s="225"/>
      <c r="E225" s="68"/>
      <c r="F225" s="68"/>
      <c r="G225" s="69"/>
      <c r="H225" s="69"/>
      <c r="I225" s="72"/>
      <c r="J225" s="71"/>
      <c r="K225" s="68"/>
      <c r="L225" s="68"/>
      <c r="M225" s="68"/>
      <c r="N225" s="68"/>
      <c r="O225" s="68"/>
      <c r="P225" s="61">
        <f t="shared" si="30"/>
        <v>0</v>
      </c>
      <c r="Q225" s="61">
        <f t="shared" si="31"/>
        <v>0</v>
      </c>
      <c r="R225" s="61">
        <f t="shared" ref="R225:R288" si="32">IF(OR(H225="REJ"),IF(J225="",1,0),0)</f>
        <v>0</v>
      </c>
      <c r="S225" s="61">
        <f t="shared" ref="S225:S288" si="33">IF(E225="CR",1,0)</f>
        <v>0</v>
      </c>
      <c r="T225" s="61">
        <f t="shared" ref="T225:T288" si="34">IF(J225="",0,1)</f>
        <v>0</v>
      </c>
      <c r="U225" s="61">
        <f t="shared" ref="U225:U288" si="35">IF(OR(E225="CR",E225="MA",E225="E"),IF(J225="",1,0),0)</f>
        <v>0</v>
      </c>
      <c r="V225" s="61">
        <f t="shared" ref="V225:V288" si="36">IF(H225="ACC",1,0)</f>
        <v>0</v>
      </c>
      <c r="W225" s="61">
        <f t="shared" ref="W225:W288" si="37">IF(K225="",0,1)</f>
        <v>0</v>
      </c>
      <c r="X225" s="61">
        <f t="shared" ref="X225:X288" si="38">IF(AND(H225="ACC"),IF(K225="",1,0),0)</f>
        <v>0</v>
      </c>
      <c r="Y225" s="61">
        <f t="shared" ref="Y225:Y288" si="39">IF(AND(H225="ACC"),IF(M225="",1,0),0)</f>
        <v>0</v>
      </c>
      <c r="Z225" s="73"/>
      <c r="AA225" s="73"/>
      <c r="AB225" s="73"/>
      <c r="AC225" s="73"/>
      <c r="AD225" s="73"/>
      <c r="AE225" s="73"/>
      <c r="AF225" s="73"/>
      <c r="AG225" s="73"/>
      <c r="AH225" s="73"/>
      <c r="AI225" s="73"/>
      <c r="AJ225" s="73"/>
    </row>
    <row r="226" spans="2:36" ht="15" customHeight="1">
      <c r="B226" s="67"/>
      <c r="C226" s="225"/>
      <c r="D226" s="225"/>
      <c r="E226" s="68"/>
      <c r="F226" s="68"/>
      <c r="G226" s="69"/>
      <c r="H226" s="69"/>
      <c r="I226" s="72"/>
      <c r="J226" s="71"/>
      <c r="K226" s="68"/>
      <c r="L226" s="68"/>
      <c r="M226" s="68"/>
      <c r="N226" s="68"/>
      <c r="O226" s="68"/>
      <c r="P226" s="61">
        <f t="shared" si="30"/>
        <v>0</v>
      </c>
      <c r="Q226" s="61">
        <f t="shared" si="31"/>
        <v>0</v>
      </c>
      <c r="R226" s="61">
        <f t="shared" si="32"/>
        <v>0</v>
      </c>
      <c r="S226" s="61">
        <f t="shared" si="33"/>
        <v>0</v>
      </c>
      <c r="T226" s="61">
        <f t="shared" si="34"/>
        <v>0</v>
      </c>
      <c r="U226" s="61">
        <f t="shared" si="35"/>
        <v>0</v>
      </c>
      <c r="V226" s="61">
        <f t="shared" si="36"/>
        <v>0</v>
      </c>
      <c r="W226" s="61">
        <f t="shared" si="37"/>
        <v>0</v>
      </c>
      <c r="X226" s="61">
        <f t="shared" si="38"/>
        <v>0</v>
      </c>
      <c r="Y226" s="61">
        <f t="shared" si="39"/>
        <v>0</v>
      </c>
      <c r="Z226" s="73"/>
      <c r="AA226" s="73"/>
      <c r="AB226" s="73"/>
      <c r="AC226" s="73"/>
      <c r="AD226" s="73"/>
      <c r="AE226" s="73"/>
      <c r="AF226" s="73"/>
      <c r="AG226" s="73"/>
      <c r="AH226" s="73"/>
      <c r="AI226" s="73"/>
      <c r="AJ226" s="73"/>
    </row>
    <row r="227" spans="2:36" ht="15" customHeight="1">
      <c r="B227" s="67"/>
      <c r="C227" s="225"/>
      <c r="D227" s="225"/>
      <c r="E227" s="68"/>
      <c r="F227" s="68"/>
      <c r="G227" s="69"/>
      <c r="H227" s="69"/>
      <c r="I227" s="72"/>
      <c r="J227" s="71"/>
      <c r="K227" s="68"/>
      <c r="L227" s="68"/>
      <c r="M227" s="68"/>
      <c r="N227" s="68"/>
      <c r="O227" s="68"/>
      <c r="P227" s="61">
        <f t="shared" si="30"/>
        <v>0</v>
      </c>
      <c r="Q227" s="61">
        <f t="shared" si="31"/>
        <v>0</v>
      </c>
      <c r="R227" s="61">
        <f t="shared" si="32"/>
        <v>0</v>
      </c>
      <c r="S227" s="61">
        <f t="shared" si="33"/>
        <v>0</v>
      </c>
      <c r="T227" s="61">
        <f t="shared" si="34"/>
        <v>0</v>
      </c>
      <c r="U227" s="61">
        <f t="shared" si="35"/>
        <v>0</v>
      </c>
      <c r="V227" s="61">
        <f t="shared" si="36"/>
        <v>0</v>
      </c>
      <c r="W227" s="61">
        <f t="shared" si="37"/>
        <v>0</v>
      </c>
      <c r="X227" s="61">
        <f t="shared" si="38"/>
        <v>0</v>
      </c>
      <c r="Y227" s="61">
        <f t="shared" si="39"/>
        <v>0</v>
      </c>
      <c r="Z227" s="73"/>
      <c r="AA227" s="73"/>
      <c r="AB227" s="73"/>
      <c r="AC227" s="73"/>
      <c r="AD227" s="73"/>
      <c r="AE227" s="73"/>
      <c r="AF227" s="73"/>
      <c r="AG227" s="73"/>
      <c r="AH227" s="73"/>
      <c r="AI227" s="73"/>
      <c r="AJ227" s="73"/>
    </row>
    <row r="228" spans="2:36" ht="15" customHeight="1">
      <c r="B228" s="67"/>
      <c r="C228" s="225"/>
      <c r="D228" s="225"/>
      <c r="E228" s="68"/>
      <c r="F228" s="68"/>
      <c r="G228" s="69"/>
      <c r="H228" s="69"/>
      <c r="I228" s="72"/>
      <c r="J228" s="71"/>
      <c r="K228" s="68"/>
      <c r="L228" s="68"/>
      <c r="M228" s="68"/>
      <c r="N228" s="68"/>
      <c r="O228" s="68"/>
      <c r="P228" s="61">
        <f t="shared" si="30"/>
        <v>0</v>
      </c>
      <c r="Q228" s="61">
        <f t="shared" si="31"/>
        <v>0</v>
      </c>
      <c r="R228" s="61">
        <f t="shared" si="32"/>
        <v>0</v>
      </c>
      <c r="S228" s="61">
        <f t="shared" si="33"/>
        <v>0</v>
      </c>
      <c r="T228" s="61">
        <f t="shared" si="34"/>
        <v>0</v>
      </c>
      <c r="U228" s="61">
        <f t="shared" si="35"/>
        <v>0</v>
      </c>
      <c r="V228" s="61">
        <f t="shared" si="36"/>
        <v>0</v>
      </c>
      <c r="W228" s="61">
        <f t="shared" si="37"/>
        <v>0</v>
      </c>
      <c r="X228" s="61">
        <f t="shared" si="38"/>
        <v>0</v>
      </c>
      <c r="Y228" s="61">
        <f t="shared" si="39"/>
        <v>0</v>
      </c>
      <c r="Z228" s="73"/>
      <c r="AA228" s="73"/>
      <c r="AB228" s="73"/>
      <c r="AC228" s="73"/>
      <c r="AD228" s="73"/>
      <c r="AE228" s="73"/>
      <c r="AF228" s="73"/>
      <c r="AG228" s="73"/>
      <c r="AH228" s="73"/>
      <c r="AI228" s="73"/>
      <c r="AJ228" s="73"/>
    </row>
    <row r="229" spans="2:36" ht="15" customHeight="1">
      <c r="B229" s="67"/>
      <c r="C229" s="225"/>
      <c r="D229" s="225"/>
      <c r="E229" s="68"/>
      <c r="F229" s="68"/>
      <c r="G229" s="69"/>
      <c r="H229" s="69"/>
      <c r="I229" s="72"/>
      <c r="J229" s="71"/>
      <c r="K229" s="68"/>
      <c r="L229" s="68"/>
      <c r="M229" s="68"/>
      <c r="N229" s="68"/>
      <c r="O229" s="68"/>
      <c r="P229" s="61">
        <f t="shared" si="30"/>
        <v>0</v>
      </c>
      <c r="Q229" s="61">
        <f t="shared" si="31"/>
        <v>0</v>
      </c>
      <c r="R229" s="61">
        <f t="shared" si="32"/>
        <v>0</v>
      </c>
      <c r="S229" s="61">
        <f t="shared" si="33"/>
        <v>0</v>
      </c>
      <c r="T229" s="61">
        <f t="shared" si="34"/>
        <v>0</v>
      </c>
      <c r="U229" s="61">
        <f t="shared" si="35"/>
        <v>0</v>
      </c>
      <c r="V229" s="61">
        <f t="shared" si="36"/>
        <v>0</v>
      </c>
      <c r="W229" s="61">
        <f t="shared" si="37"/>
        <v>0</v>
      </c>
      <c r="X229" s="61">
        <f t="shared" si="38"/>
        <v>0</v>
      </c>
      <c r="Y229" s="61">
        <f t="shared" si="39"/>
        <v>0</v>
      </c>
      <c r="Z229" s="73"/>
      <c r="AA229" s="73"/>
      <c r="AB229" s="73"/>
      <c r="AC229" s="73"/>
      <c r="AD229" s="73"/>
      <c r="AE229" s="73"/>
      <c r="AF229" s="73"/>
      <c r="AG229" s="73"/>
      <c r="AH229" s="73"/>
      <c r="AI229" s="73"/>
      <c r="AJ229" s="73"/>
    </row>
    <row r="230" spans="2:36" ht="15" customHeight="1">
      <c r="B230" s="67"/>
      <c r="C230" s="225"/>
      <c r="D230" s="225"/>
      <c r="E230" s="68"/>
      <c r="F230" s="68"/>
      <c r="G230" s="69"/>
      <c r="H230" s="69"/>
      <c r="I230" s="72"/>
      <c r="J230" s="71"/>
      <c r="K230" s="68"/>
      <c r="L230" s="68"/>
      <c r="M230" s="68"/>
      <c r="N230" s="68"/>
      <c r="O230" s="68"/>
      <c r="P230" s="61">
        <f t="shared" si="30"/>
        <v>0</v>
      </c>
      <c r="Q230" s="61">
        <f t="shared" si="31"/>
        <v>0</v>
      </c>
      <c r="R230" s="61">
        <f t="shared" si="32"/>
        <v>0</v>
      </c>
      <c r="S230" s="61">
        <f t="shared" si="33"/>
        <v>0</v>
      </c>
      <c r="T230" s="61">
        <f t="shared" si="34"/>
        <v>0</v>
      </c>
      <c r="U230" s="61">
        <f t="shared" si="35"/>
        <v>0</v>
      </c>
      <c r="V230" s="61">
        <f t="shared" si="36"/>
        <v>0</v>
      </c>
      <c r="W230" s="61">
        <f t="shared" si="37"/>
        <v>0</v>
      </c>
      <c r="X230" s="61">
        <f t="shared" si="38"/>
        <v>0</v>
      </c>
      <c r="Y230" s="61">
        <f t="shared" si="39"/>
        <v>0</v>
      </c>
      <c r="Z230" s="73"/>
      <c r="AA230" s="73"/>
      <c r="AB230" s="73"/>
      <c r="AC230" s="73"/>
      <c r="AD230" s="73"/>
      <c r="AE230" s="73"/>
      <c r="AF230" s="73"/>
      <c r="AG230" s="73"/>
      <c r="AH230" s="73"/>
      <c r="AI230" s="73"/>
      <c r="AJ230" s="73"/>
    </row>
    <row r="231" spans="2:36" ht="15" customHeight="1">
      <c r="B231" s="67"/>
      <c r="C231" s="225"/>
      <c r="D231" s="225"/>
      <c r="E231" s="68"/>
      <c r="F231" s="68"/>
      <c r="G231" s="69"/>
      <c r="H231" s="69"/>
      <c r="I231" s="72"/>
      <c r="J231" s="71"/>
      <c r="K231" s="68"/>
      <c r="L231" s="68"/>
      <c r="M231" s="68"/>
      <c r="N231" s="68"/>
      <c r="O231" s="68"/>
      <c r="P231" s="61">
        <f t="shared" si="30"/>
        <v>0</v>
      </c>
      <c r="Q231" s="61">
        <f t="shared" si="31"/>
        <v>0</v>
      </c>
      <c r="R231" s="61">
        <f t="shared" si="32"/>
        <v>0</v>
      </c>
      <c r="S231" s="61">
        <f t="shared" si="33"/>
        <v>0</v>
      </c>
      <c r="T231" s="61">
        <f t="shared" si="34"/>
        <v>0</v>
      </c>
      <c r="U231" s="61">
        <f t="shared" si="35"/>
        <v>0</v>
      </c>
      <c r="V231" s="61">
        <f t="shared" si="36"/>
        <v>0</v>
      </c>
      <c r="W231" s="61">
        <f t="shared" si="37"/>
        <v>0</v>
      </c>
      <c r="X231" s="61">
        <f t="shared" si="38"/>
        <v>0</v>
      </c>
      <c r="Y231" s="61">
        <f t="shared" si="39"/>
        <v>0</v>
      </c>
      <c r="Z231" s="73"/>
      <c r="AA231" s="73"/>
      <c r="AB231" s="73"/>
      <c r="AC231" s="73"/>
      <c r="AD231" s="73"/>
      <c r="AE231" s="73"/>
      <c r="AF231" s="73"/>
      <c r="AG231" s="73"/>
      <c r="AH231" s="73"/>
      <c r="AI231" s="73"/>
      <c r="AJ231" s="73"/>
    </row>
    <row r="232" spans="2:36" ht="15" customHeight="1">
      <c r="B232" s="67"/>
      <c r="C232" s="225"/>
      <c r="D232" s="225"/>
      <c r="E232" s="68"/>
      <c r="F232" s="68"/>
      <c r="G232" s="69"/>
      <c r="H232" s="69"/>
      <c r="I232" s="72"/>
      <c r="J232" s="71"/>
      <c r="K232" s="68"/>
      <c r="L232" s="68"/>
      <c r="M232" s="68"/>
      <c r="N232" s="68"/>
      <c r="O232" s="68"/>
      <c r="P232" s="61">
        <f t="shared" si="30"/>
        <v>0</v>
      </c>
      <c r="Q232" s="61">
        <f t="shared" si="31"/>
        <v>0</v>
      </c>
      <c r="R232" s="61">
        <f t="shared" si="32"/>
        <v>0</v>
      </c>
      <c r="S232" s="61">
        <f t="shared" si="33"/>
        <v>0</v>
      </c>
      <c r="T232" s="61">
        <f t="shared" si="34"/>
        <v>0</v>
      </c>
      <c r="U232" s="61">
        <f t="shared" si="35"/>
        <v>0</v>
      </c>
      <c r="V232" s="61">
        <f t="shared" si="36"/>
        <v>0</v>
      </c>
      <c r="W232" s="61">
        <f t="shared" si="37"/>
        <v>0</v>
      </c>
      <c r="X232" s="61">
        <f t="shared" si="38"/>
        <v>0</v>
      </c>
      <c r="Y232" s="61">
        <f t="shared" si="39"/>
        <v>0</v>
      </c>
      <c r="Z232" s="73"/>
      <c r="AA232" s="73"/>
      <c r="AB232" s="73"/>
      <c r="AC232" s="73"/>
      <c r="AD232" s="73"/>
      <c r="AE232" s="73"/>
      <c r="AF232" s="73"/>
      <c r="AG232" s="73"/>
      <c r="AH232" s="73"/>
      <c r="AI232" s="73"/>
      <c r="AJ232" s="73"/>
    </row>
    <row r="233" spans="2:36" ht="15" customHeight="1">
      <c r="B233" s="67"/>
      <c r="C233" s="225"/>
      <c r="D233" s="225"/>
      <c r="E233" s="68"/>
      <c r="F233" s="68"/>
      <c r="G233" s="69"/>
      <c r="H233" s="69"/>
      <c r="I233" s="72"/>
      <c r="J233" s="71"/>
      <c r="K233" s="68"/>
      <c r="L233" s="68"/>
      <c r="M233" s="68"/>
      <c r="N233" s="68"/>
      <c r="O233" s="68"/>
      <c r="P233" s="61">
        <f t="shared" si="30"/>
        <v>0</v>
      </c>
      <c r="Q233" s="61">
        <f t="shared" si="31"/>
        <v>0</v>
      </c>
      <c r="R233" s="61">
        <f t="shared" si="32"/>
        <v>0</v>
      </c>
      <c r="S233" s="61">
        <f t="shared" si="33"/>
        <v>0</v>
      </c>
      <c r="T233" s="61">
        <f t="shared" si="34"/>
        <v>0</v>
      </c>
      <c r="U233" s="61">
        <f t="shared" si="35"/>
        <v>0</v>
      </c>
      <c r="V233" s="61">
        <f t="shared" si="36"/>
        <v>0</v>
      </c>
      <c r="W233" s="61">
        <f t="shared" si="37"/>
        <v>0</v>
      </c>
      <c r="X233" s="61">
        <f t="shared" si="38"/>
        <v>0</v>
      </c>
      <c r="Y233" s="61">
        <f t="shared" si="39"/>
        <v>0</v>
      </c>
      <c r="Z233" s="73"/>
      <c r="AA233" s="73"/>
      <c r="AB233" s="73"/>
      <c r="AC233" s="73"/>
      <c r="AD233" s="73"/>
      <c r="AE233" s="73"/>
      <c r="AF233" s="73"/>
      <c r="AG233" s="73"/>
      <c r="AH233" s="73"/>
      <c r="AI233" s="73"/>
      <c r="AJ233" s="73"/>
    </row>
    <row r="234" spans="2:36">
      <c r="B234" s="67"/>
      <c r="C234" s="225"/>
      <c r="D234" s="225"/>
      <c r="E234" s="68"/>
      <c r="F234" s="68"/>
      <c r="G234" s="69"/>
      <c r="H234" s="69"/>
      <c r="I234" s="72"/>
      <c r="J234" s="71"/>
      <c r="K234" s="68"/>
      <c r="L234" s="68"/>
      <c r="M234" s="68"/>
      <c r="N234" s="68"/>
      <c r="O234" s="68"/>
      <c r="P234" s="61">
        <f t="shared" si="30"/>
        <v>0</v>
      </c>
      <c r="Q234" s="61">
        <f t="shared" si="31"/>
        <v>0</v>
      </c>
      <c r="R234" s="61">
        <f t="shared" si="32"/>
        <v>0</v>
      </c>
      <c r="S234" s="61">
        <f t="shared" si="33"/>
        <v>0</v>
      </c>
      <c r="T234" s="61">
        <f t="shared" si="34"/>
        <v>0</v>
      </c>
      <c r="U234" s="61">
        <f t="shared" si="35"/>
        <v>0</v>
      </c>
      <c r="V234" s="61">
        <f t="shared" si="36"/>
        <v>0</v>
      </c>
      <c r="W234" s="61">
        <f t="shared" si="37"/>
        <v>0</v>
      </c>
      <c r="X234" s="61">
        <f t="shared" si="38"/>
        <v>0</v>
      </c>
      <c r="Y234" s="61">
        <f t="shared" si="39"/>
        <v>0</v>
      </c>
      <c r="Z234" s="73"/>
      <c r="AA234" s="73"/>
      <c r="AB234" s="73"/>
      <c r="AC234" s="73"/>
      <c r="AD234" s="73"/>
      <c r="AE234" s="73"/>
      <c r="AF234" s="73"/>
      <c r="AG234" s="73"/>
      <c r="AH234" s="73"/>
      <c r="AI234" s="73"/>
      <c r="AJ234" s="73"/>
    </row>
    <row r="235" spans="2:36">
      <c r="B235" s="67"/>
      <c r="C235" s="225"/>
      <c r="D235" s="225"/>
      <c r="E235" s="68"/>
      <c r="F235" s="68"/>
      <c r="G235" s="69"/>
      <c r="H235" s="69"/>
      <c r="I235" s="72"/>
      <c r="J235" s="71"/>
      <c r="K235" s="68"/>
      <c r="L235" s="68"/>
      <c r="M235" s="68"/>
      <c r="N235" s="68"/>
      <c r="O235" s="68"/>
      <c r="P235" s="61">
        <f t="shared" si="30"/>
        <v>0</v>
      </c>
      <c r="Q235" s="61">
        <f t="shared" si="31"/>
        <v>0</v>
      </c>
      <c r="R235" s="61">
        <f t="shared" si="32"/>
        <v>0</v>
      </c>
      <c r="S235" s="61">
        <f t="shared" si="33"/>
        <v>0</v>
      </c>
      <c r="T235" s="61">
        <f t="shared" si="34"/>
        <v>0</v>
      </c>
      <c r="U235" s="61">
        <f t="shared" si="35"/>
        <v>0</v>
      </c>
      <c r="V235" s="61">
        <f t="shared" si="36"/>
        <v>0</v>
      </c>
      <c r="W235" s="61">
        <f t="shared" si="37"/>
        <v>0</v>
      </c>
      <c r="X235" s="61">
        <f t="shared" si="38"/>
        <v>0</v>
      </c>
      <c r="Y235" s="61">
        <f t="shared" si="39"/>
        <v>0</v>
      </c>
      <c r="Z235" s="73"/>
      <c r="AA235" s="73"/>
      <c r="AB235" s="73"/>
      <c r="AC235" s="73"/>
      <c r="AD235" s="73"/>
      <c r="AE235" s="73"/>
      <c r="AF235" s="73"/>
      <c r="AG235" s="73"/>
      <c r="AH235" s="73"/>
      <c r="AI235" s="73"/>
      <c r="AJ235" s="73"/>
    </row>
    <row r="236" spans="2:36">
      <c r="B236" s="67"/>
      <c r="C236" s="225"/>
      <c r="D236" s="225"/>
      <c r="E236" s="68"/>
      <c r="F236" s="68"/>
      <c r="G236" s="69"/>
      <c r="H236" s="69"/>
      <c r="I236" s="72"/>
      <c r="J236" s="71"/>
      <c r="K236" s="68"/>
      <c r="L236" s="68"/>
      <c r="M236" s="68"/>
      <c r="N236" s="68"/>
      <c r="O236" s="68"/>
      <c r="P236" s="61">
        <f t="shared" si="30"/>
        <v>0</v>
      </c>
      <c r="Q236" s="61">
        <f t="shared" si="31"/>
        <v>0</v>
      </c>
      <c r="R236" s="61">
        <f t="shared" si="32"/>
        <v>0</v>
      </c>
      <c r="S236" s="61">
        <f t="shared" si="33"/>
        <v>0</v>
      </c>
      <c r="T236" s="61">
        <f t="shared" si="34"/>
        <v>0</v>
      </c>
      <c r="U236" s="61">
        <f t="shared" si="35"/>
        <v>0</v>
      </c>
      <c r="V236" s="61">
        <f t="shared" si="36"/>
        <v>0</v>
      </c>
      <c r="W236" s="61">
        <f t="shared" si="37"/>
        <v>0</v>
      </c>
      <c r="X236" s="61">
        <f t="shared" si="38"/>
        <v>0</v>
      </c>
      <c r="Y236" s="61">
        <f t="shared" si="39"/>
        <v>0</v>
      </c>
      <c r="Z236" s="73"/>
      <c r="AA236" s="73"/>
      <c r="AB236" s="73"/>
      <c r="AC236" s="73"/>
      <c r="AD236" s="73"/>
      <c r="AE236" s="73"/>
      <c r="AF236" s="73"/>
      <c r="AG236" s="73"/>
      <c r="AH236" s="73"/>
      <c r="AI236" s="73"/>
      <c r="AJ236" s="73"/>
    </row>
    <row r="237" spans="2:36">
      <c r="B237" s="67"/>
      <c r="C237" s="225"/>
      <c r="D237" s="225"/>
      <c r="E237" s="68"/>
      <c r="F237" s="68"/>
      <c r="G237" s="69"/>
      <c r="H237" s="69"/>
      <c r="I237" s="72"/>
      <c r="J237" s="71"/>
      <c r="K237" s="68"/>
      <c r="L237" s="68"/>
      <c r="M237" s="68"/>
      <c r="N237" s="68"/>
      <c r="O237" s="68"/>
      <c r="P237" s="61">
        <f t="shared" si="30"/>
        <v>0</v>
      </c>
      <c r="Q237" s="61">
        <f t="shared" si="31"/>
        <v>0</v>
      </c>
      <c r="R237" s="61">
        <f t="shared" si="32"/>
        <v>0</v>
      </c>
      <c r="S237" s="61">
        <f t="shared" si="33"/>
        <v>0</v>
      </c>
      <c r="T237" s="61">
        <f t="shared" si="34"/>
        <v>0</v>
      </c>
      <c r="U237" s="61">
        <f t="shared" si="35"/>
        <v>0</v>
      </c>
      <c r="V237" s="61">
        <f t="shared" si="36"/>
        <v>0</v>
      </c>
      <c r="W237" s="61">
        <f t="shared" si="37"/>
        <v>0</v>
      </c>
      <c r="X237" s="61">
        <f t="shared" si="38"/>
        <v>0</v>
      </c>
      <c r="Y237" s="61">
        <f t="shared" si="39"/>
        <v>0</v>
      </c>
      <c r="Z237" s="73"/>
      <c r="AA237" s="73"/>
      <c r="AB237" s="73"/>
      <c r="AC237" s="73"/>
      <c r="AD237" s="73"/>
      <c r="AE237" s="73"/>
      <c r="AF237" s="73"/>
      <c r="AG237" s="73"/>
      <c r="AH237" s="73"/>
      <c r="AI237" s="73"/>
      <c r="AJ237" s="73"/>
    </row>
    <row r="238" spans="2:36">
      <c r="B238" s="67"/>
      <c r="C238" s="225"/>
      <c r="D238" s="225"/>
      <c r="E238" s="68"/>
      <c r="F238" s="68"/>
      <c r="G238" s="69"/>
      <c r="H238" s="69"/>
      <c r="I238" s="72"/>
      <c r="J238" s="71"/>
      <c r="K238" s="68"/>
      <c r="L238" s="68"/>
      <c r="M238" s="68"/>
      <c r="N238" s="68"/>
      <c r="O238" s="68"/>
      <c r="P238" s="61">
        <f t="shared" si="30"/>
        <v>0</v>
      </c>
      <c r="Q238" s="61">
        <f t="shared" si="31"/>
        <v>0</v>
      </c>
      <c r="R238" s="61">
        <f t="shared" si="32"/>
        <v>0</v>
      </c>
      <c r="S238" s="61">
        <f t="shared" si="33"/>
        <v>0</v>
      </c>
      <c r="T238" s="61">
        <f t="shared" si="34"/>
        <v>0</v>
      </c>
      <c r="U238" s="61">
        <f t="shared" si="35"/>
        <v>0</v>
      </c>
      <c r="V238" s="61">
        <f t="shared" si="36"/>
        <v>0</v>
      </c>
      <c r="W238" s="61">
        <f t="shared" si="37"/>
        <v>0</v>
      </c>
      <c r="X238" s="61">
        <f t="shared" si="38"/>
        <v>0</v>
      </c>
      <c r="Y238" s="61">
        <f t="shared" si="39"/>
        <v>0</v>
      </c>
      <c r="Z238" s="73"/>
      <c r="AA238" s="73"/>
      <c r="AB238" s="73"/>
      <c r="AC238" s="73"/>
      <c r="AD238" s="73"/>
      <c r="AE238" s="73"/>
      <c r="AF238" s="73"/>
      <c r="AG238" s="73"/>
      <c r="AH238" s="73"/>
      <c r="AI238" s="73"/>
      <c r="AJ238" s="73"/>
    </row>
    <row r="239" spans="2:36">
      <c r="B239" s="67"/>
      <c r="C239" s="225"/>
      <c r="D239" s="225"/>
      <c r="E239" s="68"/>
      <c r="F239" s="68"/>
      <c r="G239" s="69"/>
      <c r="H239" s="69"/>
      <c r="I239" s="72"/>
      <c r="J239" s="71"/>
      <c r="K239" s="68"/>
      <c r="L239" s="68"/>
      <c r="M239" s="68"/>
      <c r="N239" s="68"/>
      <c r="O239" s="68"/>
      <c r="P239" s="61">
        <f t="shared" si="30"/>
        <v>0</v>
      </c>
      <c r="Q239" s="61">
        <f t="shared" si="31"/>
        <v>0</v>
      </c>
      <c r="R239" s="61">
        <f t="shared" si="32"/>
        <v>0</v>
      </c>
      <c r="S239" s="61">
        <f t="shared" si="33"/>
        <v>0</v>
      </c>
      <c r="T239" s="61">
        <f t="shared" si="34"/>
        <v>0</v>
      </c>
      <c r="U239" s="61">
        <f t="shared" si="35"/>
        <v>0</v>
      </c>
      <c r="V239" s="61">
        <f t="shared" si="36"/>
        <v>0</v>
      </c>
      <c r="W239" s="61">
        <f t="shared" si="37"/>
        <v>0</v>
      </c>
      <c r="X239" s="61">
        <f t="shared" si="38"/>
        <v>0</v>
      </c>
      <c r="Y239" s="61">
        <f t="shared" si="39"/>
        <v>0</v>
      </c>
      <c r="Z239" s="73"/>
      <c r="AA239" s="73"/>
      <c r="AB239" s="73"/>
      <c r="AC239" s="73"/>
      <c r="AD239" s="73"/>
      <c r="AE239" s="73"/>
      <c r="AF239" s="73"/>
      <c r="AG239" s="73"/>
      <c r="AH239" s="73"/>
      <c r="AI239" s="73"/>
      <c r="AJ239" s="73"/>
    </row>
    <row r="240" spans="2:36">
      <c r="B240" s="67"/>
      <c r="C240" s="225"/>
      <c r="D240" s="225"/>
      <c r="E240" s="68"/>
      <c r="F240" s="68"/>
      <c r="G240" s="69"/>
      <c r="H240" s="69"/>
      <c r="I240" s="72"/>
      <c r="J240" s="71"/>
      <c r="K240" s="68"/>
      <c r="L240" s="68"/>
      <c r="M240" s="68"/>
      <c r="N240" s="68"/>
      <c r="O240" s="68"/>
      <c r="P240" s="61">
        <f t="shared" si="30"/>
        <v>0</v>
      </c>
      <c r="Q240" s="61">
        <f t="shared" si="31"/>
        <v>0</v>
      </c>
      <c r="R240" s="61">
        <f t="shared" si="32"/>
        <v>0</v>
      </c>
      <c r="S240" s="61">
        <f t="shared" si="33"/>
        <v>0</v>
      </c>
      <c r="T240" s="61">
        <f t="shared" si="34"/>
        <v>0</v>
      </c>
      <c r="U240" s="61">
        <f t="shared" si="35"/>
        <v>0</v>
      </c>
      <c r="V240" s="61">
        <f t="shared" si="36"/>
        <v>0</v>
      </c>
      <c r="W240" s="61">
        <f t="shared" si="37"/>
        <v>0</v>
      </c>
      <c r="X240" s="61">
        <f t="shared" si="38"/>
        <v>0</v>
      </c>
      <c r="Y240" s="61">
        <f t="shared" si="39"/>
        <v>0</v>
      </c>
      <c r="Z240" s="73"/>
      <c r="AA240" s="73"/>
      <c r="AB240" s="73"/>
      <c r="AC240" s="73"/>
      <c r="AD240" s="73"/>
      <c r="AE240" s="73"/>
      <c r="AF240" s="73"/>
      <c r="AG240" s="73"/>
      <c r="AH240" s="73"/>
      <c r="AI240" s="73"/>
      <c r="AJ240" s="73"/>
    </row>
    <row r="241" spans="2:36">
      <c r="B241" s="67"/>
      <c r="C241" s="225"/>
      <c r="D241" s="225"/>
      <c r="E241" s="68"/>
      <c r="F241" s="68"/>
      <c r="G241" s="69"/>
      <c r="H241" s="69"/>
      <c r="I241" s="72"/>
      <c r="J241" s="71"/>
      <c r="K241" s="68"/>
      <c r="L241" s="68"/>
      <c r="M241" s="68"/>
      <c r="N241" s="68"/>
      <c r="O241" s="68"/>
      <c r="P241" s="61">
        <f t="shared" si="30"/>
        <v>0</v>
      </c>
      <c r="Q241" s="61">
        <f t="shared" si="31"/>
        <v>0</v>
      </c>
      <c r="R241" s="61">
        <f t="shared" si="32"/>
        <v>0</v>
      </c>
      <c r="S241" s="61">
        <f t="shared" si="33"/>
        <v>0</v>
      </c>
      <c r="T241" s="61">
        <f t="shared" si="34"/>
        <v>0</v>
      </c>
      <c r="U241" s="61">
        <f t="shared" si="35"/>
        <v>0</v>
      </c>
      <c r="V241" s="61">
        <f t="shared" si="36"/>
        <v>0</v>
      </c>
      <c r="W241" s="61">
        <f t="shared" si="37"/>
        <v>0</v>
      </c>
      <c r="X241" s="61">
        <f t="shared" si="38"/>
        <v>0</v>
      </c>
      <c r="Y241" s="61">
        <f t="shared" si="39"/>
        <v>0</v>
      </c>
      <c r="Z241" s="73"/>
      <c r="AA241" s="73"/>
      <c r="AB241" s="73"/>
      <c r="AC241" s="73"/>
      <c r="AD241" s="73"/>
      <c r="AE241" s="73"/>
      <c r="AF241" s="73"/>
      <c r="AG241" s="73"/>
      <c r="AH241" s="73"/>
      <c r="AI241" s="73"/>
      <c r="AJ241" s="73"/>
    </row>
    <row r="242" spans="2:36">
      <c r="B242" s="67"/>
      <c r="C242" s="225"/>
      <c r="D242" s="225"/>
      <c r="E242" s="68"/>
      <c r="F242" s="68"/>
      <c r="G242" s="69"/>
      <c r="H242" s="69"/>
      <c r="I242" s="72"/>
      <c r="J242" s="71"/>
      <c r="K242" s="68"/>
      <c r="L242" s="68"/>
      <c r="M242" s="68"/>
      <c r="N242" s="68"/>
      <c r="O242" s="68"/>
      <c r="P242" s="61">
        <f t="shared" si="30"/>
        <v>0</v>
      </c>
      <c r="Q242" s="61">
        <f t="shared" si="31"/>
        <v>0</v>
      </c>
      <c r="R242" s="61">
        <f t="shared" si="32"/>
        <v>0</v>
      </c>
      <c r="S242" s="61">
        <f t="shared" si="33"/>
        <v>0</v>
      </c>
      <c r="T242" s="61">
        <f t="shared" si="34"/>
        <v>0</v>
      </c>
      <c r="U242" s="61">
        <f t="shared" si="35"/>
        <v>0</v>
      </c>
      <c r="V242" s="61">
        <f t="shared" si="36"/>
        <v>0</v>
      </c>
      <c r="W242" s="61">
        <f t="shared" si="37"/>
        <v>0</v>
      </c>
      <c r="X242" s="61">
        <f t="shared" si="38"/>
        <v>0</v>
      </c>
      <c r="Y242" s="61">
        <f t="shared" si="39"/>
        <v>0</v>
      </c>
      <c r="Z242" s="73"/>
      <c r="AA242" s="73"/>
      <c r="AB242" s="73"/>
      <c r="AC242" s="73"/>
      <c r="AD242" s="73"/>
      <c r="AE242" s="73"/>
      <c r="AF242" s="73"/>
      <c r="AG242" s="73"/>
      <c r="AH242" s="73"/>
      <c r="AI242" s="73"/>
      <c r="AJ242" s="73"/>
    </row>
    <row r="243" spans="2:36">
      <c r="B243" s="67"/>
      <c r="C243" s="225"/>
      <c r="D243" s="225"/>
      <c r="E243" s="68"/>
      <c r="F243" s="68"/>
      <c r="G243" s="69"/>
      <c r="H243" s="69"/>
      <c r="I243" s="72"/>
      <c r="J243" s="71"/>
      <c r="K243" s="68"/>
      <c r="L243" s="68"/>
      <c r="M243" s="68"/>
      <c r="N243" s="68"/>
      <c r="O243" s="68"/>
      <c r="P243" s="61">
        <f t="shared" si="30"/>
        <v>0</v>
      </c>
      <c r="Q243" s="61">
        <f t="shared" si="31"/>
        <v>0</v>
      </c>
      <c r="R243" s="61">
        <f t="shared" si="32"/>
        <v>0</v>
      </c>
      <c r="S243" s="61">
        <f t="shared" si="33"/>
        <v>0</v>
      </c>
      <c r="T243" s="61">
        <f t="shared" si="34"/>
        <v>0</v>
      </c>
      <c r="U243" s="61">
        <f t="shared" si="35"/>
        <v>0</v>
      </c>
      <c r="V243" s="61">
        <f t="shared" si="36"/>
        <v>0</v>
      </c>
      <c r="W243" s="61">
        <f t="shared" si="37"/>
        <v>0</v>
      </c>
      <c r="X243" s="61">
        <f t="shared" si="38"/>
        <v>0</v>
      </c>
      <c r="Y243" s="61">
        <f t="shared" si="39"/>
        <v>0</v>
      </c>
      <c r="Z243" s="73"/>
      <c r="AA243" s="73"/>
      <c r="AB243" s="73"/>
      <c r="AC243" s="73"/>
      <c r="AD243" s="73"/>
      <c r="AE243" s="73"/>
      <c r="AF243" s="73"/>
      <c r="AG243" s="73"/>
      <c r="AH243" s="73"/>
      <c r="AI243" s="73"/>
      <c r="AJ243" s="73"/>
    </row>
    <row r="244" spans="2:36">
      <c r="B244" s="67"/>
      <c r="C244" s="225"/>
      <c r="D244" s="225"/>
      <c r="E244" s="68"/>
      <c r="F244" s="68"/>
      <c r="G244" s="69"/>
      <c r="H244" s="69"/>
      <c r="I244" s="72"/>
      <c r="J244" s="71"/>
      <c r="K244" s="68"/>
      <c r="L244" s="68"/>
      <c r="M244" s="68"/>
      <c r="N244" s="68"/>
      <c r="O244" s="68"/>
      <c r="P244" s="61">
        <f t="shared" si="30"/>
        <v>0</v>
      </c>
      <c r="Q244" s="61">
        <f t="shared" si="31"/>
        <v>0</v>
      </c>
      <c r="R244" s="61">
        <f t="shared" si="32"/>
        <v>0</v>
      </c>
      <c r="S244" s="61">
        <f t="shared" si="33"/>
        <v>0</v>
      </c>
      <c r="T244" s="61">
        <f t="shared" si="34"/>
        <v>0</v>
      </c>
      <c r="U244" s="61">
        <f t="shared" si="35"/>
        <v>0</v>
      </c>
      <c r="V244" s="61">
        <f t="shared" si="36"/>
        <v>0</v>
      </c>
      <c r="W244" s="61">
        <f t="shared" si="37"/>
        <v>0</v>
      </c>
      <c r="X244" s="61">
        <f t="shared" si="38"/>
        <v>0</v>
      </c>
      <c r="Y244" s="61">
        <f t="shared" si="39"/>
        <v>0</v>
      </c>
      <c r="Z244" s="73"/>
      <c r="AA244" s="73"/>
      <c r="AB244" s="73"/>
      <c r="AC244" s="73"/>
      <c r="AD244" s="73"/>
      <c r="AE244" s="73"/>
      <c r="AF244" s="73"/>
      <c r="AG244" s="73"/>
      <c r="AH244" s="73"/>
      <c r="AI244" s="73"/>
      <c r="AJ244" s="73"/>
    </row>
    <row r="245" spans="2:36">
      <c r="B245" s="67"/>
      <c r="C245" s="225"/>
      <c r="D245" s="225"/>
      <c r="E245" s="68"/>
      <c r="F245" s="68"/>
      <c r="G245" s="69"/>
      <c r="H245" s="69"/>
      <c r="I245" s="72"/>
      <c r="J245" s="71"/>
      <c r="K245" s="68"/>
      <c r="L245" s="68"/>
      <c r="M245" s="68"/>
      <c r="N245" s="68"/>
      <c r="O245" s="68"/>
      <c r="P245" s="61">
        <f t="shared" si="30"/>
        <v>0</v>
      </c>
      <c r="Q245" s="61">
        <f t="shared" si="31"/>
        <v>0</v>
      </c>
      <c r="R245" s="61">
        <f t="shared" si="32"/>
        <v>0</v>
      </c>
      <c r="S245" s="61">
        <f t="shared" si="33"/>
        <v>0</v>
      </c>
      <c r="T245" s="61">
        <f t="shared" si="34"/>
        <v>0</v>
      </c>
      <c r="U245" s="61">
        <f t="shared" si="35"/>
        <v>0</v>
      </c>
      <c r="V245" s="61">
        <f t="shared" si="36"/>
        <v>0</v>
      </c>
      <c r="W245" s="61">
        <f t="shared" si="37"/>
        <v>0</v>
      </c>
      <c r="X245" s="61">
        <f t="shared" si="38"/>
        <v>0</v>
      </c>
      <c r="Y245" s="61">
        <f t="shared" si="39"/>
        <v>0</v>
      </c>
      <c r="Z245" s="73"/>
      <c r="AA245" s="73"/>
      <c r="AB245" s="73"/>
      <c r="AC245" s="73"/>
      <c r="AD245" s="73"/>
      <c r="AE245" s="73"/>
      <c r="AF245" s="73"/>
      <c r="AG245" s="73"/>
      <c r="AH245" s="73"/>
      <c r="AI245" s="73"/>
      <c r="AJ245" s="73"/>
    </row>
    <row r="246" spans="2:36">
      <c r="B246" s="67"/>
      <c r="C246" s="225"/>
      <c r="D246" s="225"/>
      <c r="E246" s="68"/>
      <c r="F246" s="68"/>
      <c r="G246" s="69"/>
      <c r="H246" s="69"/>
      <c r="I246" s="72"/>
      <c r="J246" s="71"/>
      <c r="K246" s="68"/>
      <c r="L246" s="68"/>
      <c r="M246" s="68"/>
      <c r="N246" s="68"/>
      <c r="O246" s="68"/>
      <c r="P246" s="61">
        <f t="shared" si="30"/>
        <v>0</v>
      </c>
      <c r="Q246" s="61">
        <f t="shared" si="31"/>
        <v>0</v>
      </c>
      <c r="R246" s="61">
        <f t="shared" si="32"/>
        <v>0</v>
      </c>
      <c r="S246" s="61">
        <f t="shared" si="33"/>
        <v>0</v>
      </c>
      <c r="T246" s="61">
        <f t="shared" si="34"/>
        <v>0</v>
      </c>
      <c r="U246" s="61">
        <f t="shared" si="35"/>
        <v>0</v>
      </c>
      <c r="V246" s="61">
        <f t="shared" si="36"/>
        <v>0</v>
      </c>
      <c r="W246" s="61">
        <f t="shared" si="37"/>
        <v>0</v>
      </c>
      <c r="X246" s="61">
        <f t="shared" si="38"/>
        <v>0</v>
      </c>
      <c r="Y246" s="61">
        <f t="shared" si="39"/>
        <v>0</v>
      </c>
      <c r="Z246" s="73"/>
      <c r="AA246" s="73"/>
      <c r="AB246" s="73"/>
      <c r="AC246" s="73"/>
      <c r="AD246" s="73"/>
      <c r="AE246" s="73"/>
      <c r="AF246" s="73"/>
      <c r="AG246" s="73"/>
      <c r="AH246" s="73"/>
      <c r="AI246" s="73"/>
      <c r="AJ246" s="73"/>
    </row>
    <row r="247" spans="2:36">
      <c r="B247" s="67"/>
      <c r="C247" s="225"/>
      <c r="D247" s="225"/>
      <c r="E247" s="68"/>
      <c r="F247" s="68"/>
      <c r="G247" s="69"/>
      <c r="H247" s="69"/>
      <c r="I247" s="72"/>
      <c r="J247" s="71"/>
      <c r="K247" s="68"/>
      <c r="L247" s="68"/>
      <c r="M247" s="68"/>
      <c r="N247" s="68"/>
      <c r="O247" s="68"/>
      <c r="P247" s="61">
        <f t="shared" si="30"/>
        <v>0</v>
      </c>
      <c r="Q247" s="61">
        <f t="shared" si="31"/>
        <v>0</v>
      </c>
      <c r="R247" s="61">
        <f t="shared" si="32"/>
        <v>0</v>
      </c>
      <c r="S247" s="61">
        <f t="shared" si="33"/>
        <v>0</v>
      </c>
      <c r="T247" s="61">
        <f t="shared" si="34"/>
        <v>0</v>
      </c>
      <c r="U247" s="61">
        <f t="shared" si="35"/>
        <v>0</v>
      </c>
      <c r="V247" s="61">
        <f t="shared" si="36"/>
        <v>0</v>
      </c>
      <c r="W247" s="61">
        <f t="shared" si="37"/>
        <v>0</v>
      </c>
      <c r="X247" s="61">
        <f t="shared" si="38"/>
        <v>0</v>
      </c>
      <c r="Y247" s="61">
        <f t="shared" si="39"/>
        <v>0</v>
      </c>
      <c r="Z247" s="73"/>
      <c r="AA247" s="73"/>
      <c r="AB247" s="73"/>
      <c r="AC247" s="73"/>
      <c r="AD247" s="73"/>
      <c r="AE247" s="73"/>
      <c r="AF247" s="73"/>
      <c r="AG247" s="73"/>
      <c r="AH247" s="73"/>
      <c r="AI247" s="73"/>
      <c r="AJ247" s="73"/>
    </row>
    <row r="248" spans="2:36">
      <c r="B248" s="67"/>
      <c r="C248" s="225"/>
      <c r="D248" s="225"/>
      <c r="E248" s="68"/>
      <c r="F248" s="68"/>
      <c r="G248" s="69"/>
      <c r="H248" s="69"/>
      <c r="I248" s="72"/>
      <c r="J248" s="71"/>
      <c r="K248" s="68"/>
      <c r="L248" s="68"/>
      <c r="M248" s="68"/>
      <c r="N248" s="68"/>
      <c r="O248" s="68"/>
      <c r="P248" s="61">
        <f t="shared" si="30"/>
        <v>0</v>
      </c>
      <c r="Q248" s="61">
        <f t="shared" si="31"/>
        <v>0</v>
      </c>
      <c r="R248" s="61">
        <f t="shared" si="32"/>
        <v>0</v>
      </c>
      <c r="S248" s="61">
        <f t="shared" si="33"/>
        <v>0</v>
      </c>
      <c r="T248" s="61">
        <f t="shared" si="34"/>
        <v>0</v>
      </c>
      <c r="U248" s="61">
        <f t="shared" si="35"/>
        <v>0</v>
      </c>
      <c r="V248" s="61">
        <f t="shared" si="36"/>
        <v>0</v>
      </c>
      <c r="W248" s="61">
        <f t="shared" si="37"/>
        <v>0</v>
      </c>
      <c r="X248" s="61">
        <f t="shared" si="38"/>
        <v>0</v>
      </c>
      <c r="Y248" s="61">
        <f t="shared" si="39"/>
        <v>0</v>
      </c>
      <c r="Z248" s="73"/>
      <c r="AA248" s="73"/>
      <c r="AB248" s="73"/>
      <c r="AC248" s="73"/>
      <c r="AD248" s="73"/>
      <c r="AE248" s="73"/>
      <c r="AF248" s="73"/>
      <c r="AG248" s="73"/>
      <c r="AH248" s="73"/>
      <c r="AI248" s="73"/>
      <c r="AJ248" s="73"/>
    </row>
    <row r="249" spans="2:36">
      <c r="B249" s="67"/>
      <c r="C249" s="225"/>
      <c r="D249" s="225"/>
      <c r="E249" s="68"/>
      <c r="F249" s="68"/>
      <c r="G249" s="69"/>
      <c r="H249" s="69"/>
      <c r="I249" s="72"/>
      <c r="J249" s="71"/>
      <c r="K249" s="68"/>
      <c r="L249" s="68"/>
      <c r="M249" s="68"/>
      <c r="N249" s="68"/>
      <c r="O249" s="68"/>
      <c r="P249" s="61">
        <f t="shared" si="30"/>
        <v>0</v>
      </c>
      <c r="Q249" s="61">
        <f t="shared" si="31"/>
        <v>0</v>
      </c>
      <c r="R249" s="61">
        <f t="shared" si="32"/>
        <v>0</v>
      </c>
      <c r="S249" s="61">
        <f t="shared" si="33"/>
        <v>0</v>
      </c>
      <c r="T249" s="61">
        <f t="shared" si="34"/>
        <v>0</v>
      </c>
      <c r="U249" s="61">
        <f t="shared" si="35"/>
        <v>0</v>
      </c>
      <c r="V249" s="61">
        <f t="shared" si="36"/>
        <v>0</v>
      </c>
      <c r="W249" s="61">
        <f t="shared" si="37"/>
        <v>0</v>
      </c>
      <c r="X249" s="61">
        <f t="shared" si="38"/>
        <v>0</v>
      </c>
      <c r="Y249" s="61">
        <f t="shared" si="39"/>
        <v>0</v>
      </c>
      <c r="Z249" s="73"/>
      <c r="AA249" s="73"/>
      <c r="AB249" s="73"/>
      <c r="AC249" s="73"/>
      <c r="AD249" s="73"/>
      <c r="AE249" s="73"/>
      <c r="AF249" s="73"/>
      <c r="AG249" s="73"/>
      <c r="AH249" s="73"/>
      <c r="AI249" s="73"/>
      <c r="AJ249" s="73"/>
    </row>
    <row r="250" spans="2:36">
      <c r="B250" s="67"/>
      <c r="C250" s="225"/>
      <c r="D250" s="225"/>
      <c r="E250" s="68"/>
      <c r="F250" s="68"/>
      <c r="G250" s="69"/>
      <c r="H250" s="69"/>
      <c r="I250" s="72"/>
      <c r="J250" s="71"/>
      <c r="K250" s="68"/>
      <c r="L250" s="68"/>
      <c r="M250" s="68"/>
      <c r="N250" s="68"/>
      <c r="O250" s="68"/>
      <c r="P250" s="61">
        <f t="shared" si="30"/>
        <v>0</v>
      </c>
      <c r="Q250" s="61">
        <f t="shared" si="31"/>
        <v>0</v>
      </c>
      <c r="R250" s="61">
        <f t="shared" si="32"/>
        <v>0</v>
      </c>
      <c r="S250" s="61">
        <f t="shared" si="33"/>
        <v>0</v>
      </c>
      <c r="T250" s="61">
        <f t="shared" si="34"/>
        <v>0</v>
      </c>
      <c r="U250" s="61">
        <f t="shared" si="35"/>
        <v>0</v>
      </c>
      <c r="V250" s="61">
        <f t="shared" si="36"/>
        <v>0</v>
      </c>
      <c r="W250" s="61">
        <f t="shared" si="37"/>
        <v>0</v>
      </c>
      <c r="X250" s="61">
        <f t="shared" si="38"/>
        <v>0</v>
      </c>
      <c r="Y250" s="61">
        <f t="shared" si="39"/>
        <v>0</v>
      </c>
      <c r="Z250" s="73"/>
      <c r="AA250" s="73"/>
      <c r="AB250" s="73"/>
      <c r="AC250" s="73"/>
      <c r="AD250" s="73"/>
      <c r="AE250" s="73"/>
      <c r="AF250" s="73"/>
      <c r="AG250" s="73"/>
      <c r="AH250" s="73"/>
      <c r="AI250" s="73"/>
      <c r="AJ250" s="73"/>
    </row>
    <row r="251" spans="2:36">
      <c r="B251" s="67"/>
      <c r="C251" s="225"/>
      <c r="D251" s="225"/>
      <c r="E251" s="68"/>
      <c r="F251" s="68"/>
      <c r="G251" s="69"/>
      <c r="H251" s="69"/>
      <c r="I251" s="72"/>
      <c r="J251" s="71"/>
      <c r="K251" s="68"/>
      <c r="L251" s="68"/>
      <c r="M251" s="68"/>
      <c r="N251" s="68"/>
      <c r="O251" s="68"/>
      <c r="P251" s="61">
        <f t="shared" si="30"/>
        <v>0</v>
      </c>
      <c r="Q251" s="61">
        <f t="shared" si="31"/>
        <v>0</v>
      </c>
      <c r="R251" s="61">
        <f t="shared" si="32"/>
        <v>0</v>
      </c>
      <c r="S251" s="61">
        <f t="shared" si="33"/>
        <v>0</v>
      </c>
      <c r="T251" s="61">
        <f t="shared" si="34"/>
        <v>0</v>
      </c>
      <c r="U251" s="61">
        <f t="shared" si="35"/>
        <v>0</v>
      </c>
      <c r="V251" s="61">
        <f t="shared" si="36"/>
        <v>0</v>
      </c>
      <c r="W251" s="61">
        <f t="shared" si="37"/>
        <v>0</v>
      </c>
      <c r="X251" s="61">
        <f t="shared" si="38"/>
        <v>0</v>
      </c>
      <c r="Y251" s="61">
        <f t="shared" si="39"/>
        <v>0</v>
      </c>
      <c r="Z251" s="73"/>
      <c r="AA251" s="73"/>
      <c r="AB251" s="73"/>
      <c r="AC251" s="73"/>
      <c r="AD251" s="73"/>
      <c r="AE251" s="73"/>
      <c r="AF251" s="73"/>
      <c r="AG251" s="73"/>
      <c r="AH251" s="73"/>
      <c r="AI251" s="73"/>
      <c r="AJ251" s="73"/>
    </row>
    <row r="252" spans="2:36">
      <c r="B252" s="67"/>
      <c r="C252" s="225"/>
      <c r="D252" s="225"/>
      <c r="E252" s="68"/>
      <c r="F252" s="68"/>
      <c r="G252" s="69"/>
      <c r="H252" s="69"/>
      <c r="I252" s="72"/>
      <c r="J252" s="71"/>
      <c r="K252" s="68"/>
      <c r="L252" s="68"/>
      <c r="M252" s="68"/>
      <c r="N252" s="68"/>
      <c r="O252" s="68"/>
      <c r="P252" s="61">
        <f t="shared" si="30"/>
        <v>0</v>
      </c>
      <c r="Q252" s="61">
        <f t="shared" si="31"/>
        <v>0</v>
      </c>
      <c r="R252" s="61">
        <f t="shared" si="32"/>
        <v>0</v>
      </c>
      <c r="S252" s="61">
        <f t="shared" si="33"/>
        <v>0</v>
      </c>
      <c r="T252" s="61">
        <f t="shared" si="34"/>
        <v>0</v>
      </c>
      <c r="U252" s="61">
        <f t="shared" si="35"/>
        <v>0</v>
      </c>
      <c r="V252" s="61">
        <f t="shared" si="36"/>
        <v>0</v>
      </c>
      <c r="W252" s="61">
        <f t="shared" si="37"/>
        <v>0</v>
      </c>
      <c r="X252" s="61">
        <f t="shared" si="38"/>
        <v>0</v>
      </c>
      <c r="Y252" s="61">
        <f t="shared" si="39"/>
        <v>0</v>
      </c>
      <c r="Z252" s="73"/>
      <c r="AA252" s="73"/>
      <c r="AB252" s="73"/>
      <c r="AC252" s="73"/>
      <c r="AD252" s="73"/>
      <c r="AE252" s="73"/>
      <c r="AF252" s="73"/>
      <c r="AG252" s="73"/>
      <c r="AH252" s="73"/>
      <c r="AI252" s="73"/>
      <c r="AJ252" s="73"/>
    </row>
    <row r="253" spans="2:36">
      <c r="B253" s="67"/>
      <c r="C253" s="225"/>
      <c r="D253" s="225"/>
      <c r="E253" s="68"/>
      <c r="F253" s="68"/>
      <c r="G253" s="69"/>
      <c r="H253" s="69"/>
      <c r="I253" s="72"/>
      <c r="J253" s="71"/>
      <c r="K253" s="68"/>
      <c r="L253" s="68"/>
      <c r="M253" s="68"/>
      <c r="N253" s="68"/>
      <c r="O253" s="68"/>
      <c r="P253" s="61">
        <f t="shared" si="30"/>
        <v>0</v>
      </c>
      <c r="Q253" s="61">
        <f t="shared" si="31"/>
        <v>0</v>
      </c>
      <c r="R253" s="61">
        <f t="shared" si="32"/>
        <v>0</v>
      </c>
      <c r="S253" s="61">
        <f t="shared" si="33"/>
        <v>0</v>
      </c>
      <c r="T253" s="61">
        <f t="shared" si="34"/>
        <v>0</v>
      </c>
      <c r="U253" s="61">
        <f t="shared" si="35"/>
        <v>0</v>
      </c>
      <c r="V253" s="61">
        <f t="shared" si="36"/>
        <v>0</v>
      </c>
      <c r="W253" s="61">
        <f t="shared" si="37"/>
        <v>0</v>
      </c>
      <c r="X253" s="61">
        <f t="shared" si="38"/>
        <v>0</v>
      </c>
      <c r="Y253" s="61">
        <f t="shared" si="39"/>
        <v>0</v>
      </c>
      <c r="Z253" s="73"/>
      <c r="AA253" s="73"/>
      <c r="AB253" s="73"/>
      <c r="AC253" s="73"/>
      <c r="AD253" s="73"/>
      <c r="AE253" s="73"/>
      <c r="AF253" s="73"/>
      <c r="AG253" s="73"/>
      <c r="AH253" s="73"/>
      <c r="AI253" s="73"/>
      <c r="AJ253" s="73"/>
    </row>
    <row r="254" spans="2:36">
      <c r="B254" s="67"/>
      <c r="C254" s="225"/>
      <c r="D254" s="225"/>
      <c r="E254" s="68"/>
      <c r="F254" s="68"/>
      <c r="G254" s="69"/>
      <c r="H254" s="69"/>
      <c r="I254" s="72"/>
      <c r="J254" s="71"/>
      <c r="K254" s="68"/>
      <c r="L254" s="68"/>
      <c r="M254" s="68"/>
      <c r="N254" s="68"/>
      <c r="O254" s="68"/>
      <c r="P254" s="61">
        <f t="shared" si="30"/>
        <v>0</v>
      </c>
      <c r="Q254" s="61">
        <f t="shared" si="31"/>
        <v>0</v>
      </c>
      <c r="R254" s="61">
        <f t="shared" si="32"/>
        <v>0</v>
      </c>
      <c r="S254" s="61">
        <f t="shared" si="33"/>
        <v>0</v>
      </c>
      <c r="T254" s="61">
        <f t="shared" si="34"/>
        <v>0</v>
      </c>
      <c r="U254" s="61">
        <f t="shared" si="35"/>
        <v>0</v>
      </c>
      <c r="V254" s="61">
        <f t="shared" si="36"/>
        <v>0</v>
      </c>
      <c r="W254" s="61">
        <f t="shared" si="37"/>
        <v>0</v>
      </c>
      <c r="X254" s="61">
        <f t="shared" si="38"/>
        <v>0</v>
      </c>
      <c r="Y254" s="61">
        <f t="shared" si="39"/>
        <v>0</v>
      </c>
      <c r="Z254" s="73"/>
      <c r="AA254" s="73"/>
      <c r="AB254" s="73"/>
      <c r="AC254" s="73"/>
      <c r="AD254" s="73"/>
      <c r="AE254" s="73"/>
      <c r="AF254" s="73"/>
      <c r="AG254" s="73"/>
      <c r="AH254" s="73"/>
      <c r="AI254" s="73"/>
      <c r="AJ254" s="73"/>
    </row>
    <row r="255" spans="2:36">
      <c r="B255" s="67"/>
      <c r="C255" s="225"/>
      <c r="D255" s="225"/>
      <c r="E255" s="68"/>
      <c r="F255" s="68"/>
      <c r="G255" s="69"/>
      <c r="H255" s="69"/>
      <c r="I255" s="72"/>
      <c r="J255" s="71"/>
      <c r="K255" s="68"/>
      <c r="L255" s="68"/>
      <c r="M255" s="68"/>
      <c r="N255" s="68"/>
      <c r="O255" s="68"/>
      <c r="P255" s="61">
        <f t="shared" si="30"/>
        <v>0</v>
      </c>
      <c r="Q255" s="61">
        <f t="shared" si="31"/>
        <v>0</v>
      </c>
      <c r="R255" s="61">
        <f t="shared" si="32"/>
        <v>0</v>
      </c>
      <c r="S255" s="61">
        <f t="shared" si="33"/>
        <v>0</v>
      </c>
      <c r="T255" s="61">
        <f t="shared" si="34"/>
        <v>0</v>
      </c>
      <c r="U255" s="61">
        <f t="shared" si="35"/>
        <v>0</v>
      </c>
      <c r="V255" s="61">
        <f t="shared" si="36"/>
        <v>0</v>
      </c>
      <c r="W255" s="61">
        <f t="shared" si="37"/>
        <v>0</v>
      </c>
      <c r="X255" s="61">
        <f t="shared" si="38"/>
        <v>0</v>
      </c>
      <c r="Y255" s="61">
        <f t="shared" si="39"/>
        <v>0</v>
      </c>
      <c r="Z255" s="73"/>
      <c r="AA255" s="73"/>
      <c r="AB255" s="73"/>
      <c r="AC255" s="73"/>
      <c r="AD255" s="73"/>
      <c r="AE255" s="73"/>
      <c r="AF255" s="73"/>
      <c r="AG255" s="73"/>
      <c r="AH255" s="73"/>
      <c r="AI255" s="73"/>
      <c r="AJ255" s="73"/>
    </row>
    <row r="256" spans="2:36">
      <c r="B256" s="67"/>
      <c r="C256" s="225"/>
      <c r="D256" s="225"/>
      <c r="E256" s="68"/>
      <c r="F256" s="68"/>
      <c r="G256" s="69"/>
      <c r="H256" s="69"/>
      <c r="I256" s="72"/>
      <c r="J256" s="71"/>
      <c r="K256" s="68"/>
      <c r="L256" s="68"/>
      <c r="M256" s="68"/>
      <c r="N256" s="68"/>
      <c r="O256" s="68"/>
      <c r="P256" s="61">
        <f t="shared" si="30"/>
        <v>0</v>
      </c>
      <c r="Q256" s="61">
        <f t="shared" si="31"/>
        <v>0</v>
      </c>
      <c r="R256" s="61">
        <f t="shared" si="32"/>
        <v>0</v>
      </c>
      <c r="S256" s="61">
        <f t="shared" si="33"/>
        <v>0</v>
      </c>
      <c r="T256" s="61">
        <f t="shared" si="34"/>
        <v>0</v>
      </c>
      <c r="U256" s="61">
        <f t="shared" si="35"/>
        <v>0</v>
      </c>
      <c r="V256" s="61">
        <f t="shared" si="36"/>
        <v>0</v>
      </c>
      <c r="W256" s="61">
        <f t="shared" si="37"/>
        <v>0</v>
      </c>
      <c r="X256" s="61">
        <f t="shared" si="38"/>
        <v>0</v>
      </c>
      <c r="Y256" s="61">
        <f t="shared" si="39"/>
        <v>0</v>
      </c>
      <c r="Z256" s="73"/>
      <c r="AA256" s="73"/>
      <c r="AB256" s="73"/>
      <c r="AC256" s="73"/>
      <c r="AD256" s="73"/>
      <c r="AE256" s="73"/>
      <c r="AF256" s="73"/>
      <c r="AG256" s="73"/>
      <c r="AH256" s="73"/>
      <c r="AI256" s="73"/>
      <c r="AJ256" s="73"/>
    </row>
    <row r="257" spans="2:36">
      <c r="B257" s="67"/>
      <c r="C257" s="225"/>
      <c r="D257" s="225"/>
      <c r="E257" s="68"/>
      <c r="F257" s="68"/>
      <c r="G257" s="69"/>
      <c r="H257" s="69"/>
      <c r="I257" s="72"/>
      <c r="J257" s="71"/>
      <c r="K257" s="68"/>
      <c r="L257" s="68"/>
      <c r="M257" s="68"/>
      <c r="N257" s="68"/>
      <c r="O257" s="68"/>
      <c r="P257" s="61">
        <f t="shared" si="30"/>
        <v>0</v>
      </c>
      <c r="Q257" s="61">
        <f t="shared" si="31"/>
        <v>0</v>
      </c>
      <c r="R257" s="61">
        <f t="shared" si="32"/>
        <v>0</v>
      </c>
      <c r="S257" s="61">
        <f t="shared" si="33"/>
        <v>0</v>
      </c>
      <c r="T257" s="61">
        <f t="shared" si="34"/>
        <v>0</v>
      </c>
      <c r="U257" s="61">
        <f t="shared" si="35"/>
        <v>0</v>
      </c>
      <c r="V257" s="61">
        <f t="shared" si="36"/>
        <v>0</v>
      </c>
      <c r="W257" s="61">
        <f t="shared" si="37"/>
        <v>0</v>
      </c>
      <c r="X257" s="61">
        <f t="shared" si="38"/>
        <v>0</v>
      </c>
      <c r="Y257" s="61">
        <f t="shared" si="39"/>
        <v>0</v>
      </c>
      <c r="Z257" s="73"/>
      <c r="AA257" s="73"/>
      <c r="AB257" s="73"/>
      <c r="AC257" s="73"/>
      <c r="AD257" s="73"/>
      <c r="AE257" s="73"/>
      <c r="AF257" s="73"/>
      <c r="AG257" s="73"/>
      <c r="AH257" s="73"/>
      <c r="AI257" s="73"/>
      <c r="AJ257" s="73"/>
    </row>
    <row r="258" spans="2:36">
      <c r="B258" s="67"/>
      <c r="C258" s="225"/>
      <c r="D258" s="225"/>
      <c r="E258" s="68"/>
      <c r="F258" s="68"/>
      <c r="G258" s="69"/>
      <c r="H258" s="69"/>
      <c r="I258" s="72"/>
      <c r="J258" s="71"/>
      <c r="K258" s="68"/>
      <c r="L258" s="68"/>
      <c r="M258" s="68"/>
      <c r="N258" s="68"/>
      <c r="O258" s="68"/>
      <c r="P258" s="61">
        <f t="shared" si="30"/>
        <v>0</v>
      </c>
      <c r="Q258" s="61">
        <f t="shared" si="31"/>
        <v>0</v>
      </c>
      <c r="R258" s="61">
        <f t="shared" si="32"/>
        <v>0</v>
      </c>
      <c r="S258" s="61">
        <f t="shared" si="33"/>
        <v>0</v>
      </c>
      <c r="T258" s="61">
        <f t="shared" si="34"/>
        <v>0</v>
      </c>
      <c r="U258" s="61">
        <f t="shared" si="35"/>
        <v>0</v>
      </c>
      <c r="V258" s="61">
        <f t="shared" si="36"/>
        <v>0</v>
      </c>
      <c r="W258" s="61">
        <f t="shared" si="37"/>
        <v>0</v>
      </c>
      <c r="X258" s="61">
        <f t="shared" si="38"/>
        <v>0</v>
      </c>
      <c r="Y258" s="61">
        <f t="shared" si="39"/>
        <v>0</v>
      </c>
      <c r="Z258" s="73"/>
      <c r="AA258" s="73"/>
      <c r="AB258" s="73"/>
      <c r="AC258" s="73"/>
      <c r="AD258" s="73"/>
      <c r="AE258" s="73"/>
      <c r="AF258" s="73"/>
      <c r="AG258" s="73"/>
      <c r="AH258" s="73"/>
      <c r="AI258" s="73"/>
      <c r="AJ258" s="73"/>
    </row>
    <row r="259" spans="2:36">
      <c r="B259" s="67"/>
      <c r="C259" s="225"/>
      <c r="D259" s="225"/>
      <c r="E259" s="68"/>
      <c r="F259" s="68"/>
      <c r="G259" s="69"/>
      <c r="H259" s="69"/>
      <c r="I259" s="72"/>
      <c r="J259" s="71"/>
      <c r="K259" s="68"/>
      <c r="L259" s="68"/>
      <c r="M259" s="68"/>
      <c r="N259" s="68"/>
      <c r="O259" s="68"/>
      <c r="P259" s="61">
        <f t="shared" si="30"/>
        <v>0</v>
      </c>
      <c r="Q259" s="61">
        <f t="shared" si="31"/>
        <v>0</v>
      </c>
      <c r="R259" s="61">
        <f t="shared" si="32"/>
        <v>0</v>
      </c>
      <c r="S259" s="61">
        <f t="shared" si="33"/>
        <v>0</v>
      </c>
      <c r="T259" s="61">
        <f t="shared" si="34"/>
        <v>0</v>
      </c>
      <c r="U259" s="61">
        <f t="shared" si="35"/>
        <v>0</v>
      </c>
      <c r="V259" s="61">
        <f t="shared" si="36"/>
        <v>0</v>
      </c>
      <c r="W259" s="61">
        <f t="shared" si="37"/>
        <v>0</v>
      </c>
      <c r="X259" s="61">
        <f t="shared" si="38"/>
        <v>0</v>
      </c>
      <c r="Y259" s="61">
        <f t="shared" si="39"/>
        <v>0</v>
      </c>
      <c r="Z259" s="73"/>
      <c r="AA259" s="73"/>
      <c r="AB259" s="73"/>
      <c r="AC259" s="73"/>
      <c r="AD259" s="73"/>
      <c r="AE259" s="73"/>
      <c r="AF259" s="73"/>
      <c r="AG259" s="73"/>
      <c r="AH259" s="73"/>
      <c r="AI259" s="73"/>
      <c r="AJ259" s="73"/>
    </row>
    <row r="260" spans="2:36">
      <c r="B260" s="67"/>
      <c r="C260" s="225"/>
      <c r="D260" s="225"/>
      <c r="E260" s="68"/>
      <c r="F260" s="68"/>
      <c r="G260" s="69"/>
      <c r="H260" s="69"/>
      <c r="I260" s="72"/>
      <c r="J260" s="71"/>
      <c r="K260" s="68"/>
      <c r="L260" s="68"/>
      <c r="M260" s="68"/>
      <c r="N260" s="68"/>
      <c r="O260" s="68"/>
      <c r="P260" s="61">
        <f t="shared" si="30"/>
        <v>0</v>
      </c>
      <c r="Q260" s="61">
        <f t="shared" si="31"/>
        <v>0</v>
      </c>
      <c r="R260" s="61">
        <f t="shared" si="32"/>
        <v>0</v>
      </c>
      <c r="S260" s="61">
        <f t="shared" si="33"/>
        <v>0</v>
      </c>
      <c r="T260" s="61">
        <f t="shared" si="34"/>
        <v>0</v>
      </c>
      <c r="U260" s="61">
        <f t="shared" si="35"/>
        <v>0</v>
      </c>
      <c r="V260" s="61">
        <f t="shared" si="36"/>
        <v>0</v>
      </c>
      <c r="W260" s="61">
        <f t="shared" si="37"/>
        <v>0</v>
      </c>
      <c r="X260" s="61">
        <f t="shared" si="38"/>
        <v>0</v>
      </c>
      <c r="Y260" s="61">
        <f t="shared" si="39"/>
        <v>0</v>
      </c>
      <c r="Z260" s="73"/>
      <c r="AA260" s="73"/>
      <c r="AB260" s="73"/>
      <c r="AC260" s="73"/>
      <c r="AD260" s="73"/>
      <c r="AE260" s="73"/>
      <c r="AF260" s="73"/>
      <c r="AG260" s="73"/>
      <c r="AH260" s="73"/>
      <c r="AI260" s="73"/>
      <c r="AJ260" s="73"/>
    </row>
    <row r="261" spans="2:36">
      <c r="B261" s="67"/>
      <c r="C261" s="225"/>
      <c r="D261" s="225"/>
      <c r="E261" s="68"/>
      <c r="F261" s="68"/>
      <c r="G261" s="69"/>
      <c r="H261" s="69"/>
      <c r="I261" s="72"/>
      <c r="J261" s="71"/>
      <c r="K261" s="68"/>
      <c r="L261" s="68"/>
      <c r="M261" s="68"/>
      <c r="N261" s="68"/>
      <c r="O261" s="68"/>
      <c r="P261" s="61">
        <f t="shared" si="30"/>
        <v>0</v>
      </c>
      <c r="Q261" s="61">
        <f t="shared" si="31"/>
        <v>0</v>
      </c>
      <c r="R261" s="61">
        <f t="shared" si="32"/>
        <v>0</v>
      </c>
      <c r="S261" s="61">
        <f t="shared" si="33"/>
        <v>0</v>
      </c>
      <c r="T261" s="61">
        <f t="shared" si="34"/>
        <v>0</v>
      </c>
      <c r="U261" s="61">
        <f t="shared" si="35"/>
        <v>0</v>
      </c>
      <c r="V261" s="61">
        <f t="shared" si="36"/>
        <v>0</v>
      </c>
      <c r="W261" s="61">
        <f t="shared" si="37"/>
        <v>0</v>
      </c>
      <c r="X261" s="61">
        <f t="shared" si="38"/>
        <v>0</v>
      </c>
      <c r="Y261" s="61">
        <f t="shared" si="39"/>
        <v>0</v>
      </c>
      <c r="Z261" s="73"/>
      <c r="AA261" s="73"/>
      <c r="AB261" s="73"/>
      <c r="AC261" s="73"/>
      <c r="AD261" s="73"/>
      <c r="AE261" s="73"/>
      <c r="AF261" s="73"/>
      <c r="AG261" s="73"/>
      <c r="AH261" s="73"/>
      <c r="AI261" s="73"/>
      <c r="AJ261" s="73"/>
    </row>
    <row r="262" spans="2:36">
      <c r="B262" s="67"/>
      <c r="C262" s="225"/>
      <c r="D262" s="225"/>
      <c r="E262" s="68"/>
      <c r="F262" s="68"/>
      <c r="G262" s="69"/>
      <c r="H262" s="69"/>
      <c r="I262" s="72"/>
      <c r="J262" s="71"/>
      <c r="K262" s="68"/>
      <c r="L262" s="68"/>
      <c r="M262" s="68"/>
      <c r="N262" s="68"/>
      <c r="O262" s="68"/>
      <c r="P262" s="61">
        <f t="shared" si="30"/>
        <v>0</v>
      </c>
      <c r="Q262" s="61">
        <f t="shared" si="31"/>
        <v>0</v>
      </c>
      <c r="R262" s="61">
        <f t="shared" si="32"/>
        <v>0</v>
      </c>
      <c r="S262" s="61">
        <f t="shared" si="33"/>
        <v>0</v>
      </c>
      <c r="T262" s="61">
        <f t="shared" si="34"/>
        <v>0</v>
      </c>
      <c r="U262" s="61">
        <f t="shared" si="35"/>
        <v>0</v>
      </c>
      <c r="V262" s="61">
        <f t="shared" si="36"/>
        <v>0</v>
      </c>
      <c r="W262" s="61">
        <f t="shared" si="37"/>
        <v>0</v>
      </c>
      <c r="X262" s="61">
        <f t="shared" si="38"/>
        <v>0</v>
      </c>
      <c r="Y262" s="61">
        <f t="shared" si="39"/>
        <v>0</v>
      </c>
      <c r="Z262" s="73"/>
      <c r="AA262" s="73"/>
      <c r="AB262" s="73"/>
      <c r="AC262" s="73"/>
      <c r="AD262" s="73"/>
      <c r="AE262" s="73"/>
      <c r="AF262" s="73"/>
      <c r="AG262" s="73"/>
      <c r="AH262" s="73"/>
      <c r="AI262" s="73"/>
      <c r="AJ262" s="73"/>
    </row>
    <row r="263" spans="2:36">
      <c r="B263" s="67"/>
      <c r="C263" s="225"/>
      <c r="D263" s="225"/>
      <c r="E263" s="68"/>
      <c r="F263" s="68"/>
      <c r="G263" s="69"/>
      <c r="H263" s="69"/>
      <c r="I263" s="72"/>
      <c r="J263" s="71"/>
      <c r="K263" s="68"/>
      <c r="L263" s="68"/>
      <c r="M263" s="68"/>
      <c r="N263" s="68"/>
      <c r="O263" s="68"/>
      <c r="P263" s="61">
        <f t="shared" si="30"/>
        <v>0</v>
      </c>
      <c r="Q263" s="61">
        <f t="shared" si="31"/>
        <v>0</v>
      </c>
      <c r="R263" s="61">
        <f t="shared" si="32"/>
        <v>0</v>
      </c>
      <c r="S263" s="61">
        <f t="shared" si="33"/>
        <v>0</v>
      </c>
      <c r="T263" s="61">
        <f t="shared" si="34"/>
        <v>0</v>
      </c>
      <c r="U263" s="61">
        <f t="shared" si="35"/>
        <v>0</v>
      </c>
      <c r="V263" s="61">
        <f t="shared" si="36"/>
        <v>0</v>
      </c>
      <c r="W263" s="61">
        <f t="shared" si="37"/>
        <v>0</v>
      </c>
      <c r="X263" s="61">
        <f t="shared" si="38"/>
        <v>0</v>
      </c>
      <c r="Y263" s="61">
        <f t="shared" si="39"/>
        <v>0</v>
      </c>
      <c r="Z263" s="73"/>
      <c r="AA263" s="73"/>
      <c r="AB263" s="73"/>
      <c r="AC263" s="73"/>
      <c r="AD263" s="73"/>
      <c r="AE263" s="73"/>
      <c r="AF263" s="73"/>
      <c r="AG263" s="73"/>
      <c r="AH263" s="73"/>
      <c r="AI263" s="73"/>
      <c r="AJ263" s="73"/>
    </row>
    <row r="264" spans="2:36">
      <c r="B264" s="67"/>
      <c r="C264" s="225"/>
      <c r="D264" s="225"/>
      <c r="E264" s="68"/>
      <c r="F264" s="68"/>
      <c r="G264" s="69"/>
      <c r="H264" s="69"/>
      <c r="I264" s="72"/>
      <c r="J264" s="71"/>
      <c r="K264" s="68"/>
      <c r="L264" s="68"/>
      <c r="M264" s="68"/>
      <c r="N264" s="68"/>
      <c r="O264" s="68"/>
      <c r="P264" s="61">
        <f t="shared" si="30"/>
        <v>0</v>
      </c>
      <c r="Q264" s="61">
        <f t="shared" si="31"/>
        <v>0</v>
      </c>
      <c r="R264" s="61">
        <f t="shared" si="32"/>
        <v>0</v>
      </c>
      <c r="S264" s="61">
        <f t="shared" si="33"/>
        <v>0</v>
      </c>
      <c r="T264" s="61">
        <f t="shared" si="34"/>
        <v>0</v>
      </c>
      <c r="U264" s="61">
        <f t="shared" si="35"/>
        <v>0</v>
      </c>
      <c r="V264" s="61">
        <f t="shared" si="36"/>
        <v>0</v>
      </c>
      <c r="W264" s="61">
        <f t="shared" si="37"/>
        <v>0</v>
      </c>
      <c r="X264" s="61">
        <f t="shared" si="38"/>
        <v>0</v>
      </c>
      <c r="Y264" s="61">
        <f t="shared" si="39"/>
        <v>0</v>
      </c>
      <c r="Z264" s="73"/>
      <c r="AA264" s="73"/>
      <c r="AB264" s="73"/>
      <c r="AC264" s="73"/>
      <c r="AD264" s="73"/>
      <c r="AE264" s="73"/>
      <c r="AF264" s="73"/>
      <c r="AG264" s="73"/>
      <c r="AH264" s="73"/>
      <c r="AI264" s="73"/>
      <c r="AJ264" s="73"/>
    </row>
    <row r="265" spans="2:36">
      <c r="B265" s="67"/>
      <c r="C265" s="225"/>
      <c r="D265" s="225"/>
      <c r="E265" s="68"/>
      <c r="F265" s="68"/>
      <c r="G265" s="69"/>
      <c r="H265" s="69"/>
      <c r="I265" s="72"/>
      <c r="J265" s="71"/>
      <c r="K265" s="68"/>
      <c r="L265" s="68"/>
      <c r="M265" s="68"/>
      <c r="N265" s="68"/>
      <c r="O265" s="68"/>
      <c r="P265" s="61">
        <f t="shared" si="30"/>
        <v>0</v>
      </c>
      <c r="Q265" s="61">
        <f t="shared" si="31"/>
        <v>0</v>
      </c>
      <c r="R265" s="61">
        <f t="shared" si="32"/>
        <v>0</v>
      </c>
      <c r="S265" s="61">
        <f t="shared" si="33"/>
        <v>0</v>
      </c>
      <c r="T265" s="61">
        <f t="shared" si="34"/>
        <v>0</v>
      </c>
      <c r="U265" s="61">
        <f t="shared" si="35"/>
        <v>0</v>
      </c>
      <c r="V265" s="61">
        <f t="shared" si="36"/>
        <v>0</v>
      </c>
      <c r="W265" s="61">
        <f t="shared" si="37"/>
        <v>0</v>
      </c>
      <c r="X265" s="61">
        <f t="shared" si="38"/>
        <v>0</v>
      </c>
      <c r="Y265" s="61">
        <f t="shared" si="39"/>
        <v>0</v>
      </c>
      <c r="Z265" s="73"/>
      <c r="AA265" s="73"/>
      <c r="AB265" s="73"/>
      <c r="AC265" s="73"/>
      <c r="AD265" s="73"/>
      <c r="AE265" s="73"/>
      <c r="AF265" s="73"/>
      <c r="AG265" s="73"/>
      <c r="AH265" s="73"/>
      <c r="AI265" s="73"/>
      <c r="AJ265" s="73"/>
    </row>
    <row r="266" spans="2:36">
      <c r="B266" s="67"/>
      <c r="C266" s="225"/>
      <c r="D266" s="225"/>
      <c r="E266" s="68"/>
      <c r="F266" s="68"/>
      <c r="G266" s="69"/>
      <c r="H266" s="69"/>
      <c r="I266" s="72"/>
      <c r="J266" s="71"/>
      <c r="K266" s="68"/>
      <c r="L266" s="68"/>
      <c r="M266" s="68"/>
      <c r="N266" s="68"/>
      <c r="O266" s="68"/>
      <c r="P266" s="61">
        <f t="shared" si="30"/>
        <v>0</v>
      </c>
      <c r="Q266" s="61">
        <f t="shared" si="31"/>
        <v>0</v>
      </c>
      <c r="R266" s="61">
        <f t="shared" si="32"/>
        <v>0</v>
      </c>
      <c r="S266" s="61">
        <f t="shared" si="33"/>
        <v>0</v>
      </c>
      <c r="T266" s="61">
        <f t="shared" si="34"/>
        <v>0</v>
      </c>
      <c r="U266" s="61">
        <f t="shared" si="35"/>
        <v>0</v>
      </c>
      <c r="V266" s="61">
        <f t="shared" si="36"/>
        <v>0</v>
      </c>
      <c r="W266" s="61">
        <f t="shared" si="37"/>
        <v>0</v>
      </c>
      <c r="X266" s="61">
        <f t="shared" si="38"/>
        <v>0</v>
      </c>
      <c r="Y266" s="61">
        <f t="shared" si="39"/>
        <v>0</v>
      </c>
      <c r="Z266" s="73"/>
      <c r="AA266" s="73"/>
      <c r="AB266" s="73"/>
      <c r="AC266" s="73"/>
      <c r="AD266" s="73"/>
      <c r="AE266" s="73"/>
      <c r="AF266" s="73"/>
      <c r="AG266" s="73"/>
      <c r="AH266" s="73"/>
      <c r="AI266" s="73"/>
      <c r="AJ266" s="73"/>
    </row>
    <row r="267" spans="2:36">
      <c r="B267" s="67"/>
      <c r="C267" s="225"/>
      <c r="D267" s="225"/>
      <c r="E267" s="68"/>
      <c r="F267" s="68"/>
      <c r="G267" s="69"/>
      <c r="H267" s="69"/>
      <c r="I267" s="72"/>
      <c r="J267" s="71"/>
      <c r="K267" s="68"/>
      <c r="L267" s="68"/>
      <c r="M267" s="68"/>
      <c r="N267" s="68"/>
      <c r="O267" s="68"/>
      <c r="P267" s="61">
        <f t="shared" si="30"/>
        <v>0</v>
      </c>
      <c r="Q267" s="61">
        <f t="shared" si="31"/>
        <v>0</v>
      </c>
      <c r="R267" s="61">
        <f t="shared" si="32"/>
        <v>0</v>
      </c>
      <c r="S267" s="61">
        <f t="shared" si="33"/>
        <v>0</v>
      </c>
      <c r="T267" s="61">
        <f t="shared" si="34"/>
        <v>0</v>
      </c>
      <c r="U267" s="61">
        <f t="shared" si="35"/>
        <v>0</v>
      </c>
      <c r="V267" s="61">
        <f t="shared" si="36"/>
        <v>0</v>
      </c>
      <c r="W267" s="61">
        <f t="shared" si="37"/>
        <v>0</v>
      </c>
      <c r="X267" s="61">
        <f t="shared" si="38"/>
        <v>0</v>
      </c>
      <c r="Y267" s="61">
        <f t="shared" si="39"/>
        <v>0</v>
      </c>
      <c r="Z267" s="73"/>
      <c r="AA267" s="73"/>
      <c r="AB267" s="73"/>
      <c r="AC267" s="73"/>
      <c r="AD267" s="73"/>
      <c r="AE267" s="73"/>
      <c r="AF267" s="73"/>
      <c r="AG267" s="73"/>
      <c r="AH267" s="73"/>
      <c r="AI267" s="73"/>
      <c r="AJ267" s="73"/>
    </row>
    <row r="268" spans="2:36">
      <c r="B268" s="67"/>
      <c r="C268" s="225"/>
      <c r="D268" s="225"/>
      <c r="E268" s="68"/>
      <c r="F268" s="68"/>
      <c r="G268" s="69"/>
      <c r="H268" s="69"/>
      <c r="I268" s="72"/>
      <c r="J268" s="71"/>
      <c r="K268" s="68"/>
      <c r="L268" s="68"/>
      <c r="M268" s="68"/>
      <c r="N268" s="68"/>
      <c r="O268" s="68"/>
      <c r="P268" s="61">
        <f t="shared" si="30"/>
        <v>0</v>
      </c>
      <c r="Q268" s="61">
        <f t="shared" si="31"/>
        <v>0</v>
      </c>
      <c r="R268" s="61">
        <f t="shared" si="32"/>
        <v>0</v>
      </c>
      <c r="S268" s="61">
        <f t="shared" si="33"/>
        <v>0</v>
      </c>
      <c r="T268" s="61">
        <f t="shared" si="34"/>
        <v>0</v>
      </c>
      <c r="U268" s="61">
        <f t="shared" si="35"/>
        <v>0</v>
      </c>
      <c r="V268" s="61">
        <f t="shared" si="36"/>
        <v>0</v>
      </c>
      <c r="W268" s="61">
        <f t="shared" si="37"/>
        <v>0</v>
      </c>
      <c r="X268" s="61">
        <f t="shared" si="38"/>
        <v>0</v>
      </c>
      <c r="Y268" s="61">
        <f t="shared" si="39"/>
        <v>0</v>
      </c>
      <c r="Z268" s="73"/>
      <c r="AA268" s="73"/>
      <c r="AB268" s="73"/>
      <c r="AC268" s="73"/>
      <c r="AD268" s="73"/>
      <c r="AE268" s="73"/>
      <c r="AF268" s="73"/>
      <c r="AG268" s="73"/>
      <c r="AH268" s="73"/>
      <c r="AI268" s="73"/>
      <c r="AJ268" s="73"/>
    </row>
    <row r="269" spans="2:36">
      <c r="B269" s="67"/>
      <c r="C269" s="225"/>
      <c r="D269" s="225"/>
      <c r="E269" s="68"/>
      <c r="F269" s="68"/>
      <c r="G269" s="69"/>
      <c r="H269" s="69"/>
      <c r="I269" s="72"/>
      <c r="J269" s="71"/>
      <c r="K269" s="68"/>
      <c r="L269" s="68"/>
      <c r="M269" s="68"/>
      <c r="N269" s="68"/>
      <c r="O269" s="68"/>
      <c r="P269" s="61">
        <f t="shared" si="30"/>
        <v>0</v>
      </c>
      <c r="Q269" s="61">
        <f t="shared" si="31"/>
        <v>0</v>
      </c>
      <c r="R269" s="61">
        <f t="shared" si="32"/>
        <v>0</v>
      </c>
      <c r="S269" s="61">
        <f t="shared" si="33"/>
        <v>0</v>
      </c>
      <c r="T269" s="61">
        <f t="shared" si="34"/>
        <v>0</v>
      </c>
      <c r="U269" s="61">
        <f t="shared" si="35"/>
        <v>0</v>
      </c>
      <c r="V269" s="61">
        <f t="shared" si="36"/>
        <v>0</v>
      </c>
      <c r="W269" s="61">
        <f t="shared" si="37"/>
        <v>0</v>
      </c>
      <c r="X269" s="61">
        <f t="shared" si="38"/>
        <v>0</v>
      </c>
      <c r="Y269" s="61">
        <f t="shared" si="39"/>
        <v>0</v>
      </c>
      <c r="Z269" s="73"/>
      <c r="AA269" s="73"/>
      <c r="AB269" s="73"/>
      <c r="AC269" s="73"/>
      <c r="AD269" s="73"/>
      <c r="AE269" s="73"/>
      <c r="AF269" s="73"/>
      <c r="AG269" s="73"/>
      <c r="AH269" s="73"/>
      <c r="AI269" s="73"/>
      <c r="AJ269" s="73"/>
    </row>
    <row r="270" spans="2:36">
      <c r="B270" s="67"/>
      <c r="C270" s="225"/>
      <c r="D270" s="225"/>
      <c r="E270" s="68"/>
      <c r="F270" s="68"/>
      <c r="G270" s="69"/>
      <c r="H270" s="69"/>
      <c r="I270" s="72"/>
      <c r="J270" s="71"/>
      <c r="K270" s="68"/>
      <c r="L270" s="68"/>
      <c r="M270" s="68"/>
      <c r="N270" s="68"/>
      <c r="O270" s="68"/>
      <c r="P270" s="61">
        <f t="shared" si="30"/>
        <v>0</v>
      </c>
      <c r="Q270" s="61">
        <f t="shared" si="31"/>
        <v>0</v>
      </c>
      <c r="R270" s="61">
        <f t="shared" si="32"/>
        <v>0</v>
      </c>
      <c r="S270" s="61">
        <f t="shared" si="33"/>
        <v>0</v>
      </c>
      <c r="T270" s="61">
        <f t="shared" si="34"/>
        <v>0</v>
      </c>
      <c r="U270" s="61">
        <f t="shared" si="35"/>
        <v>0</v>
      </c>
      <c r="V270" s="61">
        <f t="shared" si="36"/>
        <v>0</v>
      </c>
      <c r="W270" s="61">
        <f t="shared" si="37"/>
        <v>0</v>
      </c>
      <c r="X270" s="61">
        <f t="shared" si="38"/>
        <v>0</v>
      </c>
      <c r="Y270" s="61">
        <f t="shared" si="39"/>
        <v>0</v>
      </c>
      <c r="Z270" s="73"/>
      <c r="AA270" s="73"/>
      <c r="AB270" s="73"/>
      <c r="AC270" s="73"/>
      <c r="AD270" s="73"/>
      <c r="AE270" s="73"/>
      <c r="AF270" s="73"/>
      <c r="AG270" s="73"/>
      <c r="AH270" s="73"/>
      <c r="AI270" s="73"/>
      <c r="AJ270" s="73"/>
    </row>
    <row r="271" spans="2:36">
      <c r="B271" s="67"/>
      <c r="C271" s="225"/>
      <c r="D271" s="225"/>
      <c r="E271" s="68"/>
      <c r="F271" s="68"/>
      <c r="G271" s="69"/>
      <c r="H271" s="69"/>
      <c r="I271" s="72"/>
      <c r="J271" s="71"/>
      <c r="K271" s="68"/>
      <c r="L271" s="68"/>
      <c r="M271" s="68"/>
      <c r="N271" s="68"/>
      <c r="O271" s="68"/>
      <c r="P271" s="61">
        <f t="shared" si="30"/>
        <v>0</v>
      </c>
      <c r="Q271" s="61">
        <f t="shared" si="31"/>
        <v>0</v>
      </c>
      <c r="R271" s="61">
        <f t="shared" si="32"/>
        <v>0</v>
      </c>
      <c r="S271" s="61">
        <f t="shared" si="33"/>
        <v>0</v>
      </c>
      <c r="T271" s="61">
        <f t="shared" si="34"/>
        <v>0</v>
      </c>
      <c r="U271" s="61">
        <f t="shared" si="35"/>
        <v>0</v>
      </c>
      <c r="V271" s="61">
        <f t="shared" si="36"/>
        <v>0</v>
      </c>
      <c r="W271" s="61">
        <f t="shared" si="37"/>
        <v>0</v>
      </c>
      <c r="X271" s="61">
        <f t="shared" si="38"/>
        <v>0</v>
      </c>
      <c r="Y271" s="61">
        <f t="shared" si="39"/>
        <v>0</v>
      </c>
      <c r="Z271" s="73"/>
      <c r="AA271" s="73"/>
      <c r="AB271" s="73"/>
      <c r="AC271" s="73"/>
      <c r="AD271" s="73"/>
      <c r="AE271" s="73"/>
      <c r="AF271" s="73"/>
      <c r="AG271" s="73"/>
      <c r="AH271" s="73"/>
      <c r="AI271" s="73"/>
      <c r="AJ271" s="73"/>
    </row>
    <row r="272" spans="2:36">
      <c r="B272" s="67"/>
      <c r="C272" s="225"/>
      <c r="D272" s="225"/>
      <c r="E272" s="68"/>
      <c r="F272" s="68"/>
      <c r="G272" s="69"/>
      <c r="H272" s="69"/>
      <c r="I272" s="72"/>
      <c r="J272" s="71"/>
      <c r="K272" s="68"/>
      <c r="L272" s="68"/>
      <c r="M272" s="68"/>
      <c r="N272" s="68"/>
      <c r="O272" s="68"/>
      <c r="P272" s="61">
        <f t="shared" si="30"/>
        <v>0</v>
      </c>
      <c r="Q272" s="61">
        <f t="shared" si="31"/>
        <v>0</v>
      </c>
      <c r="R272" s="61">
        <f t="shared" si="32"/>
        <v>0</v>
      </c>
      <c r="S272" s="61">
        <f t="shared" si="33"/>
        <v>0</v>
      </c>
      <c r="T272" s="61">
        <f t="shared" si="34"/>
        <v>0</v>
      </c>
      <c r="U272" s="61">
        <f t="shared" si="35"/>
        <v>0</v>
      </c>
      <c r="V272" s="61">
        <f t="shared" si="36"/>
        <v>0</v>
      </c>
      <c r="W272" s="61">
        <f t="shared" si="37"/>
        <v>0</v>
      </c>
      <c r="X272" s="61">
        <f t="shared" si="38"/>
        <v>0</v>
      </c>
      <c r="Y272" s="61">
        <f t="shared" si="39"/>
        <v>0</v>
      </c>
      <c r="Z272" s="73"/>
      <c r="AA272" s="73"/>
      <c r="AB272" s="73"/>
      <c r="AC272" s="73"/>
      <c r="AD272" s="73"/>
      <c r="AE272" s="73"/>
      <c r="AF272" s="73"/>
      <c r="AG272" s="73"/>
      <c r="AH272" s="73"/>
      <c r="AI272" s="73"/>
      <c r="AJ272" s="73"/>
    </row>
    <row r="273" spans="2:36">
      <c r="B273" s="67"/>
      <c r="C273" s="225"/>
      <c r="D273" s="225"/>
      <c r="E273" s="68"/>
      <c r="F273" s="68"/>
      <c r="G273" s="69"/>
      <c r="H273" s="69"/>
      <c r="I273" s="72"/>
      <c r="J273" s="71"/>
      <c r="K273" s="68"/>
      <c r="L273" s="68"/>
      <c r="M273" s="68"/>
      <c r="N273" s="68"/>
      <c r="O273" s="68"/>
      <c r="P273" s="61">
        <f t="shared" si="30"/>
        <v>0</v>
      </c>
      <c r="Q273" s="61">
        <f t="shared" si="31"/>
        <v>0</v>
      </c>
      <c r="R273" s="61">
        <f t="shared" si="32"/>
        <v>0</v>
      </c>
      <c r="S273" s="61">
        <f t="shared" si="33"/>
        <v>0</v>
      </c>
      <c r="T273" s="61">
        <f t="shared" si="34"/>
        <v>0</v>
      </c>
      <c r="U273" s="61">
        <f t="shared" si="35"/>
        <v>0</v>
      </c>
      <c r="V273" s="61">
        <f t="shared" si="36"/>
        <v>0</v>
      </c>
      <c r="W273" s="61">
        <f t="shared" si="37"/>
        <v>0</v>
      </c>
      <c r="X273" s="61">
        <f t="shared" si="38"/>
        <v>0</v>
      </c>
      <c r="Y273" s="61">
        <f t="shared" si="39"/>
        <v>0</v>
      </c>
      <c r="Z273" s="73"/>
      <c r="AA273" s="73"/>
      <c r="AB273" s="73"/>
      <c r="AC273" s="73"/>
      <c r="AD273" s="73"/>
      <c r="AE273" s="73"/>
      <c r="AF273" s="73"/>
      <c r="AG273" s="73"/>
      <c r="AH273" s="73"/>
      <c r="AI273" s="73"/>
      <c r="AJ273" s="73"/>
    </row>
    <row r="274" spans="2:36">
      <c r="B274" s="67"/>
      <c r="C274" s="225"/>
      <c r="D274" s="225"/>
      <c r="E274" s="68"/>
      <c r="F274" s="68"/>
      <c r="G274" s="69"/>
      <c r="H274" s="69"/>
      <c r="I274" s="72"/>
      <c r="J274" s="71"/>
      <c r="K274" s="68"/>
      <c r="L274" s="68"/>
      <c r="M274" s="68"/>
      <c r="N274" s="68"/>
      <c r="O274" s="68"/>
      <c r="P274" s="61">
        <f t="shared" si="30"/>
        <v>0</v>
      </c>
      <c r="Q274" s="61">
        <f t="shared" si="31"/>
        <v>0</v>
      </c>
      <c r="R274" s="61">
        <f t="shared" si="32"/>
        <v>0</v>
      </c>
      <c r="S274" s="61">
        <f t="shared" si="33"/>
        <v>0</v>
      </c>
      <c r="T274" s="61">
        <f t="shared" si="34"/>
        <v>0</v>
      </c>
      <c r="U274" s="61">
        <f t="shared" si="35"/>
        <v>0</v>
      </c>
      <c r="V274" s="61">
        <f t="shared" si="36"/>
        <v>0</v>
      </c>
      <c r="W274" s="61">
        <f t="shared" si="37"/>
        <v>0</v>
      </c>
      <c r="X274" s="61">
        <f t="shared" si="38"/>
        <v>0</v>
      </c>
      <c r="Y274" s="61">
        <f t="shared" si="39"/>
        <v>0</v>
      </c>
      <c r="Z274" s="73"/>
      <c r="AA274" s="73"/>
      <c r="AB274" s="73"/>
      <c r="AC274" s="73"/>
      <c r="AD274" s="73"/>
      <c r="AE274" s="73"/>
      <c r="AF274" s="73"/>
      <c r="AG274" s="73"/>
      <c r="AH274" s="73"/>
      <c r="AI274" s="73"/>
      <c r="AJ274" s="73"/>
    </row>
    <row r="275" spans="2:36">
      <c r="B275" s="67"/>
      <c r="C275" s="225"/>
      <c r="D275" s="225"/>
      <c r="E275" s="68"/>
      <c r="F275" s="68"/>
      <c r="G275" s="69"/>
      <c r="H275" s="69"/>
      <c r="I275" s="72"/>
      <c r="J275" s="71"/>
      <c r="K275" s="68"/>
      <c r="L275" s="68"/>
      <c r="M275" s="68"/>
      <c r="N275" s="68"/>
      <c r="O275" s="68"/>
      <c r="P275" s="61">
        <f t="shared" si="30"/>
        <v>0</v>
      </c>
      <c r="Q275" s="61">
        <f t="shared" si="31"/>
        <v>0</v>
      </c>
      <c r="R275" s="61">
        <f t="shared" si="32"/>
        <v>0</v>
      </c>
      <c r="S275" s="61">
        <f t="shared" si="33"/>
        <v>0</v>
      </c>
      <c r="T275" s="61">
        <f t="shared" si="34"/>
        <v>0</v>
      </c>
      <c r="U275" s="61">
        <f t="shared" si="35"/>
        <v>0</v>
      </c>
      <c r="V275" s="61">
        <f t="shared" si="36"/>
        <v>0</v>
      </c>
      <c r="W275" s="61">
        <f t="shared" si="37"/>
        <v>0</v>
      </c>
      <c r="X275" s="61">
        <f t="shared" si="38"/>
        <v>0</v>
      </c>
      <c r="Y275" s="61">
        <f t="shared" si="39"/>
        <v>0</v>
      </c>
      <c r="Z275" s="73"/>
      <c r="AA275" s="73"/>
      <c r="AB275" s="73"/>
      <c r="AC275" s="73"/>
      <c r="AD275" s="73"/>
      <c r="AE275" s="73"/>
      <c r="AF275" s="73"/>
      <c r="AG275" s="73"/>
      <c r="AH275" s="73"/>
      <c r="AI275" s="73"/>
      <c r="AJ275" s="73"/>
    </row>
    <row r="276" spans="2:36">
      <c r="B276" s="67"/>
      <c r="C276" s="225"/>
      <c r="D276" s="225"/>
      <c r="E276" s="68"/>
      <c r="F276" s="68"/>
      <c r="G276" s="69"/>
      <c r="H276" s="69"/>
      <c r="I276" s="72"/>
      <c r="J276" s="71"/>
      <c r="K276" s="68"/>
      <c r="L276" s="68"/>
      <c r="M276" s="68"/>
      <c r="N276" s="68"/>
      <c r="O276" s="68"/>
      <c r="P276" s="61">
        <f t="shared" si="30"/>
        <v>0</v>
      </c>
      <c r="Q276" s="61">
        <f t="shared" si="31"/>
        <v>0</v>
      </c>
      <c r="R276" s="61">
        <f t="shared" si="32"/>
        <v>0</v>
      </c>
      <c r="S276" s="61">
        <f t="shared" si="33"/>
        <v>0</v>
      </c>
      <c r="T276" s="61">
        <f t="shared" si="34"/>
        <v>0</v>
      </c>
      <c r="U276" s="61">
        <f t="shared" si="35"/>
        <v>0</v>
      </c>
      <c r="V276" s="61">
        <f t="shared" si="36"/>
        <v>0</v>
      </c>
      <c r="W276" s="61">
        <f t="shared" si="37"/>
        <v>0</v>
      </c>
      <c r="X276" s="61">
        <f t="shared" si="38"/>
        <v>0</v>
      </c>
      <c r="Y276" s="61">
        <f t="shared" si="39"/>
        <v>0</v>
      </c>
      <c r="Z276" s="73"/>
      <c r="AA276" s="73"/>
      <c r="AB276" s="73"/>
      <c r="AC276" s="73"/>
      <c r="AD276" s="73"/>
      <c r="AE276" s="73"/>
      <c r="AF276" s="73"/>
      <c r="AG276" s="73"/>
      <c r="AH276" s="73"/>
      <c r="AI276" s="73"/>
      <c r="AJ276" s="73"/>
    </row>
    <row r="277" spans="2:36">
      <c r="B277" s="67"/>
      <c r="C277" s="225"/>
      <c r="D277" s="225"/>
      <c r="E277" s="68"/>
      <c r="F277" s="68"/>
      <c r="G277" s="69"/>
      <c r="H277" s="69"/>
      <c r="I277" s="72"/>
      <c r="J277" s="71"/>
      <c r="K277" s="68"/>
      <c r="L277" s="68"/>
      <c r="M277" s="68"/>
      <c r="N277" s="68"/>
      <c r="O277" s="68"/>
      <c r="P277" s="61">
        <f t="shared" si="30"/>
        <v>0</v>
      </c>
      <c r="Q277" s="61">
        <f t="shared" si="31"/>
        <v>0</v>
      </c>
      <c r="R277" s="61">
        <f t="shared" si="32"/>
        <v>0</v>
      </c>
      <c r="S277" s="61">
        <f t="shared" si="33"/>
        <v>0</v>
      </c>
      <c r="T277" s="61">
        <f t="shared" si="34"/>
        <v>0</v>
      </c>
      <c r="U277" s="61">
        <f t="shared" si="35"/>
        <v>0</v>
      </c>
      <c r="V277" s="61">
        <f t="shared" si="36"/>
        <v>0</v>
      </c>
      <c r="W277" s="61">
        <f t="shared" si="37"/>
        <v>0</v>
      </c>
      <c r="X277" s="61">
        <f t="shared" si="38"/>
        <v>0</v>
      </c>
      <c r="Y277" s="61">
        <f t="shared" si="39"/>
        <v>0</v>
      </c>
      <c r="Z277" s="73"/>
      <c r="AA277" s="73"/>
      <c r="AB277" s="73"/>
      <c r="AC277" s="73"/>
      <c r="AD277" s="73"/>
      <c r="AE277" s="73"/>
      <c r="AF277" s="73"/>
      <c r="AG277" s="73"/>
      <c r="AH277" s="73"/>
      <c r="AI277" s="73"/>
      <c r="AJ277" s="73"/>
    </row>
    <row r="278" spans="2:36">
      <c r="B278" s="67"/>
      <c r="C278" s="225"/>
      <c r="D278" s="225"/>
      <c r="E278" s="68"/>
      <c r="F278" s="68"/>
      <c r="G278" s="69"/>
      <c r="H278" s="69"/>
      <c r="I278" s="72"/>
      <c r="J278" s="71"/>
      <c r="K278" s="68"/>
      <c r="L278" s="68"/>
      <c r="M278" s="68"/>
      <c r="N278" s="68"/>
      <c r="O278" s="68"/>
      <c r="P278" s="61">
        <f t="shared" si="30"/>
        <v>0</v>
      </c>
      <c r="Q278" s="61">
        <f t="shared" si="31"/>
        <v>0</v>
      </c>
      <c r="R278" s="61">
        <f t="shared" si="32"/>
        <v>0</v>
      </c>
      <c r="S278" s="61">
        <f t="shared" si="33"/>
        <v>0</v>
      </c>
      <c r="T278" s="61">
        <f t="shared" si="34"/>
        <v>0</v>
      </c>
      <c r="U278" s="61">
        <f t="shared" si="35"/>
        <v>0</v>
      </c>
      <c r="V278" s="61">
        <f t="shared" si="36"/>
        <v>0</v>
      </c>
      <c r="W278" s="61">
        <f t="shared" si="37"/>
        <v>0</v>
      </c>
      <c r="X278" s="61">
        <f t="shared" si="38"/>
        <v>0</v>
      </c>
      <c r="Y278" s="61">
        <f t="shared" si="39"/>
        <v>0</v>
      </c>
      <c r="Z278" s="73"/>
      <c r="AA278" s="73"/>
      <c r="AB278" s="73"/>
      <c r="AC278" s="73"/>
      <c r="AD278" s="73"/>
      <c r="AE278" s="73"/>
      <c r="AF278" s="73"/>
      <c r="AG278" s="73"/>
      <c r="AH278" s="73"/>
      <c r="AI278" s="73"/>
      <c r="AJ278" s="73"/>
    </row>
    <row r="279" spans="2:36">
      <c r="B279" s="67"/>
      <c r="C279" s="225"/>
      <c r="D279" s="225"/>
      <c r="E279" s="68"/>
      <c r="F279" s="68"/>
      <c r="G279" s="69"/>
      <c r="H279" s="69"/>
      <c r="I279" s="72"/>
      <c r="J279" s="71"/>
      <c r="K279" s="68"/>
      <c r="L279" s="68"/>
      <c r="M279" s="68"/>
      <c r="N279" s="68"/>
      <c r="O279" s="68"/>
      <c r="P279" s="61">
        <f t="shared" si="30"/>
        <v>0</v>
      </c>
      <c r="Q279" s="61">
        <f t="shared" si="31"/>
        <v>0</v>
      </c>
      <c r="R279" s="61">
        <f t="shared" si="32"/>
        <v>0</v>
      </c>
      <c r="S279" s="61">
        <f t="shared" si="33"/>
        <v>0</v>
      </c>
      <c r="T279" s="61">
        <f t="shared" si="34"/>
        <v>0</v>
      </c>
      <c r="U279" s="61">
        <f t="shared" si="35"/>
        <v>0</v>
      </c>
      <c r="V279" s="61">
        <f t="shared" si="36"/>
        <v>0</v>
      </c>
      <c r="W279" s="61">
        <f t="shared" si="37"/>
        <v>0</v>
      </c>
      <c r="X279" s="61">
        <f t="shared" si="38"/>
        <v>0</v>
      </c>
      <c r="Y279" s="61">
        <f t="shared" si="39"/>
        <v>0</v>
      </c>
      <c r="Z279" s="73"/>
      <c r="AA279" s="73"/>
      <c r="AB279" s="73"/>
      <c r="AC279" s="73"/>
      <c r="AD279" s="73"/>
      <c r="AE279" s="73"/>
      <c r="AF279" s="73"/>
      <c r="AG279" s="73"/>
      <c r="AH279" s="73"/>
      <c r="AI279" s="73"/>
      <c r="AJ279" s="73"/>
    </row>
    <row r="280" spans="2:36">
      <c r="B280" s="67"/>
      <c r="C280" s="225"/>
      <c r="D280" s="225"/>
      <c r="E280" s="68"/>
      <c r="F280" s="68"/>
      <c r="G280" s="69"/>
      <c r="H280" s="69"/>
      <c r="I280" s="72"/>
      <c r="J280" s="71"/>
      <c r="K280" s="68"/>
      <c r="L280" s="68"/>
      <c r="M280" s="68"/>
      <c r="N280" s="68"/>
      <c r="O280" s="68"/>
      <c r="P280" s="61">
        <f t="shared" si="30"/>
        <v>0</v>
      </c>
      <c r="Q280" s="61">
        <f t="shared" si="31"/>
        <v>0</v>
      </c>
      <c r="R280" s="61">
        <f t="shared" si="32"/>
        <v>0</v>
      </c>
      <c r="S280" s="61">
        <f t="shared" si="33"/>
        <v>0</v>
      </c>
      <c r="T280" s="61">
        <f t="shared" si="34"/>
        <v>0</v>
      </c>
      <c r="U280" s="61">
        <f t="shared" si="35"/>
        <v>0</v>
      </c>
      <c r="V280" s="61">
        <f t="shared" si="36"/>
        <v>0</v>
      </c>
      <c r="W280" s="61">
        <f t="shared" si="37"/>
        <v>0</v>
      </c>
      <c r="X280" s="61">
        <f t="shared" si="38"/>
        <v>0</v>
      </c>
      <c r="Y280" s="61">
        <f t="shared" si="39"/>
        <v>0</v>
      </c>
      <c r="Z280" s="73"/>
      <c r="AA280" s="73"/>
      <c r="AB280" s="73"/>
      <c r="AC280" s="73"/>
      <c r="AD280" s="73"/>
      <c r="AE280" s="73"/>
      <c r="AF280" s="73"/>
      <c r="AG280" s="73"/>
      <c r="AH280" s="73"/>
      <c r="AI280" s="73"/>
      <c r="AJ280" s="73"/>
    </row>
    <row r="281" spans="2:36">
      <c r="B281" s="67"/>
      <c r="C281" s="225"/>
      <c r="D281" s="225"/>
      <c r="E281" s="68"/>
      <c r="F281" s="68"/>
      <c r="G281" s="69"/>
      <c r="H281" s="69"/>
      <c r="I281" s="72"/>
      <c r="J281" s="71"/>
      <c r="K281" s="68"/>
      <c r="L281" s="68"/>
      <c r="M281" s="68"/>
      <c r="N281" s="68"/>
      <c r="O281" s="68"/>
      <c r="P281" s="61">
        <f t="shared" si="30"/>
        <v>0</v>
      </c>
      <c r="Q281" s="61">
        <f t="shared" si="31"/>
        <v>0</v>
      </c>
      <c r="R281" s="61">
        <f t="shared" si="32"/>
        <v>0</v>
      </c>
      <c r="S281" s="61">
        <f t="shared" si="33"/>
        <v>0</v>
      </c>
      <c r="T281" s="61">
        <f t="shared" si="34"/>
        <v>0</v>
      </c>
      <c r="U281" s="61">
        <f t="shared" si="35"/>
        <v>0</v>
      </c>
      <c r="V281" s="61">
        <f t="shared" si="36"/>
        <v>0</v>
      </c>
      <c r="W281" s="61">
        <f t="shared" si="37"/>
        <v>0</v>
      </c>
      <c r="X281" s="61">
        <f t="shared" si="38"/>
        <v>0</v>
      </c>
      <c r="Y281" s="61">
        <f t="shared" si="39"/>
        <v>0</v>
      </c>
      <c r="Z281" s="73"/>
      <c r="AA281" s="73"/>
      <c r="AB281" s="73"/>
      <c r="AC281" s="73"/>
      <c r="AD281" s="73"/>
      <c r="AE281" s="73"/>
      <c r="AF281" s="73"/>
      <c r="AG281" s="73"/>
      <c r="AH281" s="73"/>
      <c r="AI281" s="73"/>
      <c r="AJ281" s="73"/>
    </row>
    <row r="282" spans="2:36">
      <c r="B282" s="67"/>
      <c r="C282" s="225"/>
      <c r="D282" s="225"/>
      <c r="E282" s="68"/>
      <c r="F282" s="68"/>
      <c r="G282" s="69"/>
      <c r="H282" s="69"/>
      <c r="I282" s="72"/>
      <c r="J282" s="71"/>
      <c r="K282" s="68"/>
      <c r="L282" s="68"/>
      <c r="M282" s="68"/>
      <c r="N282" s="68"/>
      <c r="O282" s="68"/>
      <c r="P282" s="61">
        <f t="shared" si="30"/>
        <v>0</v>
      </c>
      <c r="Q282" s="61">
        <f t="shared" si="31"/>
        <v>0</v>
      </c>
      <c r="R282" s="61">
        <f t="shared" si="32"/>
        <v>0</v>
      </c>
      <c r="S282" s="61">
        <f t="shared" si="33"/>
        <v>0</v>
      </c>
      <c r="T282" s="61">
        <f t="shared" si="34"/>
        <v>0</v>
      </c>
      <c r="U282" s="61">
        <f t="shared" si="35"/>
        <v>0</v>
      </c>
      <c r="V282" s="61">
        <f t="shared" si="36"/>
        <v>0</v>
      </c>
      <c r="W282" s="61">
        <f t="shared" si="37"/>
        <v>0</v>
      </c>
      <c r="X282" s="61">
        <f t="shared" si="38"/>
        <v>0</v>
      </c>
      <c r="Y282" s="61">
        <f t="shared" si="39"/>
        <v>0</v>
      </c>
      <c r="Z282" s="73"/>
      <c r="AA282" s="73"/>
      <c r="AB282" s="73"/>
      <c r="AC282" s="73"/>
      <c r="AD282" s="73"/>
      <c r="AE282" s="73"/>
      <c r="AF282" s="73"/>
      <c r="AG282" s="73"/>
      <c r="AH282" s="73"/>
      <c r="AI282" s="73"/>
      <c r="AJ282" s="73"/>
    </row>
    <row r="283" spans="2:36">
      <c r="B283" s="67"/>
      <c r="C283" s="225"/>
      <c r="D283" s="225"/>
      <c r="E283" s="68"/>
      <c r="F283" s="68"/>
      <c r="G283" s="69"/>
      <c r="H283" s="69"/>
      <c r="I283" s="72"/>
      <c r="J283" s="71"/>
      <c r="K283" s="68"/>
      <c r="L283" s="68"/>
      <c r="M283" s="68"/>
      <c r="N283" s="68"/>
      <c r="O283" s="68"/>
      <c r="P283" s="61">
        <f t="shared" si="30"/>
        <v>0</v>
      </c>
      <c r="Q283" s="61">
        <f t="shared" si="31"/>
        <v>0</v>
      </c>
      <c r="R283" s="61">
        <f t="shared" si="32"/>
        <v>0</v>
      </c>
      <c r="S283" s="61">
        <f t="shared" si="33"/>
        <v>0</v>
      </c>
      <c r="T283" s="61">
        <f t="shared" si="34"/>
        <v>0</v>
      </c>
      <c r="U283" s="61">
        <f t="shared" si="35"/>
        <v>0</v>
      </c>
      <c r="V283" s="61">
        <f t="shared" si="36"/>
        <v>0</v>
      </c>
      <c r="W283" s="61">
        <f t="shared" si="37"/>
        <v>0</v>
      </c>
      <c r="X283" s="61">
        <f t="shared" si="38"/>
        <v>0</v>
      </c>
      <c r="Y283" s="61">
        <f t="shared" si="39"/>
        <v>0</v>
      </c>
      <c r="Z283" s="73"/>
      <c r="AA283" s="73"/>
      <c r="AB283" s="73"/>
      <c r="AC283" s="73"/>
      <c r="AD283" s="73"/>
      <c r="AE283" s="73"/>
      <c r="AF283" s="73"/>
      <c r="AG283" s="73"/>
      <c r="AH283" s="73"/>
      <c r="AI283" s="73"/>
      <c r="AJ283" s="73"/>
    </row>
    <row r="284" spans="2:36">
      <c r="B284" s="67"/>
      <c r="C284" s="225"/>
      <c r="D284" s="225"/>
      <c r="E284" s="68"/>
      <c r="F284" s="68"/>
      <c r="G284" s="69"/>
      <c r="H284" s="69"/>
      <c r="I284" s="72"/>
      <c r="J284" s="71"/>
      <c r="K284" s="68"/>
      <c r="L284" s="68"/>
      <c r="M284" s="68"/>
      <c r="N284" s="68"/>
      <c r="O284" s="68"/>
      <c r="P284" s="61">
        <f t="shared" si="30"/>
        <v>0</v>
      </c>
      <c r="Q284" s="61">
        <f t="shared" si="31"/>
        <v>0</v>
      </c>
      <c r="R284" s="61">
        <f t="shared" si="32"/>
        <v>0</v>
      </c>
      <c r="S284" s="61">
        <f t="shared" si="33"/>
        <v>0</v>
      </c>
      <c r="T284" s="61">
        <f t="shared" si="34"/>
        <v>0</v>
      </c>
      <c r="U284" s="61">
        <f t="shared" si="35"/>
        <v>0</v>
      </c>
      <c r="V284" s="61">
        <f t="shared" si="36"/>
        <v>0</v>
      </c>
      <c r="W284" s="61">
        <f t="shared" si="37"/>
        <v>0</v>
      </c>
      <c r="X284" s="61">
        <f t="shared" si="38"/>
        <v>0</v>
      </c>
      <c r="Y284" s="61">
        <f t="shared" si="39"/>
        <v>0</v>
      </c>
      <c r="Z284" s="73"/>
      <c r="AA284" s="73"/>
      <c r="AB284" s="73"/>
      <c r="AC284" s="73"/>
      <c r="AD284" s="73"/>
      <c r="AE284" s="73"/>
      <c r="AF284" s="73"/>
      <c r="AG284" s="73"/>
      <c r="AH284" s="73"/>
      <c r="AI284" s="73"/>
      <c r="AJ284" s="73"/>
    </row>
    <row r="285" spans="2:36">
      <c r="B285" s="67"/>
      <c r="C285" s="225"/>
      <c r="D285" s="225"/>
      <c r="E285" s="68"/>
      <c r="F285" s="68"/>
      <c r="G285" s="69"/>
      <c r="H285" s="69"/>
      <c r="I285" s="72"/>
      <c r="J285" s="71"/>
      <c r="K285" s="68"/>
      <c r="L285" s="68"/>
      <c r="M285" s="68"/>
      <c r="N285" s="68"/>
      <c r="O285" s="68"/>
      <c r="P285" s="61">
        <f t="shared" si="30"/>
        <v>0</v>
      </c>
      <c r="Q285" s="61">
        <f t="shared" si="31"/>
        <v>0</v>
      </c>
      <c r="R285" s="61">
        <f t="shared" si="32"/>
        <v>0</v>
      </c>
      <c r="S285" s="61">
        <f t="shared" si="33"/>
        <v>0</v>
      </c>
      <c r="T285" s="61">
        <f t="shared" si="34"/>
        <v>0</v>
      </c>
      <c r="U285" s="61">
        <f t="shared" si="35"/>
        <v>0</v>
      </c>
      <c r="V285" s="61">
        <f t="shared" si="36"/>
        <v>0</v>
      </c>
      <c r="W285" s="61">
        <f t="shared" si="37"/>
        <v>0</v>
      </c>
      <c r="X285" s="61">
        <f t="shared" si="38"/>
        <v>0</v>
      </c>
      <c r="Y285" s="61">
        <f t="shared" si="39"/>
        <v>0</v>
      </c>
      <c r="Z285" s="73"/>
      <c r="AA285" s="73"/>
      <c r="AB285" s="73"/>
      <c r="AC285" s="73"/>
      <c r="AD285" s="73"/>
      <c r="AE285" s="73"/>
      <c r="AF285" s="73"/>
      <c r="AG285" s="73"/>
      <c r="AH285" s="73"/>
      <c r="AI285" s="73"/>
      <c r="AJ285" s="73"/>
    </row>
    <row r="286" spans="2:36">
      <c r="B286" s="67"/>
      <c r="C286" s="225"/>
      <c r="D286" s="225"/>
      <c r="E286" s="68"/>
      <c r="F286" s="68"/>
      <c r="G286" s="69"/>
      <c r="H286" s="69"/>
      <c r="I286" s="72"/>
      <c r="J286" s="71"/>
      <c r="K286" s="68"/>
      <c r="L286" s="68"/>
      <c r="M286" s="68"/>
      <c r="N286" s="68"/>
      <c r="O286" s="68"/>
      <c r="P286" s="61">
        <f t="shared" si="30"/>
        <v>0</v>
      </c>
      <c r="Q286" s="61">
        <f t="shared" si="31"/>
        <v>0</v>
      </c>
      <c r="R286" s="61">
        <f t="shared" si="32"/>
        <v>0</v>
      </c>
      <c r="S286" s="61">
        <f t="shared" si="33"/>
        <v>0</v>
      </c>
      <c r="T286" s="61">
        <f t="shared" si="34"/>
        <v>0</v>
      </c>
      <c r="U286" s="61">
        <f t="shared" si="35"/>
        <v>0</v>
      </c>
      <c r="V286" s="61">
        <f t="shared" si="36"/>
        <v>0</v>
      </c>
      <c r="W286" s="61">
        <f t="shared" si="37"/>
        <v>0</v>
      </c>
      <c r="X286" s="61">
        <f t="shared" si="38"/>
        <v>0</v>
      </c>
      <c r="Y286" s="61">
        <f t="shared" si="39"/>
        <v>0</v>
      </c>
      <c r="Z286" s="73"/>
      <c r="AA286" s="73"/>
      <c r="AB286" s="73"/>
      <c r="AC286" s="73"/>
      <c r="AD286" s="73"/>
      <c r="AE286" s="73"/>
      <c r="AF286" s="73"/>
      <c r="AG286" s="73"/>
      <c r="AH286" s="73"/>
      <c r="AI286" s="73"/>
      <c r="AJ286" s="73"/>
    </row>
    <row r="287" spans="2:36">
      <c r="B287" s="67"/>
      <c r="C287" s="225"/>
      <c r="D287" s="225"/>
      <c r="E287" s="68"/>
      <c r="F287" s="68"/>
      <c r="G287" s="69"/>
      <c r="H287" s="69"/>
      <c r="I287" s="72"/>
      <c r="J287" s="71"/>
      <c r="K287" s="68"/>
      <c r="L287" s="68"/>
      <c r="M287" s="68"/>
      <c r="N287" s="68"/>
      <c r="O287" s="68"/>
      <c r="P287" s="61">
        <f t="shared" si="30"/>
        <v>0</v>
      </c>
      <c r="Q287" s="61">
        <f t="shared" si="31"/>
        <v>0</v>
      </c>
      <c r="R287" s="61">
        <f t="shared" si="32"/>
        <v>0</v>
      </c>
      <c r="S287" s="61">
        <f t="shared" si="33"/>
        <v>0</v>
      </c>
      <c r="T287" s="61">
        <f t="shared" si="34"/>
        <v>0</v>
      </c>
      <c r="U287" s="61">
        <f t="shared" si="35"/>
        <v>0</v>
      </c>
      <c r="V287" s="61">
        <f t="shared" si="36"/>
        <v>0</v>
      </c>
      <c r="W287" s="61">
        <f t="shared" si="37"/>
        <v>0</v>
      </c>
      <c r="X287" s="61">
        <f t="shared" si="38"/>
        <v>0</v>
      </c>
      <c r="Y287" s="61">
        <f t="shared" si="39"/>
        <v>0</v>
      </c>
      <c r="Z287" s="73"/>
      <c r="AA287" s="73"/>
      <c r="AB287" s="73"/>
      <c r="AC287" s="73"/>
      <c r="AD287" s="73"/>
      <c r="AE287" s="73"/>
      <c r="AF287" s="73"/>
      <c r="AG287" s="73"/>
      <c r="AH287" s="73"/>
      <c r="AI287" s="73"/>
      <c r="AJ287" s="73"/>
    </row>
    <row r="288" spans="2:36">
      <c r="B288" s="67"/>
      <c r="C288" s="225"/>
      <c r="D288" s="225"/>
      <c r="E288" s="68"/>
      <c r="F288" s="68"/>
      <c r="G288" s="69"/>
      <c r="H288" s="69"/>
      <c r="I288" s="72"/>
      <c r="J288" s="71"/>
      <c r="K288" s="68"/>
      <c r="L288" s="68"/>
      <c r="M288" s="68"/>
      <c r="N288" s="68"/>
      <c r="O288" s="68"/>
      <c r="P288" s="61">
        <f t="shared" ref="P288:P351" si="40">IF(H288="REJ",1,0)</f>
        <v>0</v>
      </c>
      <c r="Q288" s="61">
        <f t="shared" ref="Q288:Q351" si="41">IF(J288="",0,1)</f>
        <v>0</v>
      </c>
      <c r="R288" s="61">
        <f t="shared" si="32"/>
        <v>0</v>
      </c>
      <c r="S288" s="61">
        <f t="shared" si="33"/>
        <v>0</v>
      </c>
      <c r="T288" s="61">
        <f t="shared" si="34"/>
        <v>0</v>
      </c>
      <c r="U288" s="61">
        <f t="shared" si="35"/>
        <v>0</v>
      </c>
      <c r="V288" s="61">
        <f t="shared" si="36"/>
        <v>0</v>
      </c>
      <c r="W288" s="61">
        <f t="shared" si="37"/>
        <v>0</v>
      </c>
      <c r="X288" s="61">
        <f t="shared" si="38"/>
        <v>0</v>
      </c>
      <c r="Y288" s="61">
        <f t="shared" si="39"/>
        <v>0</v>
      </c>
      <c r="Z288" s="73"/>
      <c r="AA288" s="73"/>
      <c r="AB288" s="73"/>
      <c r="AC288" s="73"/>
      <c r="AD288" s="73"/>
      <c r="AE288" s="73"/>
      <c r="AF288" s="73"/>
      <c r="AG288" s="73"/>
      <c r="AH288" s="73"/>
      <c r="AI288" s="73"/>
      <c r="AJ288" s="73"/>
    </row>
    <row r="289" spans="2:36">
      <c r="B289" s="67"/>
      <c r="C289" s="225"/>
      <c r="D289" s="225"/>
      <c r="E289" s="68"/>
      <c r="F289" s="68"/>
      <c r="G289" s="69"/>
      <c r="H289" s="69"/>
      <c r="I289" s="72"/>
      <c r="J289" s="71"/>
      <c r="K289" s="68"/>
      <c r="L289" s="68"/>
      <c r="M289" s="68"/>
      <c r="N289" s="68"/>
      <c r="O289" s="68"/>
      <c r="P289" s="61">
        <f t="shared" si="40"/>
        <v>0</v>
      </c>
      <c r="Q289" s="61">
        <f t="shared" si="41"/>
        <v>0</v>
      </c>
      <c r="R289" s="61">
        <f t="shared" ref="R289:R352" si="42">IF(OR(H289="REJ"),IF(J289="",1,0),0)</f>
        <v>0</v>
      </c>
      <c r="S289" s="61">
        <f t="shared" ref="S289:S352" si="43">IF(E289="CR",1,0)</f>
        <v>0</v>
      </c>
      <c r="T289" s="61">
        <f t="shared" ref="T289:T352" si="44">IF(J289="",0,1)</f>
        <v>0</v>
      </c>
      <c r="U289" s="61">
        <f t="shared" ref="U289:U352" si="45">IF(OR(E289="CR",E289="MA",E289="E"),IF(J289="",1,0),0)</f>
        <v>0</v>
      </c>
      <c r="V289" s="61">
        <f t="shared" ref="V289:V352" si="46">IF(H289="ACC",1,0)</f>
        <v>0</v>
      </c>
      <c r="W289" s="61">
        <f t="shared" ref="W289:W352" si="47">IF(K289="",0,1)</f>
        <v>0</v>
      </c>
      <c r="X289" s="61">
        <f t="shared" ref="X289:X352" si="48">IF(AND(H289="ACC"),IF(K289="",1,0),0)</f>
        <v>0</v>
      </c>
      <c r="Y289" s="61">
        <f t="shared" ref="Y289:Y352" si="49">IF(AND(H289="ACC"),IF(M289="",1,0),0)</f>
        <v>0</v>
      </c>
      <c r="Z289" s="73"/>
      <c r="AA289" s="73"/>
      <c r="AB289" s="73"/>
      <c r="AC289" s="73"/>
      <c r="AD289" s="73"/>
      <c r="AE289" s="73"/>
      <c r="AF289" s="73"/>
      <c r="AG289" s="73"/>
      <c r="AH289" s="73"/>
      <c r="AI289" s="73"/>
      <c r="AJ289" s="73"/>
    </row>
    <row r="290" spans="2:36">
      <c r="B290" s="67"/>
      <c r="C290" s="225"/>
      <c r="D290" s="225"/>
      <c r="E290" s="68"/>
      <c r="F290" s="68"/>
      <c r="G290" s="69"/>
      <c r="H290" s="69"/>
      <c r="I290" s="72"/>
      <c r="J290" s="71"/>
      <c r="K290" s="68"/>
      <c r="L290" s="68"/>
      <c r="M290" s="68"/>
      <c r="N290" s="68"/>
      <c r="O290" s="68"/>
      <c r="P290" s="61">
        <f t="shared" si="40"/>
        <v>0</v>
      </c>
      <c r="Q290" s="61">
        <f t="shared" si="41"/>
        <v>0</v>
      </c>
      <c r="R290" s="61">
        <f t="shared" si="42"/>
        <v>0</v>
      </c>
      <c r="S290" s="61">
        <f t="shared" si="43"/>
        <v>0</v>
      </c>
      <c r="T290" s="61">
        <f t="shared" si="44"/>
        <v>0</v>
      </c>
      <c r="U290" s="61">
        <f t="shared" si="45"/>
        <v>0</v>
      </c>
      <c r="V290" s="61">
        <f t="shared" si="46"/>
        <v>0</v>
      </c>
      <c r="W290" s="61">
        <f t="shared" si="47"/>
        <v>0</v>
      </c>
      <c r="X290" s="61">
        <f t="shared" si="48"/>
        <v>0</v>
      </c>
      <c r="Y290" s="61">
        <f t="shared" si="49"/>
        <v>0</v>
      </c>
      <c r="Z290" s="73"/>
      <c r="AA290" s="73"/>
      <c r="AB290" s="73"/>
      <c r="AC290" s="73"/>
      <c r="AD290" s="73"/>
      <c r="AE290" s="73"/>
      <c r="AF290" s="73"/>
      <c r="AG290" s="73"/>
      <c r="AH290" s="73"/>
      <c r="AI290" s="73"/>
      <c r="AJ290" s="73"/>
    </row>
    <row r="291" spans="2:36">
      <c r="B291" s="67"/>
      <c r="C291" s="225"/>
      <c r="D291" s="225"/>
      <c r="E291" s="68"/>
      <c r="F291" s="68"/>
      <c r="G291" s="69"/>
      <c r="H291" s="69"/>
      <c r="I291" s="72"/>
      <c r="J291" s="71"/>
      <c r="K291" s="68"/>
      <c r="L291" s="68"/>
      <c r="M291" s="68"/>
      <c r="N291" s="68"/>
      <c r="O291" s="68"/>
      <c r="P291" s="61">
        <f t="shared" si="40"/>
        <v>0</v>
      </c>
      <c r="Q291" s="61">
        <f t="shared" si="41"/>
        <v>0</v>
      </c>
      <c r="R291" s="61">
        <f t="shared" si="42"/>
        <v>0</v>
      </c>
      <c r="S291" s="61">
        <f t="shared" si="43"/>
        <v>0</v>
      </c>
      <c r="T291" s="61">
        <f t="shared" si="44"/>
        <v>0</v>
      </c>
      <c r="U291" s="61">
        <f t="shared" si="45"/>
        <v>0</v>
      </c>
      <c r="V291" s="61">
        <f t="shared" si="46"/>
        <v>0</v>
      </c>
      <c r="W291" s="61">
        <f t="shared" si="47"/>
        <v>0</v>
      </c>
      <c r="X291" s="61">
        <f t="shared" si="48"/>
        <v>0</v>
      </c>
      <c r="Y291" s="61">
        <f t="shared" si="49"/>
        <v>0</v>
      </c>
      <c r="Z291" s="73"/>
      <c r="AA291" s="73"/>
      <c r="AB291" s="73"/>
      <c r="AC291" s="73"/>
      <c r="AD291" s="73"/>
      <c r="AE291" s="73"/>
      <c r="AF291" s="73"/>
      <c r="AG291" s="73"/>
      <c r="AH291" s="73"/>
      <c r="AI291" s="73"/>
      <c r="AJ291" s="73"/>
    </row>
    <row r="292" spans="2:36">
      <c r="B292" s="67"/>
      <c r="C292" s="225"/>
      <c r="D292" s="225"/>
      <c r="E292" s="68"/>
      <c r="F292" s="68"/>
      <c r="G292" s="69"/>
      <c r="H292" s="69"/>
      <c r="I292" s="72"/>
      <c r="J292" s="71"/>
      <c r="K292" s="68"/>
      <c r="L292" s="68"/>
      <c r="M292" s="68"/>
      <c r="N292" s="68"/>
      <c r="O292" s="68"/>
      <c r="P292" s="61">
        <f t="shared" si="40"/>
        <v>0</v>
      </c>
      <c r="Q292" s="61">
        <f t="shared" si="41"/>
        <v>0</v>
      </c>
      <c r="R292" s="61">
        <f t="shared" si="42"/>
        <v>0</v>
      </c>
      <c r="S292" s="61">
        <f t="shared" si="43"/>
        <v>0</v>
      </c>
      <c r="T292" s="61">
        <f t="shared" si="44"/>
        <v>0</v>
      </c>
      <c r="U292" s="61">
        <f t="shared" si="45"/>
        <v>0</v>
      </c>
      <c r="V292" s="61">
        <f t="shared" si="46"/>
        <v>0</v>
      </c>
      <c r="W292" s="61">
        <f t="shared" si="47"/>
        <v>0</v>
      </c>
      <c r="X292" s="61">
        <f t="shared" si="48"/>
        <v>0</v>
      </c>
      <c r="Y292" s="61">
        <f t="shared" si="49"/>
        <v>0</v>
      </c>
      <c r="Z292" s="73"/>
      <c r="AA292" s="73"/>
      <c r="AB292" s="73"/>
      <c r="AC292" s="73"/>
      <c r="AD292" s="73"/>
      <c r="AE292" s="73"/>
      <c r="AF292" s="73"/>
      <c r="AG292" s="73"/>
      <c r="AH292" s="73"/>
      <c r="AI292" s="73"/>
      <c r="AJ292" s="73"/>
    </row>
    <row r="293" spans="2:36">
      <c r="B293" s="67"/>
      <c r="C293" s="225"/>
      <c r="D293" s="225"/>
      <c r="E293" s="68"/>
      <c r="F293" s="68"/>
      <c r="G293" s="69"/>
      <c r="H293" s="69"/>
      <c r="I293" s="72"/>
      <c r="J293" s="71"/>
      <c r="K293" s="68"/>
      <c r="L293" s="68"/>
      <c r="M293" s="68"/>
      <c r="N293" s="68"/>
      <c r="O293" s="68"/>
      <c r="P293" s="61">
        <f t="shared" si="40"/>
        <v>0</v>
      </c>
      <c r="Q293" s="61">
        <f t="shared" si="41"/>
        <v>0</v>
      </c>
      <c r="R293" s="61">
        <f t="shared" si="42"/>
        <v>0</v>
      </c>
      <c r="S293" s="61">
        <f t="shared" si="43"/>
        <v>0</v>
      </c>
      <c r="T293" s="61">
        <f t="shared" si="44"/>
        <v>0</v>
      </c>
      <c r="U293" s="61">
        <f t="shared" si="45"/>
        <v>0</v>
      </c>
      <c r="V293" s="61">
        <f t="shared" si="46"/>
        <v>0</v>
      </c>
      <c r="W293" s="61">
        <f t="shared" si="47"/>
        <v>0</v>
      </c>
      <c r="X293" s="61">
        <f t="shared" si="48"/>
        <v>0</v>
      </c>
      <c r="Y293" s="61">
        <f t="shared" si="49"/>
        <v>0</v>
      </c>
      <c r="Z293" s="73"/>
      <c r="AA293" s="73"/>
      <c r="AB293" s="73"/>
      <c r="AC293" s="73"/>
      <c r="AD293" s="73"/>
      <c r="AE293" s="73"/>
      <c r="AF293" s="73"/>
      <c r="AG293" s="73"/>
      <c r="AH293" s="73"/>
      <c r="AI293" s="73"/>
      <c r="AJ293" s="73"/>
    </row>
    <row r="294" spans="2:36">
      <c r="B294" s="67"/>
      <c r="C294" s="225"/>
      <c r="D294" s="225"/>
      <c r="E294" s="68"/>
      <c r="F294" s="68"/>
      <c r="G294" s="69"/>
      <c r="H294" s="69"/>
      <c r="I294" s="72"/>
      <c r="J294" s="71"/>
      <c r="K294" s="68"/>
      <c r="L294" s="68"/>
      <c r="M294" s="68"/>
      <c r="N294" s="68"/>
      <c r="O294" s="68"/>
      <c r="P294" s="61">
        <f t="shared" si="40"/>
        <v>0</v>
      </c>
      <c r="Q294" s="61">
        <f t="shared" si="41"/>
        <v>0</v>
      </c>
      <c r="R294" s="61">
        <f t="shared" si="42"/>
        <v>0</v>
      </c>
      <c r="S294" s="61">
        <f t="shared" si="43"/>
        <v>0</v>
      </c>
      <c r="T294" s="61">
        <f t="shared" si="44"/>
        <v>0</v>
      </c>
      <c r="U294" s="61">
        <f t="shared" si="45"/>
        <v>0</v>
      </c>
      <c r="V294" s="61">
        <f t="shared" si="46"/>
        <v>0</v>
      </c>
      <c r="W294" s="61">
        <f t="shared" si="47"/>
        <v>0</v>
      </c>
      <c r="X294" s="61">
        <f t="shared" si="48"/>
        <v>0</v>
      </c>
      <c r="Y294" s="61">
        <f t="shared" si="49"/>
        <v>0</v>
      </c>
      <c r="Z294" s="73"/>
      <c r="AA294" s="73"/>
      <c r="AB294" s="73"/>
      <c r="AC294" s="73"/>
      <c r="AD294" s="73"/>
      <c r="AE294" s="73"/>
      <c r="AF294" s="73"/>
      <c r="AG294" s="73"/>
      <c r="AH294" s="73"/>
      <c r="AI294" s="73"/>
      <c r="AJ294" s="73"/>
    </row>
    <row r="295" spans="2:36">
      <c r="B295" s="67"/>
      <c r="C295" s="225"/>
      <c r="D295" s="225"/>
      <c r="E295" s="68"/>
      <c r="F295" s="68"/>
      <c r="G295" s="69"/>
      <c r="H295" s="69"/>
      <c r="I295" s="72"/>
      <c r="J295" s="71"/>
      <c r="K295" s="68"/>
      <c r="L295" s="68"/>
      <c r="M295" s="68"/>
      <c r="N295" s="68"/>
      <c r="O295" s="68"/>
      <c r="P295" s="61">
        <f t="shared" si="40"/>
        <v>0</v>
      </c>
      <c r="Q295" s="61">
        <f t="shared" si="41"/>
        <v>0</v>
      </c>
      <c r="R295" s="61">
        <f t="shared" si="42"/>
        <v>0</v>
      </c>
      <c r="S295" s="61">
        <f t="shared" si="43"/>
        <v>0</v>
      </c>
      <c r="T295" s="61">
        <f t="shared" si="44"/>
        <v>0</v>
      </c>
      <c r="U295" s="61">
        <f t="shared" si="45"/>
        <v>0</v>
      </c>
      <c r="V295" s="61">
        <f t="shared" si="46"/>
        <v>0</v>
      </c>
      <c r="W295" s="61">
        <f t="shared" si="47"/>
        <v>0</v>
      </c>
      <c r="X295" s="61">
        <f t="shared" si="48"/>
        <v>0</v>
      </c>
      <c r="Y295" s="61">
        <f t="shared" si="49"/>
        <v>0</v>
      </c>
      <c r="Z295" s="73"/>
      <c r="AA295" s="73"/>
      <c r="AB295" s="73"/>
      <c r="AC295" s="73"/>
      <c r="AD295" s="73"/>
      <c r="AE295" s="73"/>
      <c r="AF295" s="73"/>
      <c r="AG295" s="73"/>
      <c r="AH295" s="73"/>
      <c r="AI295" s="73"/>
      <c r="AJ295" s="73"/>
    </row>
    <row r="296" spans="2:36">
      <c r="B296" s="67"/>
      <c r="C296" s="225"/>
      <c r="D296" s="225"/>
      <c r="E296" s="68"/>
      <c r="F296" s="68"/>
      <c r="G296" s="69"/>
      <c r="H296" s="69"/>
      <c r="I296" s="72"/>
      <c r="J296" s="71"/>
      <c r="K296" s="68"/>
      <c r="L296" s="68"/>
      <c r="M296" s="68"/>
      <c r="N296" s="68"/>
      <c r="O296" s="68"/>
      <c r="P296" s="61">
        <f t="shared" si="40"/>
        <v>0</v>
      </c>
      <c r="Q296" s="61">
        <f t="shared" si="41"/>
        <v>0</v>
      </c>
      <c r="R296" s="61">
        <f t="shared" si="42"/>
        <v>0</v>
      </c>
      <c r="S296" s="61">
        <f t="shared" si="43"/>
        <v>0</v>
      </c>
      <c r="T296" s="61">
        <f t="shared" si="44"/>
        <v>0</v>
      </c>
      <c r="U296" s="61">
        <f t="shared" si="45"/>
        <v>0</v>
      </c>
      <c r="V296" s="61">
        <f t="shared" si="46"/>
        <v>0</v>
      </c>
      <c r="W296" s="61">
        <f t="shared" si="47"/>
        <v>0</v>
      </c>
      <c r="X296" s="61">
        <f t="shared" si="48"/>
        <v>0</v>
      </c>
      <c r="Y296" s="61">
        <f t="shared" si="49"/>
        <v>0</v>
      </c>
      <c r="Z296" s="73"/>
      <c r="AA296" s="73"/>
      <c r="AB296" s="73"/>
      <c r="AC296" s="73"/>
      <c r="AD296" s="73"/>
      <c r="AE296" s="73"/>
      <c r="AF296" s="73"/>
      <c r="AG296" s="73"/>
      <c r="AH296" s="73"/>
      <c r="AI296" s="73"/>
      <c r="AJ296" s="73"/>
    </row>
    <row r="297" spans="2:36">
      <c r="B297" s="67"/>
      <c r="C297" s="225"/>
      <c r="D297" s="225"/>
      <c r="E297" s="68"/>
      <c r="F297" s="68"/>
      <c r="G297" s="69"/>
      <c r="H297" s="69"/>
      <c r="I297" s="72"/>
      <c r="J297" s="71"/>
      <c r="K297" s="68"/>
      <c r="L297" s="68"/>
      <c r="M297" s="68"/>
      <c r="N297" s="68"/>
      <c r="O297" s="68"/>
      <c r="P297" s="61">
        <f t="shared" si="40"/>
        <v>0</v>
      </c>
      <c r="Q297" s="61">
        <f t="shared" si="41"/>
        <v>0</v>
      </c>
      <c r="R297" s="61">
        <f t="shared" si="42"/>
        <v>0</v>
      </c>
      <c r="S297" s="61">
        <f t="shared" si="43"/>
        <v>0</v>
      </c>
      <c r="T297" s="61">
        <f t="shared" si="44"/>
        <v>0</v>
      </c>
      <c r="U297" s="61">
        <f t="shared" si="45"/>
        <v>0</v>
      </c>
      <c r="V297" s="61">
        <f t="shared" si="46"/>
        <v>0</v>
      </c>
      <c r="W297" s="61">
        <f t="shared" si="47"/>
        <v>0</v>
      </c>
      <c r="X297" s="61">
        <f t="shared" si="48"/>
        <v>0</v>
      </c>
      <c r="Y297" s="61">
        <f t="shared" si="49"/>
        <v>0</v>
      </c>
      <c r="Z297" s="73"/>
      <c r="AA297" s="73"/>
      <c r="AB297" s="73"/>
      <c r="AC297" s="73"/>
      <c r="AD297" s="73"/>
      <c r="AE297" s="73"/>
      <c r="AF297" s="73"/>
      <c r="AG297" s="73"/>
      <c r="AH297" s="73"/>
      <c r="AI297" s="73"/>
      <c r="AJ297" s="73"/>
    </row>
    <row r="298" spans="2:36">
      <c r="B298" s="67"/>
      <c r="C298" s="225"/>
      <c r="D298" s="225"/>
      <c r="E298" s="68"/>
      <c r="F298" s="68"/>
      <c r="G298" s="69"/>
      <c r="H298" s="69"/>
      <c r="I298" s="72"/>
      <c r="J298" s="71"/>
      <c r="K298" s="68"/>
      <c r="L298" s="68"/>
      <c r="M298" s="68"/>
      <c r="N298" s="68"/>
      <c r="O298" s="68"/>
      <c r="P298" s="61">
        <f t="shared" si="40"/>
        <v>0</v>
      </c>
      <c r="Q298" s="61">
        <f t="shared" si="41"/>
        <v>0</v>
      </c>
      <c r="R298" s="61">
        <f t="shared" si="42"/>
        <v>0</v>
      </c>
      <c r="S298" s="61">
        <f t="shared" si="43"/>
        <v>0</v>
      </c>
      <c r="T298" s="61">
        <f t="shared" si="44"/>
        <v>0</v>
      </c>
      <c r="U298" s="61">
        <f t="shared" si="45"/>
        <v>0</v>
      </c>
      <c r="V298" s="61">
        <f t="shared" si="46"/>
        <v>0</v>
      </c>
      <c r="W298" s="61">
        <f t="shared" si="47"/>
        <v>0</v>
      </c>
      <c r="X298" s="61">
        <f t="shared" si="48"/>
        <v>0</v>
      </c>
      <c r="Y298" s="61">
        <f t="shared" si="49"/>
        <v>0</v>
      </c>
      <c r="Z298" s="73"/>
      <c r="AA298" s="73"/>
      <c r="AB298" s="73"/>
      <c r="AC298" s="73"/>
      <c r="AD298" s="73"/>
      <c r="AE298" s="73"/>
      <c r="AF298" s="73"/>
      <c r="AG298" s="73"/>
      <c r="AH298" s="73"/>
      <c r="AI298" s="73"/>
      <c r="AJ298" s="73"/>
    </row>
    <row r="299" spans="2:36">
      <c r="B299" s="67"/>
      <c r="C299" s="225"/>
      <c r="D299" s="225"/>
      <c r="E299" s="68"/>
      <c r="F299" s="68"/>
      <c r="G299" s="69"/>
      <c r="H299" s="69"/>
      <c r="I299" s="72"/>
      <c r="J299" s="71"/>
      <c r="K299" s="68"/>
      <c r="L299" s="68"/>
      <c r="M299" s="68"/>
      <c r="N299" s="68"/>
      <c r="O299" s="68"/>
      <c r="P299" s="61">
        <f t="shared" si="40"/>
        <v>0</v>
      </c>
      <c r="Q299" s="61">
        <f t="shared" si="41"/>
        <v>0</v>
      </c>
      <c r="R299" s="61">
        <f t="shared" si="42"/>
        <v>0</v>
      </c>
      <c r="S299" s="61">
        <f t="shared" si="43"/>
        <v>0</v>
      </c>
      <c r="T299" s="61">
        <f t="shared" si="44"/>
        <v>0</v>
      </c>
      <c r="U299" s="61">
        <f t="shared" si="45"/>
        <v>0</v>
      </c>
      <c r="V299" s="61">
        <f t="shared" si="46"/>
        <v>0</v>
      </c>
      <c r="W299" s="61">
        <f t="shared" si="47"/>
        <v>0</v>
      </c>
      <c r="X299" s="61">
        <f t="shared" si="48"/>
        <v>0</v>
      </c>
      <c r="Y299" s="61">
        <f t="shared" si="49"/>
        <v>0</v>
      </c>
      <c r="Z299" s="73"/>
      <c r="AA299" s="73"/>
      <c r="AB299" s="73"/>
      <c r="AC299" s="73"/>
      <c r="AD299" s="73"/>
      <c r="AE299" s="73"/>
      <c r="AF299" s="73"/>
      <c r="AG299" s="73"/>
      <c r="AH299" s="73"/>
      <c r="AI299" s="73"/>
      <c r="AJ299" s="73"/>
    </row>
    <row r="300" spans="2:36">
      <c r="B300" s="67"/>
      <c r="C300" s="225"/>
      <c r="D300" s="225"/>
      <c r="E300" s="68"/>
      <c r="F300" s="68"/>
      <c r="G300" s="69"/>
      <c r="H300" s="69"/>
      <c r="I300" s="72"/>
      <c r="J300" s="71"/>
      <c r="K300" s="68"/>
      <c r="L300" s="68"/>
      <c r="M300" s="68"/>
      <c r="N300" s="68"/>
      <c r="O300" s="68"/>
      <c r="P300" s="61">
        <f t="shared" si="40"/>
        <v>0</v>
      </c>
      <c r="Q300" s="61">
        <f t="shared" si="41"/>
        <v>0</v>
      </c>
      <c r="R300" s="61">
        <f t="shared" si="42"/>
        <v>0</v>
      </c>
      <c r="S300" s="61">
        <f t="shared" si="43"/>
        <v>0</v>
      </c>
      <c r="T300" s="61">
        <f t="shared" si="44"/>
        <v>0</v>
      </c>
      <c r="U300" s="61">
        <f t="shared" si="45"/>
        <v>0</v>
      </c>
      <c r="V300" s="61">
        <f t="shared" si="46"/>
        <v>0</v>
      </c>
      <c r="W300" s="61">
        <f t="shared" si="47"/>
        <v>0</v>
      </c>
      <c r="X300" s="61">
        <f t="shared" si="48"/>
        <v>0</v>
      </c>
      <c r="Y300" s="61">
        <f t="shared" si="49"/>
        <v>0</v>
      </c>
      <c r="Z300" s="73"/>
      <c r="AA300" s="73"/>
      <c r="AB300" s="73"/>
      <c r="AC300" s="73"/>
      <c r="AD300" s="73"/>
      <c r="AE300" s="73"/>
      <c r="AF300" s="73"/>
      <c r="AG300" s="73"/>
      <c r="AH300" s="73"/>
      <c r="AI300" s="73"/>
      <c r="AJ300" s="73"/>
    </row>
    <row r="301" spans="2:36">
      <c r="B301" s="67"/>
      <c r="C301" s="225"/>
      <c r="D301" s="225"/>
      <c r="E301" s="68"/>
      <c r="F301" s="68"/>
      <c r="G301" s="69"/>
      <c r="H301" s="69"/>
      <c r="I301" s="72"/>
      <c r="J301" s="71"/>
      <c r="K301" s="68"/>
      <c r="L301" s="68"/>
      <c r="M301" s="68"/>
      <c r="N301" s="68"/>
      <c r="O301" s="68"/>
      <c r="P301" s="61">
        <f t="shared" si="40"/>
        <v>0</v>
      </c>
      <c r="Q301" s="61">
        <f t="shared" si="41"/>
        <v>0</v>
      </c>
      <c r="R301" s="61">
        <f t="shared" si="42"/>
        <v>0</v>
      </c>
      <c r="S301" s="61">
        <f t="shared" si="43"/>
        <v>0</v>
      </c>
      <c r="T301" s="61">
        <f t="shared" si="44"/>
        <v>0</v>
      </c>
      <c r="U301" s="61">
        <f t="shared" si="45"/>
        <v>0</v>
      </c>
      <c r="V301" s="61">
        <f t="shared" si="46"/>
        <v>0</v>
      </c>
      <c r="W301" s="61">
        <f t="shared" si="47"/>
        <v>0</v>
      </c>
      <c r="X301" s="61">
        <f t="shared" si="48"/>
        <v>0</v>
      </c>
      <c r="Y301" s="61">
        <f t="shared" si="49"/>
        <v>0</v>
      </c>
      <c r="Z301" s="73"/>
      <c r="AA301" s="73"/>
      <c r="AB301" s="73"/>
      <c r="AC301" s="73"/>
      <c r="AD301" s="73"/>
      <c r="AE301" s="73"/>
      <c r="AF301" s="73"/>
      <c r="AG301" s="73"/>
      <c r="AH301" s="73"/>
      <c r="AI301" s="73"/>
      <c r="AJ301" s="73"/>
    </row>
    <row r="302" spans="2:36">
      <c r="B302" s="67"/>
      <c r="C302" s="225"/>
      <c r="D302" s="225"/>
      <c r="E302" s="68"/>
      <c r="F302" s="68"/>
      <c r="G302" s="69"/>
      <c r="H302" s="69"/>
      <c r="I302" s="72"/>
      <c r="J302" s="71"/>
      <c r="K302" s="68"/>
      <c r="L302" s="68"/>
      <c r="M302" s="68"/>
      <c r="N302" s="68"/>
      <c r="O302" s="68"/>
      <c r="P302" s="61">
        <f t="shared" si="40"/>
        <v>0</v>
      </c>
      <c r="Q302" s="61">
        <f t="shared" si="41"/>
        <v>0</v>
      </c>
      <c r="R302" s="61">
        <f t="shared" si="42"/>
        <v>0</v>
      </c>
      <c r="S302" s="61">
        <f t="shared" si="43"/>
        <v>0</v>
      </c>
      <c r="T302" s="61">
        <f t="shared" si="44"/>
        <v>0</v>
      </c>
      <c r="U302" s="61">
        <f t="shared" si="45"/>
        <v>0</v>
      </c>
      <c r="V302" s="61">
        <f t="shared" si="46"/>
        <v>0</v>
      </c>
      <c r="W302" s="61">
        <f t="shared" si="47"/>
        <v>0</v>
      </c>
      <c r="X302" s="61">
        <f t="shared" si="48"/>
        <v>0</v>
      </c>
      <c r="Y302" s="61">
        <f t="shared" si="49"/>
        <v>0</v>
      </c>
      <c r="Z302" s="73"/>
      <c r="AA302" s="73"/>
      <c r="AB302" s="73"/>
      <c r="AC302" s="73"/>
      <c r="AD302" s="73"/>
      <c r="AE302" s="73"/>
      <c r="AF302" s="73"/>
      <c r="AG302" s="73"/>
      <c r="AH302" s="73"/>
      <c r="AI302" s="73"/>
      <c r="AJ302" s="73"/>
    </row>
    <row r="303" spans="2:36">
      <c r="B303" s="67"/>
      <c r="C303" s="225"/>
      <c r="D303" s="225"/>
      <c r="E303" s="68"/>
      <c r="F303" s="68"/>
      <c r="G303" s="69"/>
      <c r="H303" s="69"/>
      <c r="I303" s="72"/>
      <c r="J303" s="71"/>
      <c r="K303" s="68"/>
      <c r="L303" s="68"/>
      <c r="M303" s="68"/>
      <c r="N303" s="68"/>
      <c r="O303" s="68"/>
      <c r="P303" s="61">
        <f t="shared" si="40"/>
        <v>0</v>
      </c>
      <c r="Q303" s="61">
        <f t="shared" si="41"/>
        <v>0</v>
      </c>
      <c r="R303" s="61">
        <f t="shared" si="42"/>
        <v>0</v>
      </c>
      <c r="S303" s="61">
        <f t="shared" si="43"/>
        <v>0</v>
      </c>
      <c r="T303" s="61">
        <f t="shared" si="44"/>
        <v>0</v>
      </c>
      <c r="U303" s="61">
        <f t="shared" si="45"/>
        <v>0</v>
      </c>
      <c r="V303" s="61">
        <f t="shared" si="46"/>
        <v>0</v>
      </c>
      <c r="W303" s="61">
        <f t="shared" si="47"/>
        <v>0</v>
      </c>
      <c r="X303" s="61">
        <f t="shared" si="48"/>
        <v>0</v>
      </c>
      <c r="Y303" s="61">
        <f t="shared" si="49"/>
        <v>0</v>
      </c>
      <c r="Z303" s="73"/>
      <c r="AA303" s="73"/>
      <c r="AB303" s="73"/>
      <c r="AC303" s="73"/>
      <c r="AD303" s="73"/>
      <c r="AE303" s="73"/>
      <c r="AF303" s="73"/>
      <c r="AG303" s="73"/>
      <c r="AH303" s="73"/>
      <c r="AI303" s="73"/>
      <c r="AJ303" s="73"/>
    </row>
    <row r="304" spans="2:36">
      <c r="B304" s="67"/>
      <c r="C304" s="225"/>
      <c r="D304" s="225"/>
      <c r="E304" s="68"/>
      <c r="F304" s="68"/>
      <c r="G304" s="69"/>
      <c r="H304" s="69"/>
      <c r="I304" s="72"/>
      <c r="J304" s="71"/>
      <c r="K304" s="68"/>
      <c r="L304" s="68"/>
      <c r="M304" s="68"/>
      <c r="N304" s="68"/>
      <c r="O304" s="68"/>
      <c r="P304" s="61">
        <f t="shared" si="40"/>
        <v>0</v>
      </c>
      <c r="Q304" s="61">
        <f t="shared" si="41"/>
        <v>0</v>
      </c>
      <c r="R304" s="61">
        <f t="shared" si="42"/>
        <v>0</v>
      </c>
      <c r="S304" s="61">
        <f t="shared" si="43"/>
        <v>0</v>
      </c>
      <c r="T304" s="61">
        <f t="shared" si="44"/>
        <v>0</v>
      </c>
      <c r="U304" s="61">
        <f t="shared" si="45"/>
        <v>0</v>
      </c>
      <c r="V304" s="61">
        <f t="shared" si="46"/>
        <v>0</v>
      </c>
      <c r="W304" s="61">
        <f t="shared" si="47"/>
        <v>0</v>
      </c>
      <c r="X304" s="61">
        <f t="shared" si="48"/>
        <v>0</v>
      </c>
      <c r="Y304" s="61">
        <f t="shared" si="49"/>
        <v>0</v>
      </c>
      <c r="Z304" s="73"/>
      <c r="AA304" s="73"/>
      <c r="AB304" s="73"/>
      <c r="AC304" s="73"/>
      <c r="AD304" s="73"/>
      <c r="AE304" s="73"/>
      <c r="AF304" s="73"/>
      <c r="AG304" s="73"/>
      <c r="AH304" s="73"/>
      <c r="AI304" s="73"/>
      <c r="AJ304" s="73"/>
    </row>
    <row r="305" spans="2:36">
      <c r="B305" s="67"/>
      <c r="C305" s="225"/>
      <c r="D305" s="225"/>
      <c r="E305" s="68"/>
      <c r="F305" s="68"/>
      <c r="G305" s="69"/>
      <c r="H305" s="69"/>
      <c r="I305" s="72"/>
      <c r="J305" s="71"/>
      <c r="K305" s="68"/>
      <c r="L305" s="68"/>
      <c r="M305" s="68"/>
      <c r="N305" s="68"/>
      <c r="O305" s="68"/>
      <c r="P305" s="61">
        <f t="shared" si="40"/>
        <v>0</v>
      </c>
      <c r="Q305" s="61">
        <f t="shared" si="41"/>
        <v>0</v>
      </c>
      <c r="R305" s="61">
        <f t="shared" si="42"/>
        <v>0</v>
      </c>
      <c r="S305" s="61">
        <f t="shared" si="43"/>
        <v>0</v>
      </c>
      <c r="T305" s="61">
        <f t="shared" si="44"/>
        <v>0</v>
      </c>
      <c r="U305" s="61">
        <f t="shared" si="45"/>
        <v>0</v>
      </c>
      <c r="V305" s="61">
        <f t="shared" si="46"/>
        <v>0</v>
      </c>
      <c r="W305" s="61">
        <f t="shared" si="47"/>
        <v>0</v>
      </c>
      <c r="X305" s="61">
        <f t="shared" si="48"/>
        <v>0</v>
      </c>
      <c r="Y305" s="61">
        <f t="shared" si="49"/>
        <v>0</v>
      </c>
      <c r="Z305" s="73"/>
      <c r="AA305" s="73"/>
      <c r="AB305" s="73"/>
      <c r="AC305" s="73"/>
      <c r="AD305" s="73"/>
      <c r="AE305" s="73"/>
      <c r="AF305" s="73"/>
      <c r="AG305" s="73"/>
      <c r="AH305" s="73"/>
      <c r="AI305" s="73"/>
      <c r="AJ305" s="73"/>
    </row>
    <row r="306" spans="2:36">
      <c r="B306" s="67"/>
      <c r="C306" s="225"/>
      <c r="D306" s="225"/>
      <c r="E306" s="68"/>
      <c r="F306" s="68"/>
      <c r="G306" s="69"/>
      <c r="H306" s="69"/>
      <c r="I306" s="72"/>
      <c r="J306" s="71"/>
      <c r="K306" s="68"/>
      <c r="L306" s="68"/>
      <c r="M306" s="68"/>
      <c r="N306" s="68"/>
      <c r="O306" s="68"/>
      <c r="P306" s="61">
        <f t="shared" si="40"/>
        <v>0</v>
      </c>
      <c r="Q306" s="61">
        <f t="shared" si="41"/>
        <v>0</v>
      </c>
      <c r="R306" s="61">
        <f t="shared" si="42"/>
        <v>0</v>
      </c>
      <c r="S306" s="61">
        <f t="shared" si="43"/>
        <v>0</v>
      </c>
      <c r="T306" s="61">
        <f t="shared" si="44"/>
        <v>0</v>
      </c>
      <c r="U306" s="61">
        <f t="shared" si="45"/>
        <v>0</v>
      </c>
      <c r="V306" s="61">
        <f t="shared" si="46"/>
        <v>0</v>
      </c>
      <c r="W306" s="61">
        <f t="shared" si="47"/>
        <v>0</v>
      </c>
      <c r="X306" s="61">
        <f t="shared" si="48"/>
        <v>0</v>
      </c>
      <c r="Y306" s="61">
        <f t="shared" si="49"/>
        <v>0</v>
      </c>
      <c r="Z306" s="73"/>
      <c r="AA306" s="73"/>
      <c r="AB306" s="73"/>
      <c r="AC306" s="73"/>
      <c r="AD306" s="73"/>
      <c r="AE306" s="73"/>
      <c r="AF306" s="73"/>
      <c r="AG306" s="73"/>
      <c r="AH306" s="73"/>
      <c r="AI306" s="73"/>
      <c r="AJ306" s="73"/>
    </row>
    <row r="307" spans="2:36">
      <c r="B307" s="67"/>
      <c r="C307" s="225"/>
      <c r="D307" s="225"/>
      <c r="E307" s="68"/>
      <c r="F307" s="68"/>
      <c r="G307" s="69"/>
      <c r="H307" s="69"/>
      <c r="I307" s="72"/>
      <c r="J307" s="71"/>
      <c r="K307" s="68"/>
      <c r="L307" s="68"/>
      <c r="M307" s="68"/>
      <c r="N307" s="68"/>
      <c r="O307" s="68"/>
      <c r="P307" s="61">
        <f t="shared" si="40"/>
        <v>0</v>
      </c>
      <c r="Q307" s="61">
        <f t="shared" si="41"/>
        <v>0</v>
      </c>
      <c r="R307" s="61">
        <f t="shared" si="42"/>
        <v>0</v>
      </c>
      <c r="S307" s="61">
        <f t="shared" si="43"/>
        <v>0</v>
      </c>
      <c r="T307" s="61">
        <f t="shared" si="44"/>
        <v>0</v>
      </c>
      <c r="U307" s="61">
        <f t="shared" si="45"/>
        <v>0</v>
      </c>
      <c r="V307" s="61">
        <f t="shared" si="46"/>
        <v>0</v>
      </c>
      <c r="W307" s="61">
        <f t="shared" si="47"/>
        <v>0</v>
      </c>
      <c r="X307" s="61">
        <f t="shared" si="48"/>
        <v>0</v>
      </c>
      <c r="Y307" s="61">
        <f t="shared" si="49"/>
        <v>0</v>
      </c>
      <c r="Z307" s="73"/>
      <c r="AA307" s="73"/>
      <c r="AB307" s="73"/>
      <c r="AC307" s="73"/>
      <c r="AD307" s="73"/>
      <c r="AE307" s="73"/>
      <c r="AF307" s="73"/>
      <c r="AG307" s="73"/>
      <c r="AH307" s="73"/>
      <c r="AI307" s="73"/>
      <c r="AJ307" s="73"/>
    </row>
    <row r="308" spans="2:36">
      <c r="B308" s="67"/>
      <c r="C308" s="225"/>
      <c r="D308" s="225"/>
      <c r="E308" s="68"/>
      <c r="F308" s="68"/>
      <c r="G308" s="69"/>
      <c r="H308" s="69"/>
      <c r="I308" s="72"/>
      <c r="J308" s="71"/>
      <c r="K308" s="68"/>
      <c r="L308" s="68"/>
      <c r="M308" s="68"/>
      <c r="N308" s="68"/>
      <c r="O308" s="68"/>
      <c r="P308" s="61">
        <f t="shared" si="40"/>
        <v>0</v>
      </c>
      <c r="Q308" s="61">
        <f t="shared" si="41"/>
        <v>0</v>
      </c>
      <c r="R308" s="61">
        <f t="shared" si="42"/>
        <v>0</v>
      </c>
      <c r="S308" s="61">
        <f t="shared" si="43"/>
        <v>0</v>
      </c>
      <c r="T308" s="61">
        <f t="shared" si="44"/>
        <v>0</v>
      </c>
      <c r="U308" s="61">
        <f t="shared" si="45"/>
        <v>0</v>
      </c>
      <c r="V308" s="61">
        <f t="shared" si="46"/>
        <v>0</v>
      </c>
      <c r="W308" s="61">
        <f t="shared" si="47"/>
        <v>0</v>
      </c>
      <c r="X308" s="61">
        <f t="shared" si="48"/>
        <v>0</v>
      </c>
      <c r="Y308" s="61">
        <f t="shared" si="49"/>
        <v>0</v>
      </c>
      <c r="Z308" s="73"/>
      <c r="AA308" s="73"/>
      <c r="AB308" s="73"/>
      <c r="AC308" s="73"/>
      <c r="AD308" s="73"/>
      <c r="AE308" s="73"/>
      <c r="AF308" s="73"/>
      <c r="AG308" s="73"/>
      <c r="AH308" s="73"/>
      <c r="AI308" s="73"/>
      <c r="AJ308" s="73"/>
    </row>
    <row r="309" spans="2:36">
      <c r="B309" s="67"/>
      <c r="C309" s="225"/>
      <c r="D309" s="225"/>
      <c r="E309" s="68"/>
      <c r="F309" s="68"/>
      <c r="G309" s="69"/>
      <c r="H309" s="69"/>
      <c r="I309" s="72"/>
      <c r="J309" s="71"/>
      <c r="K309" s="68"/>
      <c r="L309" s="68"/>
      <c r="M309" s="68"/>
      <c r="N309" s="68"/>
      <c r="O309" s="68"/>
      <c r="P309" s="61">
        <f t="shared" si="40"/>
        <v>0</v>
      </c>
      <c r="Q309" s="61">
        <f t="shared" si="41"/>
        <v>0</v>
      </c>
      <c r="R309" s="61">
        <f t="shared" si="42"/>
        <v>0</v>
      </c>
      <c r="S309" s="61">
        <f t="shared" si="43"/>
        <v>0</v>
      </c>
      <c r="T309" s="61">
        <f t="shared" si="44"/>
        <v>0</v>
      </c>
      <c r="U309" s="61">
        <f t="shared" si="45"/>
        <v>0</v>
      </c>
      <c r="V309" s="61">
        <f t="shared" si="46"/>
        <v>0</v>
      </c>
      <c r="W309" s="61">
        <f t="shared" si="47"/>
        <v>0</v>
      </c>
      <c r="X309" s="61">
        <f t="shared" si="48"/>
        <v>0</v>
      </c>
      <c r="Y309" s="61">
        <f t="shared" si="49"/>
        <v>0</v>
      </c>
      <c r="Z309" s="73"/>
      <c r="AA309" s="73"/>
      <c r="AB309" s="73"/>
      <c r="AC309" s="73"/>
      <c r="AD309" s="73"/>
      <c r="AE309" s="73"/>
      <c r="AF309" s="73"/>
      <c r="AG309" s="73"/>
      <c r="AH309" s="73"/>
      <c r="AI309" s="73"/>
      <c r="AJ309" s="73"/>
    </row>
    <row r="310" spans="2:36">
      <c r="B310" s="67"/>
      <c r="C310" s="225"/>
      <c r="D310" s="225"/>
      <c r="E310" s="68"/>
      <c r="F310" s="68"/>
      <c r="G310" s="69"/>
      <c r="H310" s="69"/>
      <c r="I310" s="72"/>
      <c r="J310" s="71"/>
      <c r="K310" s="68"/>
      <c r="L310" s="68"/>
      <c r="M310" s="68"/>
      <c r="N310" s="68"/>
      <c r="O310" s="68"/>
      <c r="P310" s="61">
        <f t="shared" si="40"/>
        <v>0</v>
      </c>
      <c r="Q310" s="61">
        <f t="shared" si="41"/>
        <v>0</v>
      </c>
      <c r="R310" s="61">
        <f t="shared" si="42"/>
        <v>0</v>
      </c>
      <c r="S310" s="61">
        <f t="shared" si="43"/>
        <v>0</v>
      </c>
      <c r="T310" s="61">
        <f t="shared" si="44"/>
        <v>0</v>
      </c>
      <c r="U310" s="61">
        <f t="shared" si="45"/>
        <v>0</v>
      </c>
      <c r="V310" s="61">
        <f t="shared" si="46"/>
        <v>0</v>
      </c>
      <c r="W310" s="61">
        <f t="shared" si="47"/>
        <v>0</v>
      </c>
      <c r="X310" s="61">
        <f t="shared" si="48"/>
        <v>0</v>
      </c>
      <c r="Y310" s="61">
        <f t="shared" si="49"/>
        <v>0</v>
      </c>
      <c r="Z310" s="73"/>
      <c r="AA310" s="73"/>
      <c r="AB310" s="73"/>
      <c r="AC310" s="73"/>
      <c r="AD310" s="73"/>
      <c r="AE310" s="73"/>
      <c r="AF310" s="73"/>
      <c r="AG310" s="73"/>
      <c r="AH310" s="73"/>
      <c r="AI310" s="73"/>
      <c r="AJ310" s="73"/>
    </row>
    <row r="311" spans="2:36">
      <c r="B311" s="67"/>
      <c r="C311" s="225"/>
      <c r="D311" s="225"/>
      <c r="E311" s="68"/>
      <c r="F311" s="68"/>
      <c r="G311" s="69"/>
      <c r="H311" s="69"/>
      <c r="I311" s="72"/>
      <c r="J311" s="71"/>
      <c r="K311" s="68"/>
      <c r="L311" s="68"/>
      <c r="M311" s="68"/>
      <c r="N311" s="68"/>
      <c r="O311" s="68"/>
      <c r="P311" s="61">
        <f t="shared" si="40"/>
        <v>0</v>
      </c>
      <c r="Q311" s="61">
        <f t="shared" si="41"/>
        <v>0</v>
      </c>
      <c r="R311" s="61">
        <f t="shared" si="42"/>
        <v>0</v>
      </c>
      <c r="S311" s="61">
        <f t="shared" si="43"/>
        <v>0</v>
      </c>
      <c r="T311" s="61">
        <f t="shared" si="44"/>
        <v>0</v>
      </c>
      <c r="U311" s="61">
        <f t="shared" si="45"/>
        <v>0</v>
      </c>
      <c r="V311" s="61">
        <f t="shared" si="46"/>
        <v>0</v>
      </c>
      <c r="W311" s="61">
        <f t="shared" si="47"/>
        <v>0</v>
      </c>
      <c r="X311" s="61">
        <f t="shared" si="48"/>
        <v>0</v>
      </c>
      <c r="Y311" s="61">
        <f t="shared" si="49"/>
        <v>0</v>
      </c>
      <c r="Z311" s="73"/>
      <c r="AA311" s="73"/>
      <c r="AB311" s="73"/>
      <c r="AC311" s="73"/>
      <c r="AD311" s="73"/>
      <c r="AE311" s="73"/>
      <c r="AF311" s="73"/>
      <c r="AG311" s="73"/>
      <c r="AH311" s="73"/>
      <c r="AI311" s="73"/>
      <c r="AJ311" s="73"/>
    </row>
    <row r="312" spans="2:36">
      <c r="B312" s="67"/>
      <c r="C312" s="225"/>
      <c r="D312" s="225"/>
      <c r="E312" s="68"/>
      <c r="F312" s="68"/>
      <c r="G312" s="69"/>
      <c r="H312" s="69"/>
      <c r="I312" s="72"/>
      <c r="J312" s="71"/>
      <c r="K312" s="68"/>
      <c r="L312" s="68"/>
      <c r="M312" s="68"/>
      <c r="N312" s="68"/>
      <c r="O312" s="68"/>
      <c r="P312" s="61">
        <f t="shared" si="40"/>
        <v>0</v>
      </c>
      <c r="Q312" s="61">
        <f t="shared" si="41"/>
        <v>0</v>
      </c>
      <c r="R312" s="61">
        <f t="shared" si="42"/>
        <v>0</v>
      </c>
      <c r="S312" s="61">
        <f t="shared" si="43"/>
        <v>0</v>
      </c>
      <c r="T312" s="61">
        <f t="shared" si="44"/>
        <v>0</v>
      </c>
      <c r="U312" s="61">
        <f t="shared" si="45"/>
        <v>0</v>
      </c>
      <c r="V312" s="61">
        <f t="shared" si="46"/>
        <v>0</v>
      </c>
      <c r="W312" s="61">
        <f t="shared" si="47"/>
        <v>0</v>
      </c>
      <c r="X312" s="61">
        <f t="shared" si="48"/>
        <v>0</v>
      </c>
      <c r="Y312" s="61">
        <f t="shared" si="49"/>
        <v>0</v>
      </c>
      <c r="Z312" s="73"/>
      <c r="AA312" s="73"/>
      <c r="AB312" s="73"/>
      <c r="AC312" s="73"/>
      <c r="AD312" s="73"/>
      <c r="AE312" s="73"/>
      <c r="AF312" s="73"/>
      <c r="AG312" s="73"/>
      <c r="AH312" s="73"/>
      <c r="AI312" s="73"/>
      <c r="AJ312" s="73"/>
    </row>
    <row r="313" spans="2:36">
      <c r="B313" s="67"/>
      <c r="C313" s="225"/>
      <c r="D313" s="225"/>
      <c r="E313" s="68"/>
      <c r="F313" s="68"/>
      <c r="G313" s="69"/>
      <c r="H313" s="69"/>
      <c r="I313" s="72"/>
      <c r="J313" s="71"/>
      <c r="K313" s="68"/>
      <c r="L313" s="68"/>
      <c r="M313" s="68"/>
      <c r="N313" s="68"/>
      <c r="O313" s="68"/>
      <c r="P313" s="61">
        <f t="shared" si="40"/>
        <v>0</v>
      </c>
      <c r="Q313" s="61">
        <f t="shared" si="41"/>
        <v>0</v>
      </c>
      <c r="R313" s="61">
        <f t="shared" si="42"/>
        <v>0</v>
      </c>
      <c r="S313" s="61">
        <f t="shared" si="43"/>
        <v>0</v>
      </c>
      <c r="T313" s="61">
        <f t="shared" si="44"/>
        <v>0</v>
      </c>
      <c r="U313" s="61">
        <f t="shared" si="45"/>
        <v>0</v>
      </c>
      <c r="V313" s="61">
        <f t="shared" si="46"/>
        <v>0</v>
      </c>
      <c r="W313" s="61">
        <f t="shared" si="47"/>
        <v>0</v>
      </c>
      <c r="X313" s="61">
        <f t="shared" si="48"/>
        <v>0</v>
      </c>
      <c r="Y313" s="61">
        <f t="shared" si="49"/>
        <v>0</v>
      </c>
      <c r="Z313" s="73"/>
      <c r="AA313" s="73"/>
      <c r="AB313" s="73"/>
      <c r="AC313" s="73"/>
      <c r="AD313" s="73"/>
      <c r="AE313" s="73"/>
      <c r="AF313" s="73"/>
      <c r="AG313" s="73"/>
      <c r="AH313" s="73"/>
      <c r="AI313" s="73"/>
      <c r="AJ313" s="73"/>
    </row>
    <row r="314" spans="2:36">
      <c r="B314" s="67"/>
      <c r="C314" s="225"/>
      <c r="D314" s="225"/>
      <c r="E314" s="68"/>
      <c r="F314" s="68"/>
      <c r="G314" s="69"/>
      <c r="H314" s="69"/>
      <c r="I314" s="72"/>
      <c r="J314" s="71"/>
      <c r="K314" s="68"/>
      <c r="L314" s="68"/>
      <c r="M314" s="68"/>
      <c r="N314" s="68"/>
      <c r="O314" s="68"/>
      <c r="P314" s="61">
        <f t="shared" si="40"/>
        <v>0</v>
      </c>
      <c r="Q314" s="61">
        <f t="shared" si="41"/>
        <v>0</v>
      </c>
      <c r="R314" s="61">
        <f t="shared" si="42"/>
        <v>0</v>
      </c>
      <c r="S314" s="61">
        <f t="shared" si="43"/>
        <v>0</v>
      </c>
      <c r="T314" s="61">
        <f t="shared" si="44"/>
        <v>0</v>
      </c>
      <c r="U314" s="61">
        <f t="shared" si="45"/>
        <v>0</v>
      </c>
      <c r="V314" s="61">
        <f t="shared" si="46"/>
        <v>0</v>
      </c>
      <c r="W314" s="61">
        <f t="shared" si="47"/>
        <v>0</v>
      </c>
      <c r="X314" s="61">
        <f t="shared" si="48"/>
        <v>0</v>
      </c>
      <c r="Y314" s="61">
        <f t="shared" si="49"/>
        <v>0</v>
      </c>
      <c r="Z314" s="73"/>
      <c r="AA314" s="73"/>
      <c r="AB314" s="73"/>
      <c r="AC314" s="73"/>
      <c r="AD314" s="73"/>
      <c r="AE314" s="73"/>
      <c r="AF314" s="73"/>
      <c r="AG314" s="73"/>
      <c r="AH314" s="73"/>
      <c r="AI314" s="73"/>
      <c r="AJ314" s="73"/>
    </row>
    <row r="315" spans="2:36">
      <c r="B315" s="67"/>
      <c r="C315" s="225"/>
      <c r="D315" s="225"/>
      <c r="E315" s="68"/>
      <c r="F315" s="68"/>
      <c r="G315" s="69"/>
      <c r="H315" s="69"/>
      <c r="I315" s="72"/>
      <c r="J315" s="71"/>
      <c r="K315" s="68"/>
      <c r="L315" s="68"/>
      <c r="M315" s="68"/>
      <c r="N315" s="68"/>
      <c r="O315" s="68"/>
      <c r="P315" s="61">
        <f t="shared" si="40"/>
        <v>0</v>
      </c>
      <c r="Q315" s="61">
        <f t="shared" si="41"/>
        <v>0</v>
      </c>
      <c r="R315" s="61">
        <f t="shared" si="42"/>
        <v>0</v>
      </c>
      <c r="S315" s="61">
        <f t="shared" si="43"/>
        <v>0</v>
      </c>
      <c r="T315" s="61">
        <f t="shared" si="44"/>
        <v>0</v>
      </c>
      <c r="U315" s="61">
        <f t="shared" si="45"/>
        <v>0</v>
      </c>
      <c r="V315" s="61">
        <f t="shared" si="46"/>
        <v>0</v>
      </c>
      <c r="W315" s="61">
        <f t="shared" si="47"/>
        <v>0</v>
      </c>
      <c r="X315" s="61">
        <f t="shared" si="48"/>
        <v>0</v>
      </c>
      <c r="Y315" s="61">
        <f t="shared" si="49"/>
        <v>0</v>
      </c>
      <c r="Z315" s="73"/>
      <c r="AA315" s="73"/>
      <c r="AB315" s="73"/>
      <c r="AC315" s="73"/>
      <c r="AD315" s="73"/>
      <c r="AE315" s="73"/>
      <c r="AF315" s="73"/>
      <c r="AG315" s="73"/>
      <c r="AH315" s="73"/>
      <c r="AI315" s="73"/>
      <c r="AJ315" s="73"/>
    </row>
    <row r="316" spans="2:36">
      <c r="B316" s="67"/>
      <c r="C316" s="225"/>
      <c r="D316" s="225"/>
      <c r="E316" s="68"/>
      <c r="F316" s="68"/>
      <c r="G316" s="69"/>
      <c r="H316" s="69"/>
      <c r="I316" s="72"/>
      <c r="J316" s="71"/>
      <c r="K316" s="68"/>
      <c r="L316" s="68"/>
      <c r="M316" s="68"/>
      <c r="N316" s="68"/>
      <c r="O316" s="68"/>
      <c r="P316" s="61">
        <f t="shared" si="40"/>
        <v>0</v>
      </c>
      <c r="Q316" s="61">
        <f t="shared" si="41"/>
        <v>0</v>
      </c>
      <c r="R316" s="61">
        <f t="shared" si="42"/>
        <v>0</v>
      </c>
      <c r="S316" s="61">
        <f t="shared" si="43"/>
        <v>0</v>
      </c>
      <c r="T316" s="61">
        <f t="shared" si="44"/>
        <v>0</v>
      </c>
      <c r="U316" s="61">
        <f t="shared" si="45"/>
        <v>0</v>
      </c>
      <c r="V316" s="61">
        <f t="shared" si="46"/>
        <v>0</v>
      </c>
      <c r="W316" s="61">
        <f t="shared" si="47"/>
        <v>0</v>
      </c>
      <c r="X316" s="61">
        <f t="shared" si="48"/>
        <v>0</v>
      </c>
      <c r="Y316" s="61">
        <f t="shared" si="49"/>
        <v>0</v>
      </c>
      <c r="Z316" s="73"/>
      <c r="AA316" s="73"/>
      <c r="AB316" s="73"/>
      <c r="AC316" s="73"/>
      <c r="AD316" s="73"/>
      <c r="AE316" s="73"/>
      <c r="AF316" s="73"/>
      <c r="AG316" s="73"/>
      <c r="AH316" s="73"/>
      <c r="AI316" s="73"/>
      <c r="AJ316" s="73"/>
    </row>
    <row r="317" spans="2:36">
      <c r="B317" s="67"/>
      <c r="C317" s="225"/>
      <c r="D317" s="225"/>
      <c r="E317" s="68"/>
      <c r="F317" s="68"/>
      <c r="G317" s="69"/>
      <c r="H317" s="69"/>
      <c r="I317" s="72"/>
      <c r="J317" s="71"/>
      <c r="K317" s="68"/>
      <c r="L317" s="68"/>
      <c r="M317" s="68"/>
      <c r="N317" s="68"/>
      <c r="O317" s="68"/>
      <c r="P317" s="61">
        <f t="shared" si="40"/>
        <v>0</v>
      </c>
      <c r="Q317" s="61">
        <f t="shared" si="41"/>
        <v>0</v>
      </c>
      <c r="R317" s="61">
        <f t="shared" si="42"/>
        <v>0</v>
      </c>
      <c r="S317" s="61">
        <f t="shared" si="43"/>
        <v>0</v>
      </c>
      <c r="T317" s="61">
        <f t="shared" si="44"/>
        <v>0</v>
      </c>
      <c r="U317" s="61">
        <f t="shared" si="45"/>
        <v>0</v>
      </c>
      <c r="V317" s="61">
        <f t="shared" si="46"/>
        <v>0</v>
      </c>
      <c r="W317" s="61">
        <f t="shared" si="47"/>
        <v>0</v>
      </c>
      <c r="X317" s="61">
        <f t="shared" si="48"/>
        <v>0</v>
      </c>
      <c r="Y317" s="61">
        <f t="shared" si="49"/>
        <v>0</v>
      </c>
      <c r="Z317" s="73"/>
      <c r="AA317" s="73"/>
      <c r="AB317" s="73"/>
      <c r="AC317" s="73"/>
      <c r="AD317" s="73"/>
      <c r="AE317" s="73"/>
      <c r="AF317" s="73"/>
      <c r="AG317" s="73"/>
      <c r="AH317" s="73"/>
      <c r="AI317" s="73"/>
      <c r="AJ317" s="73"/>
    </row>
    <row r="318" spans="2:36">
      <c r="B318" s="67"/>
      <c r="C318" s="225"/>
      <c r="D318" s="225"/>
      <c r="E318" s="68"/>
      <c r="F318" s="68"/>
      <c r="G318" s="69"/>
      <c r="H318" s="69"/>
      <c r="I318" s="72"/>
      <c r="J318" s="71"/>
      <c r="K318" s="68"/>
      <c r="L318" s="68"/>
      <c r="M318" s="68"/>
      <c r="N318" s="68"/>
      <c r="O318" s="68"/>
      <c r="P318" s="61">
        <f t="shared" si="40"/>
        <v>0</v>
      </c>
      <c r="Q318" s="61">
        <f t="shared" si="41"/>
        <v>0</v>
      </c>
      <c r="R318" s="61">
        <f t="shared" si="42"/>
        <v>0</v>
      </c>
      <c r="S318" s="61">
        <f t="shared" si="43"/>
        <v>0</v>
      </c>
      <c r="T318" s="61">
        <f t="shared" si="44"/>
        <v>0</v>
      </c>
      <c r="U318" s="61">
        <f t="shared" si="45"/>
        <v>0</v>
      </c>
      <c r="V318" s="61">
        <f t="shared" si="46"/>
        <v>0</v>
      </c>
      <c r="W318" s="61">
        <f t="shared" si="47"/>
        <v>0</v>
      </c>
      <c r="X318" s="61">
        <f t="shared" si="48"/>
        <v>0</v>
      </c>
      <c r="Y318" s="61">
        <f t="shared" si="49"/>
        <v>0</v>
      </c>
      <c r="Z318" s="73"/>
      <c r="AA318" s="73"/>
      <c r="AB318" s="73"/>
      <c r="AC318" s="73"/>
      <c r="AD318" s="73"/>
      <c r="AE318" s="73"/>
      <c r="AF318" s="73"/>
      <c r="AG318" s="73"/>
      <c r="AH318" s="73"/>
      <c r="AI318" s="73"/>
      <c r="AJ318" s="73"/>
    </row>
    <row r="319" spans="2:36">
      <c r="B319" s="67"/>
      <c r="C319" s="225"/>
      <c r="D319" s="225"/>
      <c r="E319" s="68"/>
      <c r="F319" s="68"/>
      <c r="G319" s="69"/>
      <c r="H319" s="69"/>
      <c r="I319" s="72"/>
      <c r="J319" s="71"/>
      <c r="K319" s="68"/>
      <c r="L319" s="68"/>
      <c r="M319" s="68"/>
      <c r="N319" s="68"/>
      <c r="O319" s="68"/>
      <c r="P319" s="61">
        <f t="shared" si="40"/>
        <v>0</v>
      </c>
      <c r="Q319" s="61">
        <f t="shared" si="41"/>
        <v>0</v>
      </c>
      <c r="R319" s="61">
        <f t="shared" si="42"/>
        <v>0</v>
      </c>
      <c r="S319" s="61">
        <f t="shared" si="43"/>
        <v>0</v>
      </c>
      <c r="T319" s="61">
        <f t="shared" si="44"/>
        <v>0</v>
      </c>
      <c r="U319" s="61">
        <f t="shared" si="45"/>
        <v>0</v>
      </c>
      <c r="V319" s="61">
        <f t="shared" si="46"/>
        <v>0</v>
      </c>
      <c r="W319" s="61">
        <f t="shared" si="47"/>
        <v>0</v>
      </c>
      <c r="X319" s="61">
        <f t="shared" si="48"/>
        <v>0</v>
      </c>
      <c r="Y319" s="61">
        <f t="shared" si="49"/>
        <v>0</v>
      </c>
      <c r="Z319" s="73"/>
      <c r="AA319" s="73"/>
      <c r="AB319" s="73"/>
      <c r="AC319" s="73"/>
      <c r="AD319" s="73"/>
      <c r="AE319" s="73"/>
      <c r="AF319" s="73"/>
      <c r="AG319" s="73"/>
      <c r="AH319" s="73"/>
      <c r="AI319" s="73"/>
      <c r="AJ319" s="73"/>
    </row>
    <row r="320" spans="2:36">
      <c r="B320" s="67"/>
      <c r="C320" s="225"/>
      <c r="D320" s="225"/>
      <c r="E320" s="68"/>
      <c r="F320" s="68"/>
      <c r="G320" s="69"/>
      <c r="H320" s="69"/>
      <c r="I320" s="72"/>
      <c r="J320" s="71"/>
      <c r="K320" s="68"/>
      <c r="L320" s="68"/>
      <c r="M320" s="68"/>
      <c r="N320" s="68"/>
      <c r="O320" s="68"/>
      <c r="P320" s="61">
        <f t="shared" si="40"/>
        <v>0</v>
      </c>
      <c r="Q320" s="61">
        <f t="shared" si="41"/>
        <v>0</v>
      </c>
      <c r="R320" s="61">
        <f t="shared" si="42"/>
        <v>0</v>
      </c>
      <c r="S320" s="61">
        <f t="shared" si="43"/>
        <v>0</v>
      </c>
      <c r="T320" s="61">
        <f t="shared" si="44"/>
        <v>0</v>
      </c>
      <c r="U320" s="61">
        <f t="shared" si="45"/>
        <v>0</v>
      </c>
      <c r="V320" s="61">
        <f t="shared" si="46"/>
        <v>0</v>
      </c>
      <c r="W320" s="61">
        <f t="shared" si="47"/>
        <v>0</v>
      </c>
      <c r="X320" s="61">
        <f t="shared" si="48"/>
        <v>0</v>
      </c>
      <c r="Y320" s="61">
        <f t="shared" si="49"/>
        <v>0</v>
      </c>
      <c r="Z320" s="73"/>
      <c r="AA320" s="73"/>
      <c r="AB320" s="73"/>
      <c r="AC320" s="73"/>
      <c r="AD320" s="73"/>
      <c r="AE320" s="73"/>
      <c r="AF320" s="73"/>
      <c r="AG320" s="73"/>
      <c r="AH320" s="73"/>
      <c r="AI320" s="73"/>
      <c r="AJ320" s="73"/>
    </row>
    <row r="321" spans="2:36">
      <c r="B321" s="67"/>
      <c r="C321" s="225"/>
      <c r="D321" s="225"/>
      <c r="E321" s="68"/>
      <c r="F321" s="68"/>
      <c r="G321" s="69"/>
      <c r="H321" s="69"/>
      <c r="I321" s="72"/>
      <c r="J321" s="71"/>
      <c r="K321" s="68"/>
      <c r="L321" s="68"/>
      <c r="M321" s="68"/>
      <c r="N321" s="68"/>
      <c r="O321" s="68"/>
      <c r="P321" s="61">
        <f t="shared" si="40"/>
        <v>0</v>
      </c>
      <c r="Q321" s="61">
        <f t="shared" si="41"/>
        <v>0</v>
      </c>
      <c r="R321" s="61">
        <f t="shared" si="42"/>
        <v>0</v>
      </c>
      <c r="S321" s="61">
        <f t="shared" si="43"/>
        <v>0</v>
      </c>
      <c r="T321" s="61">
        <f t="shared" si="44"/>
        <v>0</v>
      </c>
      <c r="U321" s="61">
        <f t="shared" si="45"/>
        <v>0</v>
      </c>
      <c r="V321" s="61">
        <f t="shared" si="46"/>
        <v>0</v>
      </c>
      <c r="W321" s="61">
        <f t="shared" si="47"/>
        <v>0</v>
      </c>
      <c r="X321" s="61">
        <f t="shared" si="48"/>
        <v>0</v>
      </c>
      <c r="Y321" s="61">
        <f t="shared" si="49"/>
        <v>0</v>
      </c>
      <c r="Z321" s="73"/>
      <c r="AA321" s="73"/>
      <c r="AB321" s="73"/>
      <c r="AC321" s="73"/>
      <c r="AD321" s="73"/>
      <c r="AE321" s="73"/>
      <c r="AF321" s="73"/>
      <c r="AG321" s="73"/>
      <c r="AH321" s="73"/>
      <c r="AI321" s="73"/>
      <c r="AJ321" s="73"/>
    </row>
    <row r="322" spans="2:36">
      <c r="B322" s="67"/>
      <c r="C322" s="225"/>
      <c r="D322" s="225"/>
      <c r="E322" s="68"/>
      <c r="F322" s="68"/>
      <c r="G322" s="69"/>
      <c r="H322" s="69"/>
      <c r="I322" s="72"/>
      <c r="J322" s="71"/>
      <c r="K322" s="68"/>
      <c r="L322" s="68"/>
      <c r="M322" s="68"/>
      <c r="N322" s="68"/>
      <c r="O322" s="68"/>
      <c r="P322" s="61">
        <f t="shared" si="40"/>
        <v>0</v>
      </c>
      <c r="Q322" s="61">
        <f t="shared" si="41"/>
        <v>0</v>
      </c>
      <c r="R322" s="61">
        <f t="shared" si="42"/>
        <v>0</v>
      </c>
      <c r="S322" s="61">
        <f t="shared" si="43"/>
        <v>0</v>
      </c>
      <c r="T322" s="61">
        <f t="shared" si="44"/>
        <v>0</v>
      </c>
      <c r="U322" s="61">
        <f t="shared" si="45"/>
        <v>0</v>
      </c>
      <c r="V322" s="61">
        <f t="shared" si="46"/>
        <v>0</v>
      </c>
      <c r="W322" s="61">
        <f t="shared" si="47"/>
        <v>0</v>
      </c>
      <c r="X322" s="61">
        <f t="shared" si="48"/>
        <v>0</v>
      </c>
      <c r="Y322" s="61">
        <f t="shared" si="49"/>
        <v>0</v>
      </c>
      <c r="Z322" s="73"/>
      <c r="AA322" s="73"/>
      <c r="AB322" s="73"/>
      <c r="AC322" s="73"/>
      <c r="AD322" s="73"/>
      <c r="AE322" s="73"/>
      <c r="AF322" s="73"/>
      <c r="AG322" s="73"/>
      <c r="AH322" s="73"/>
      <c r="AI322" s="73"/>
      <c r="AJ322" s="73"/>
    </row>
    <row r="323" spans="2:36">
      <c r="B323" s="67"/>
      <c r="C323" s="225"/>
      <c r="D323" s="225"/>
      <c r="E323" s="68"/>
      <c r="F323" s="68"/>
      <c r="G323" s="69"/>
      <c r="H323" s="69"/>
      <c r="I323" s="72"/>
      <c r="J323" s="71"/>
      <c r="K323" s="68"/>
      <c r="L323" s="68"/>
      <c r="M323" s="68"/>
      <c r="N323" s="68"/>
      <c r="O323" s="68"/>
      <c r="P323" s="61">
        <f t="shared" si="40"/>
        <v>0</v>
      </c>
      <c r="Q323" s="61">
        <f t="shared" si="41"/>
        <v>0</v>
      </c>
      <c r="R323" s="61">
        <f t="shared" si="42"/>
        <v>0</v>
      </c>
      <c r="S323" s="61">
        <f t="shared" si="43"/>
        <v>0</v>
      </c>
      <c r="T323" s="61">
        <f t="shared" si="44"/>
        <v>0</v>
      </c>
      <c r="U323" s="61">
        <f t="shared" si="45"/>
        <v>0</v>
      </c>
      <c r="V323" s="61">
        <f t="shared" si="46"/>
        <v>0</v>
      </c>
      <c r="W323" s="61">
        <f t="shared" si="47"/>
        <v>0</v>
      </c>
      <c r="X323" s="61">
        <f t="shared" si="48"/>
        <v>0</v>
      </c>
      <c r="Y323" s="61">
        <f t="shared" si="49"/>
        <v>0</v>
      </c>
      <c r="Z323" s="73"/>
      <c r="AA323" s="73"/>
      <c r="AB323" s="73"/>
      <c r="AC323" s="73"/>
      <c r="AD323" s="73"/>
      <c r="AE323" s="73"/>
      <c r="AF323" s="73"/>
      <c r="AG323" s="73"/>
      <c r="AH323" s="73"/>
      <c r="AI323" s="73"/>
      <c r="AJ323" s="73"/>
    </row>
    <row r="324" spans="2:36">
      <c r="B324" s="67"/>
      <c r="C324" s="225"/>
      <c r="D324" s="225"/>
      <c r="E324" s="68"/>
      <c r="F324" s="68"/>
      <c r="G324" s="69"/>
      <c r="H324" s="69"/>
      <c r="I324" s="72"/>
      <c r="J324" s="71"/>
      <c r="K324" s="68"/>
      <c r="L324" s="68"/>
      <c r="M324" s="68"/>
      <c r="N324" s="68"/>
      <c r="O324" s="68"/>
      <c r="P324" s="61">
        <f t="shared" si="40"/>
        <v>0</v>
      </c>
      <c r="Q324" s="61">
        <f t="shared" si="41"/>
        <v>0</v>
      </c>
      <c r="R324" s="61">
        <f t="shared" si="42"/>
        <v>0</v>
      </c>
      <c r="S324" s="61">
        <f t="shared" si="43"/>
        <v>0</v>
      </c>
      <c r="T324" s="61">
        <f t="shared" si="44"/>
        <v>0</v>
      </c>
      <c r="U324" s="61">
        <f t="shared" si="45"/>
        <v>0</v>
      </c>
      <c r="V324" s="61">
        <f t="shared" si="46"/>
        <v>0</v>
      </c>
      <c r="W324" s="61">
        <f t="shared" si="47"/>
        <v>0</v>
      </c>
      <c r="X324" s="61">
        <f t="shared" si="48"/>
        <v>0</v>
      </c>
      <c r="Y324" s="61">
        <f t="shared" si="49"/>
        <v>0</v>
      </c>
      <c r="Z324" s="73"/>
      <c r="AA324" s="73"/>
      <c r="AB324" s="73"/>
      <c r="AC324" s="73"/>
      <c r="AD324" s="73"/>
      <c r="AE324" s="73"/>
      <c r="AF324" s="73"/>
      <c r="AG324" s="73"/>
      <c r="AH324" s="73"/>
      <c r="AI324" s="73"/>
      <c r="AJ324" s="73"/>
    </row>
    <row r="325" spans="2:36">
      <c r="B325" s="67"/>
      <c r="C325" s="225"/>
      <c r="D325" s="225"/>
      <c r="E325" s="68"/>
      <c r="F325" s="68"/>
      <c r="G325" s="69"/>
      <c r="H325" s="69"/>
      <c r="I325" s="72"/>
      <c r="J325" s="71"/>
      <c r="K325" s="68"/>
      <c r="L325" s="68"/>
      <c r="M325" s="68"/>
      <c r="N325" s="68"/>
      <c r="O325" s="68"/>
      <c r="P325" s="61">
        <f t="shared" si="40"/>
        <v>0</v>
      </c>
      <c r="Q325" s="61">
        <f t="shared" si="41"/>
        <v>0</v>
      </c>
      <c r="R325" s="61">
        <f t="shared" si="42"/>
        <v>0</v>
      </c>
      <c r="S325" s="61">
        <f t="shared" si="43"/>
        <v>0</v>
      </c>
      <c r="T325" s="61">
        <f t="shared" si="44"/>
        <v>0</v>
      </c>
      <c r="U325" s="61">
        <f t="shared" si="45"/>
        <v>0</v>
      </c>
      <c r="V325" s="61">
        <f t="shared" si="46"/>
        <v>0</v>
      </c>
      <c r="W325" s="61">
        <f t="shared" si="47"/>
        <v>0</v>
      </c>
      <c r="X325" s="61">
        <f t="shared" si="48"/>
        <v>0</v>
      </c>
      <c r="Y325" s="61">
        <f t="shared" si="49"/>
        <v>0</v>
      </c>
      <c r="Z325" s="73"/>
      <c r="AA325" s="73"/>
      <c r="AB325" s="73"/>
      <c r="AC325" s="73"/>
      <c r="AD325" s="73"/>
      <c r="AE325" s="73"/>
      <c r="AF325" s="73"/>
      <c r="AG325" s="73"/>
      <c r="AH325" s="73"/>
      <c r="AI325" s="73"/>
      <c r="AJ325" s="73"/>
    </row>
    <row r="326" spans="2:36">
      <c r="B326" s="67"/>
      <c r="C326" s="225"/>
      <c r="D326" s="225"/>
      <c r="E326" s="68"/>
      <c r="F326" s="68"/>
      <c r="G326" s="69"/>
      <c r="H326" s="69"/>
      <c r="I326" s="72"/>
      <c r="J326" s="71"/>
      <c r="K326" s="68"/>
      <c r="L326" s="68"/>
      <c r="M326" s="68"/>
      <c r="N326" s="68"/>
      <c r="O326" s="68"/>
      <c r="P326" s="61">
        <f t="shared" si="40"/>
        <v>0</v>
      </c>
      <c r="Q326" s="61">
        <f t="shared" si="41"/>
        <v>0</v>
      </c>
      <c r="R326" s="61">
        <f t="shared" si="42"/>
        <v>0</v>
      </c>
      <c r="S326" s="61">
        <f t="shared" si="43"/>
        <v>0</v>
      </c>
      <c r="T326" s="61">
        <f t="shared" si="44"/>
        <v>0</v>
      </c>
      <c r="U326" s="61">
        <f t="shared" si="45"/>
        <v>0</v>
      </c>
      <c r="V326" s="61">
        <f t="shared" si="46"/>
        <v>0</v>
      </c>
      <c r="W326" s="61">
        <f t="shared" si="47"/>
        <v>0</v>
      </c>
      <c r="X326" s="61">
        <f t="shared" si="48"/>
        <v>0</v>
      </c>
      <c r="Y326" s="61">
        <f t="shared" si="49"/>
        <v>0</v>
      </c>
      <c r="Z326" s="73"/>
      <c r="AA326" s="73"/>
      <c r="AB326" s="73"/>
      <c r="AC326" s="73"/>
      <c r="AD326" s="73"/>
      <c r="AE326" s="73"/>
      <c r="AF326" s="73"/>
      <c r="AG326" s="73"/>
      <c r="AH326" s="73"/>
      <c r="AI326" s="73"/>
      <c r="AJ326" s="73"/>
    </row>
    <row r="327" spans="2:36">
      <c r="B327" s="67"/>
      <c r="C327" s="225"/>
      <c r="D327" s="225"/>
      <c r="E327" s="68"/>
      <c r="F327" s="68"/>
      <c r="G327" s="69"/>
      <c r="H327" s="69"/>
      <c r="I327" s="72"/>
      <c r="J327" s="71"/>
      <c r="K327" s="68"/>
      <c r="L327" s="68"/>
      <c r="M327" s="68"/>
      <c r="N327" s="68"/>
      <c r="O327" s="68"/>
      <c r="P327" s="61">
        <f t="shared" si="40"/>
        <v>0</v>
      </c>
      <c r="Q327" s="61">
        <f t="shared" si="41"/>
        <v>0</v>
      </c>
      <c r="R327" s="61">
        <f t="shared" si="42"/>
        <v>0</v>
      </c>
      <c r="S327" s="61">
        <f t="shared" si="43"/>
        <v>0</v>
      </c>
      <c r="T327" s="61">
        <f t="shared" si="44"/>
        <v>0</v>
      </c>
      <c r="U327" s="61">
        <f t="shared" si="45"/>
        <v>0</v>
      </c>
      <c r="V327" s="61">
        <f t="shared" si="46"/>
        <v>0</v>
      </c>
      <c r="W327" s="61">
        <f t="shared" si="47"/>
        <v>0</v>
      </c>
      <c r="X327" s="61">
        <f t="shared" si="48"/>
        <v>0</v>
      </c>
      <c r="Y327" s="61">
        <f t="shared" si="49"/>
        <v>0</v>
      </c>
      <c r="Z327" s="73"/>
      <c r="AA327" s="73"/>
      <c r="AB327" s="73"/>
      <c r="AC327" s="73"/>
      <c r="AD327" s="73"/>
      <c r="AE327" s="73"/>
      <c r="AF327" s="73"/>
      <c r="AG327" s="73"/>
      <c r="AH327" s="73"/>
      <c r="AI327" s="73"/>
      <c r="AJ327" s="73"/>
    </row>
    <row r="328" spans="2:36">
      <c r="B328" s="67"/>
      <c r="C328" s="225"/>
      <c r="D328" s="225"/>
      <c r="E328" s="68"/>
      <c r="F328" s="68"/>
      <c r="G328" s="69"/>
      <c r="H328" s="69"/>
      <c r="I328" s="72"/>
      <c r="J328" s="71"/>
      <c r="K328" s="68"/>
      <c r="L328" s="68"/>
      <c r="M328" s="68"/>
      <c r="N328" s="68"/>
      <c r="O328" s="68"/>
      <c r="P328" s="61">
        <f t="shared" si="40"/>
        <v>0</v>
      </c>
      <c r="Q328" s="61">
        <f t="shared" si="41"/>
        <v>0</v>
      </c>
      <c r="R328" s="61">
        <f t="shared" si="42"/>
        <v>0</v>
      </c>
      <c r="S328" s="61">
        <f t="shared" si="43"/>
        <v>0</v>
      </c>
      <c r="T328" s="61">
        <f t="shared" si="44"/>
        <v>0</v>
      </c>
      <c r="U328" s="61">
        <f t="shared" si="45"/>
        <v>0</v>
      </c>
      <c r="V328" s="61">
        <f t="shared" si="46"/>
        <v>0</v>
      </c>
      <c r="W328" s="61">
        <f t="shared" si="47"/>
        <v>0</v>
      </c>
      <c r="X328" s="61">
        <f t="shared" si="48"/>
        <v>0</v>
      </c>
      <c r="Y328" s="61">
        <f t="shared" si="49"/>
        <v>0</v>
      </c>
      <c r="Z328" s="73"/>
      <c r="AA328" s="73"/>
      <c r="AB328" s="73"/>
      <c r="AC328" s="73"/>
      <c r="AD328" s="73"/>
      <c r="AE328" s="73"/>
      <c r="AF328" s="73"/>
      <c r="AG328" s="73"/>
      <c r="AH328" s="73"/>
      <c r="AI328" s="73"/>
      <c r="AJ328" s="73"/>
    </row>
    <row r="329" spans="2:36">
      <c r="B329" s="67"/>
      <c r="C329" s="225"/>
      <c r="D329" s="225"/>
      <c r="E329" s="68"/>
      <c r="F329" s="68"/>
      <c r="G329" s="69"/>
      <c r="H329" s="69"/>
      <c r="I329" s="72"/>
      <c r="J329" s="71"/>
      <c r="K329" s="68"/>
      <c r="L329" s="68"/>
      <c r="M329" s="68"/>
      <c r="N329" s="68"/>
      <c r="O329" s="68"/>
      <c r="P329" s="61">
        <f t="shared" si="40"/>
        <v>0</v>
      </c>
      <c r="Q329" s="61">
        <f t="shared" si="41"/>
        <v>0</v>
      </c>
      <c r="R329" s="61">
        <f t="shared" si="42"/>
        <v>0</v>
      </c>
      <c r="S329" s="61">
        <f t="shared" si="43"/>
        <v>0</v>
      </c>
      <c r="T329" s="61">
        <f t="shared" si="44"/>
        <v>0</v>
      </c>
      <c r="U329" s="61">
        <f t="shared" si="45"/>
        <v>0</v>
      </c>
      <c r="V329" s="61">
        <f t="shared" si="46"/>
        <v>0</v>
      </c>
      <c r="W329" s="61">
        <f t="shared" si="47"/>
        <v>0</v>
      </c>
      <c r="X329" s="61">
        <f t="shared" si="48"/>
        <v>0</v>
      </c>
      <c r="Y329" s="61">
        <f t="shared" si="49"/>
        <v>0</v>
      </c>
      <c r="Z329" s="73"/>
      <c r="AA329" s="73"/>
      <c r="AB329" s="73"/>
      <c r="AC329" s="73"/>
      <c r="AD329" s="73"/>
      <c r="AE329" s="73"/>
      <c r="AF329" s="73"/>
      <c r="AG329" s="73"/>
      <c r="AH329" s="73"/>
      <c r="AI329" s="73"/>
      <c r="AJ329" s="73"/>
    </row>
    <row r="330" spans="2:36">
      <c r="B330" s="67"/>
      <c r="C330" s="225"/>
      <c r="D330" s="225"/>
      <c r="E330" s="68"/>
      <c r="F330" s="68"/>
      <c r="G330" s="69"/>
      <c r="H330" s="69"/>
      <c r="I330" s="72"/>
      <c r="J330" s="71"/>
      <c r="K330" s="68"/>
      <c r="L330" s="68"/>
      <c r="M330" s="68"/>
      <c r="N330" s="68"/>
      <c r="O330" s="68"/>
      <c r="P330" s="61">
        <f t="shared" si="40"/>
        <v>0</v>
      </c>
      <c r="Q330" s="61">
        <f t="shared" si="41"/>
        <v>0</v>
      </c>
      <c r="R330" s="61">
        <f t="shared" si="42"/>
        <v>0</v>
      </c>
      <c r="S330" s="61">
        <f t="shared" si="43"/>
        <v>0</v>
      </c>
      <c r="T330" s="61">
        <f t="shared" si="44"/>
        <v>0</v>
      </c>
      <c r="U330" s="61">
        <f t="shared" si="45"/>
        <v>0</v>
      </c>
      <c r="V330" s="61">
        <f t="shared" si="46"/>
        <v>0</v>
      </c>
      <c r="W330" s="61">
        <f t="shared" si="47"/>
        <v>0</v>
      </c>
      <c r="X330" s="61">
        <f t="shared" si="48"/>
        <v>0</v>
      </c>
      <c r="Y330" s="61">
        <f t="shared" si="49"/>
        <v>0</v>
      </c>
      <c r="Z330" s="73"/>
      <c r="AA330" s="73"/>
      <c r="AB330" s="73"/>
      <c r="AC330" s="73"/>
      <c r="AD330" s="73"/>
      <c r="AE330" s="73"/>
      <c r="AF330" s="73"/>
      <c r="AG330" s="73"/>
      <c r="AH330" s="73"/>
      <c r="AI330" s="73"/>
      <c r="AJ330" s="73"/>
    </row>
    <row r="331" spans="2:36">
      <c r="B331" s="67"/>
      <c r="C331" s="225"/>
      <c r="D331" s="225"/>
      <c r="E331" s="68"/>
      <c r="F331" s="68"/>
      <c r="G331" s="69"/>
      <c r="H331" s="69"/>
      <c r="I331" s="72"/>
      <c r="J331" s="71"/>
      <c r="K331" s="68"/>
      <c r="L331" s="68"/>
      <c r="M331" s="68"/>
      <c r="N331" s="68"/>
      <c r="O331" s="68"/>
      <c r="P331" s="61">
        <f t="shared" si="40"/>
        <v>0</v>
      </c>
      <c r="Q331" s="61">
        <f t="shared" si="41"/>
        <v>0</v>
      </c>
      <c r="R331" s="61">
        <f t="shared" si="42"/>
        <v>0</v>
      </c>
      <c r="S331" s="61">
        <f t="shared" si="43"/>
        <v>0</v>
      </c>
      <c r="T331" s="61">
        <f t="shared" si="44"/>
        <v>0</v>
      </c>
      <c r="U331" s="61">
        <f t="shared" si="45"/>
        <v>0</v>
      </c>
      <c r="V331" s="61">
        <f t="shared" si="46"/>
        <v>0</v>
      </c>
      <c r="W331" s="61">
        <f t="shared" si="47"/>
        <v>0</v>
      </c>
      <c r="X331" s="61">
        <f t="shared" si="48"/>
        <v>0</v>
      </c>
      <c r="Y331" s="61">
        <f t="shared" si="49"/>
        <v>0</v>
      </c>
      <c r="Z331" s="73"/>
      <c r="AA331" s="73"/>
      <c r="AB331" s="73"/>
      <c r="AC331" s="73"/>
      <c r="AD331" s="73"/>
      <c r="AE331" s="73"/>
      <c r="AF331" s="73"/>
      <c r="AG331" s="73"/>
      <c r="AH331" s="73"/>
      <c r="AI331" s="73"/>
      <c r="AJ331" s="73"/>
    </row>
    <row r="332" spans="2:36">
      <c r="B332" s="67"/>
      <c r="C332" s="225"/>
      <c r="D332" s="225"/>
      <c r="E332" s="68"/>
      <c r="F332" s="68"/>
      <c r="G332" s="69"/>
      <c r="H332" s="69"/>
      <c r="I332" s="72"/>
      <c r="J332" s="71"/>
      <c r="K332" s="68"/>
      <c r="L332" s="68"/>
      <c r="M332" s="68"/>
      <c r="N332" s="68"/>
      <c r="O332" s="68"/>
      <c r="P332" s="61">
        <f t="shared" si="40"/>
        <v>0</v>
      </c>
      <c r="Q332" s="61">
        <f t="shared" si="41"/>
        <v>0</v>
      </c>
      <c r="R332" s="61">
        <f t="shared" si="42"/>
        <v>0</v>
      </c>
      <c r="S332" s="61">
        <f t="shared" si="43"/>
        <v>0</v>
      </c>
      <c r="T332" s="61">
        <f t="shared" si="44"/>
        <v>0</v>
      </c>
      <c r="U332" s="61">
        <f t="shared" si="45"/>
        <v>0</v>
      </c>
      <c r="V332" s="61">
        <f t="shared" si="46"/>
        <v>0</v>
      </c>
      <c r="W332" s="61">
        <f t="shared" si="47"/>
        <v>0</v>
      </c>
      <c r="X332" s="61">
        <f t="shared" si="48"/>
        <v>0</v>
      </c>
      <c r="Y332" s="61">
        <f t="shared" si="49"/>
        <v>0</v>
      </c>
      <c r="Z332" s="73"/>
      <c r="AA332" s="73"/>
      <c r="AB332" s="73"/>
      <c r="AC332" s="73"/>
      <c r="AD332" s="73"/>
      <c r="AE332" s="73"/>
      <c r="AF332" s="73"/>
      <c r="AG332" s="73"/>
      <c r="AH332" s="73"/>
      <c r="AI332" s="73"/>
      <c r="AJ332" s="73"/>
    </row>
    <row r="333" spans="2:36">
      <c r="B333" s="67"/>
      <c r="C333" s="225"/>
      <c r="D333" s="225"/>
      <c r="E333" s="68"/>
      <c r="F333" s="68"/>
      <c r="G333" s="69"/>
      <c r="H333" s="69"/>
      <c r="I333" s="72"/>
      <c r="J333" s="71"/>
      <c r="K333" s="68"/>
      <c r="L333" s="68"/>
      <c r="M333" s="68"/>
      <c r="N333" s="68"/>
      <c r="O333" s="68"/>
      <c r="P333" s="61">
        <f t="shared" si="40"/>
        <v>0</v>
      </c>
      <c r="Q333" s="61">
        <f t="shared" si="41"/>
        <v>0</v>
      </c>
      <c r="R333" s="61">
        <f t="shared" si="42"/>
        <v>0</v>
      </c>
      <c r="S333" s="61">
        <f t="shared" si="43"/>
        <v>0</v>
      </c>
      <c r="T333" s="61">
        <f t="shared" si="44"/>
        <v>0</v>
      </c>
      <c r="U333" s="61">
        <f t="shared" si="45"/>
        <v>0</v>
      </c>
      <c r="V333" s="61">
        <f t="shared" si="46"/>
        <v>0</v>
      </c>
      <c r="W333" s="61">
        <f t="shared" si="47"/>
        <v>0</v>
      </c>
      <c r="X333" s="61">
        <f t="shared" si="48"/>
        <v>0</v>
      </c>
      <c r="Y333" s="61">
        <f t="shared" si="49"/>
        <v>0</v>
      </c>
      <c r="Z333" s="73"/>
      <c r="AA333" s="73"/>
      <c r="AB333" s="73"/>
      <c r="AC333" s="73"/>
      <c r="AD333" s="73"/>
      <c r="AE333" s="73"/>
      <c r="AF333" s="73"/>
      <c r="AG333" s="73"/>
      <c r="AH333" s="73"/>
      <c r="AI333" s="73"/>
      <c r="AJ333" s="73"/>
    </row>
    <row r="334" spans="2:36">
      <c r="B334" s="67"/>
      <c r="C334" s="225"/>
      <c r="D334" s="225"/>
      <c r="E334" s="68"/>
      <c r="F334" s="68"/>
      <c r="G334" s="69"/>
      <c r="H334" s="69"/>
      <c r="I334" s="72"/>
      <c r="J334" s="71"/>
      <c r="K334" s="68"/>
      <c r="L334" s="68"/>
      <c r="M334" s="68"/>
      <c r="N334" s="68"/>
      <c r="O334" s="68"/>
      <c r="P334" s="61">
        <f t="shared" si="40"/>
        <v>0</v>
      </c>
      <c r="Q334" s="61">
        <f t="shared" si="41"/>
        <v>0</v>
      </c>
      <c r="R334" s="61">
        <f t="shared" si="42"/>
        <v>0</v>
      </c>
      <c r="S334" s="61">
        <f t="shared" si="43"/>
        <v>0</v>
      </c>
      <c r="T334" s="61">
        <f t="shared" si="44"/>
        <v>0</v>
      </c>
      <c r="U334" s="61">
        <f t="shared" si="45"/>
        <v>0</v>
      </c>
      <c r="V334" s="61">
        <f t="shared" si="46"/>
        <v>0</v>
      </c>
      <c r="W334" s="61">
        <f t="shared" si="47"/>
        <v>0</v>
      </c>
      <c r="X334" s="61">
        <f t="shared" si="48"/>
        <v>0</v>
      </c>
      <c r="Y334" s="61">
        <f t="shared" si="49"/>
        <v>0</v>
      </c>
      <c r="Z334" s="73"/>
      <c r="AA334" s="73"/>
      <c r="AB334" s="73"/>
      <c r="AC334" s="73"/>
      <c r="AD334" s="73"/>
      <c r="AE334" s="73"/>
      <c r="AF334" s="73"/>
      <c r="AG334" s="73"/>
      <c r="AH334" s="73"/>
      <c r="AI334" s="73"/>
      <c r="AJ334" s="73"/>
    </row>
    <row r="335" spans="2:36">
      <c r="B335" s="67"/>
      <c r="C335" s="225"/>
      <c r="D335" s="225"/>
      <c r="E335" s="68"/>
      <c r="F335" s="68"/>
      <c r="G335" s="69"/>
      <c r="H335" s="69"/>
      <c r="I335" s="72"/>
      <c r="J335" s="71"/>
      <c r="K335" s="68"/>
      <c r="L335" s="68"/>
      <c r="M335" s="68"/>
      <c r="N335" s="68"/>
      <c r="O335" s="68"/>
      <c r="P335" s="61">
        <f t="shared" si="40"/>
        <v>0</v>
      </c>
      <c r="Q335" s="61">
        <f t="shared" si="41"/>
        <v>0</v>
      </c>
      <c r="R335" s="61">
        <f t="shared" si="42"/>
        <v>0</v>
      </c>
      <c r="S335" s="61">
        <f t="shared" si="43"/>
        <v>0</v>
      </c>
      <c r="T335" s="61">
        <f t="shared" si="44"/>
        <v>0</v>
      </c>
      <c r="U335" s="61">
        <f t="shared" si="45"/>
        <v>0</v>
      </c>
      <c r="V335" s="61">
        <f t="shared" si="46"/>
        <v>0</v>
      </c>
      <c r="W335" s="61">
        <f t="shared" si="47"/>
        <v>0</v>
      </c>
      <c r="X335" s="61">
        <f t="shared" si="48"/>
        <v>0</v>
      </c>
      <c r="Y335" s="61">
        <f t="shared" si="49"/>
        <v>0</v>
      </c>
      <c r="Z335" s="73"/>
      <c r="AA335" s="73"/>
      <c r="AB335" s="73"/>
      <c r="AC335" s="73"/>
      <c r="AD335" s="73"/>
      <c r="AE335" s="73"/>
      <c r="AF335" s="73"/>
      <c r="AG335" s="73"/>
      <c r="AH335" s="73"/>
      <c r="AI335" s="73"/>
      <c r="AJ335" s="73"/>
    </row>
    <row r="336" spans="2:36">
      <c r="B336" s="67"/>
      <c r="C336" s="225"/>
      <c r="D336" s="225"/>
      <c r="E336" s="68"/>
      <c r="F336" s="68"/>
      <c r="G336" s="69"/>
      <c r="H336" s="69"/>
      <c r="I336" s="72"/>
      <c r="J336" s="71"/>
      <c r="K336" s="68"/>
      <c r="L336" s="68"/>
      <c r="M336" s="68"/>
      <c r="N336" s="68"/>
      <c r="O336" s="68"/>
      <c r="P336" s="61">
        <f t="shared" si="40"/>
        <v>0</v>
      </c>
      <c r="Q336" s="61">
        <f t="shared" si="41"/>
        <v>0</v>
      </c>
      <c r="R336" s="61">
        <f t="shared" si="42"/>
        <v>0</v>
      </c>
      <c r="S336" s="61">
        <f t="shared" si="43"/>
        <v>0</v>
      </c>
      <c r="T336" s="61">
        <f t="shared" si="44"/>
        <v>0</v>
      </c>
      <c r="U336" s="61">
        <f t="shared" si="45"/>
        <v>0</v>
      </c>
      <c r="V336" s="61">
        <f t="shared" si="46"/>
        <v>0</v>
      </c>
      <c r="W336" s="61">
        <f t="shared" si="47"/>
        <v>0</v>
      </c>
      <c r="X336" s="61">
        <f t="shared" si="48"/>
        <v>0</v>
      </c>
      <c r="Y336" s="61">
        <f t="shared" si="49"/>
        <v>0</v>
      </c>
      <c r="Z336" s="73"/>
      <c r="AA336" s="73"/>
      <c r="AB336" s="73"/>
      <c r="AC336" s="73"/>
      <c r="AD336" s="73"/>
      <c r="AE336" s="73"/>
      <c r="AF336" s="73"/>
      <c r="AG336" s="73"/>
      <c r="AH336" s="73"/>
      <c r="AI336" s="73"/>
      <c r="AJ336" s="73"/>
    </row>
    <row r="337" spans="2:36">
      <c r="B337" s="67"/>
      <c r="C337" s="225"/>
      <c r="D337" s="225"/>
      <c r="E337" s="68"/>
      <c r="F337" s="68"/>
      <c r="G337" s="69"/>
      <c r="H337" s="69"/>
      <c r="I337" s="72"/>
      <c r="J337" s="71"/>
      <c r="K337" s="68"/>
      <c r="L337" s="68"/>
      <c r="M337" s="68"/>
      <c r="N337" s="68"/>
      <c r="O337" s="68"/>
      <c r="P337" s="61">
        <f t="shared" si="40"/>
        <v>0</v>
      </c>
      <c r="Q337" s="61">
        <f t="shared" si="41"/>
        <v>0</v>
      </c>
      <c r="R337" s="61">
        <f t="shared" si="42"/>
        <v>0</v>
      </c>
      <c r="S337" s="61">
        <f t="shared" si="43"/>
        <v>0</v>
      </c>
      <c r="T337" s="61">
        <f t="shared" si="44"/>
        <v>0</v>
      </c>
      <c r="U337" s="61">
        <f t="shared" si="45"/>
        <v>0</v>
      </c>
      <c r="V337" s="61">
        <f t="shared" si="46"/>
        <v>0</v>
      </c>
      <c r="W337" s="61">
        <f t="shared" si="47"/>
        <v>0</v>
      </c>
      <c r="X337" s="61">
        <f t="shared" si="48"/>
        <v>0</v>
      </c>
      <c r="Y337" s="61">
        <f t="shared" si="49"/>
        <v>0</v>
      </c>
      <c r="Z337" s="73"/>
      <c r="AA337" s="73"/>
      <c r="AB337" s="73"/>
      <c r="AC337" s="73"/>
      <c r="AD337" s="73"/>
      <c r="AE337" s="73"/>
      <c r="AF337" s="73"/>
      <c r="AG337" s="73"/>
      <c r="AH337" s="73"/>
      <c r="AI337" s="73"/>
      <c r="AJ337" s="73"/>
    </row>
    <row r="338" spans="2:36">
      <c r="B338" s="67"/>
      <c r="C338" s="225"/>
      <c r="D338" s="225"/>
      <c r="E338" s="68"/>
      <c r="F338" s="68"/>
      <c r="G338" s="69"/>
      <c r="H338" s="69"/>
      <c r="I338" s="72"/>
      <c r="J338" s="71"/>
      <c r="K338" s="68"/>
      <c r="L338" s="68"/>
      <c r="M338" s="68"/>
      <c r="N338" s="68"/>
      <c r="O338" s="68"/>
      <c r="P338" s="61">
        <f t="shared" si="40"/>
        <v>0</v>
      </c>
      <c r="Q338" s="61">
        <f t="shared" si="41"/>
        <v>0</v>
      </c>
      <c r="R338" s="61">
        <f t="shared" si="42"/>
        <v>0</v>
      </c>
      <c r="S338" s="61">
        <f t="shared" si="43"/>
        <v>0</v>
      </c>
      <c r="T338" s="61">
        <f t="shared" si="44"/>
        <v>0</v>
      </c>
      <c r="U338" s="61">
        <f t="shared" si="45"/>
        <v>0</v>
      </c>
      <c r="V338" s="61">
        <f t="shared" si="46"/>
        <v>0</v>
      </c>
      <c r="W338" s="61">
        <f t="shared" si="47"/>
        <v>0</v>
      </c>
      <c r="X338" s="61">
        <f t="shared" si="48"/>
        <v>0</v>
      </c>
      <c r="Y338" s="61">
        <f t="shared" si="49"/>
        <v>0</v>
      </c>
      <c r="Z338" s="73"/>
      <c r="AA338" s="73"/>
      <c r="AB338" s="73"/>
      <c r="AC338" s="73"/>
      <c r="AD338" s="73"/>
      <c r="AE338" s="73"/>
      <c r="AF338" s="73"/>
      <c r="AG338" s="73"/>
      <c r="AH338" s="73"/>
      <c r="AI338" s="73"/>
      <c r="AJ338" s="73"/>
    </row>
    <row r="339" spans="2:36">
      <c r="B339" s="67"/>
      <c r="C339" s="225"/>
      <c r="D339" s="225"/>
      <c r="E339" s="68"/>
      <c r="F339" s="68"/>
      <c r="G339" s="69"/>
      <c r="H339" s="69"/>
      <c r="I339" s="72"/>
      <c r="J339" s="71"/>
      <c r="K339" s="68"/>
      <c r="L339" s="68"/>
      <c r="M339" s="68"/>
      <c r="N339" s="68"/>
      <c r="O339" s="68"/>
      <c r="P339" s="61">
        <f t="shared" si="40"/>
        <v>0</v>
      </c>
      <c r="Q339" s="61">
        <f t="shared" si="41"/>
        <v>0</v>
      </c>
      <c r="R339" s="61">
        <f t="shared" si="42"/>
        <v>0</v>
      </c>
      <c r="S339" s="61">
        <f t="shared" si="43"/>
        <v>0</v>
      </c>
      <c r="T339" s="61">
        <f t="shared" si="44"/>
        <v>0</v>
      </c>
      <c r="U339" s="61">
        <f t="shared" si="45"/>
        <v>0</v>
      </c>
      <c r="V339" s="61">
        <f t="shared" si="46"/>
        <v>0</v>
      </c>
      <c r="W339" s="61">
        <f t="shared" si="47"/>
        <v>0</v>
      </c>
      <c r="X339" s="61">
        <f t="shared" si="48"/>
        <v>0</v>
      </c>
      <c r="Y339" s="61">
        <f t="shared" si="49"/>
        <v>0</v>
      </c>
      <c r="Z339" s="73"/>
      <c r="AA339" s="73"/>
      <c r="AB339" s="73"/>
      <c r="AC339" s="73"/>
      <c r="AD339" s="73"/>
      <c r="AE339" s="73"/>
      <c r="AF339" s="73"/>
      <c r="AG339" s="73"/>
      <c r="AH339" s="73"/>
      <c r="AI339" s="73"/>
      <c r="AJ339" s="73"/>
    </row>
    <row r="340" spans="2:36">
      <c r="B340" s="67"/>
      <c r="C340" s="225"/>
      <c r="D340" s="225"/>
      <c r="E340" s="68"/>
      <c r="F340" s="68"/>
      <c r="G340" s="69"/>
      <c r="H340" s="69"/>
      <c r="I340" s="72"/>
      <c r="J340" s="71"/>
      <c r="K340" s="68"/>
      <c r="L340" s="68"/>
      <c r="M340" s="68"/>
      <c r="N340" s="68"/>
      <c r="O340" s="68"/>
      <c r="P340" s="61">
        <f t="shared" si="40"/>
        <v>0</v>
      </c>
      <c r="Q340" s="61">
        <f t="shared" si="41"/>
        <v>0</v>
      </c>
      <c r="R340" s="61">
        <f t="shared" si="42"/>
        <v>0</v>
      </c>
      <c r="S340" s="61">
        <f t="shared" si="43"/>
        <v>0</v>
      </c>
      <c r="T340" s="61">
        <f t="shared" si="44"/>
        <v>0</v>
      </c>
      <c r="U340" s="61">
        <f t="shared" si="45"/>
        <v>0</v>
      </c>
      <c r="V340" s="61">
        <f t="shared" si="46"/>
        <v>0</v>
      </c>
      <c r="W340" s="61">
        <f t="shared" si="47"/>
        <v>0</v>
      </c>
      <c r="X340" s="61">
        <f t="shared" si="48"/>
        <v>0</v>
      </c>
      <c r="Y340" s="61">
        <f t="shared" si="49"/>
        <v>0</v>
      </c>
      <c r="Z340" s="73"/>
      <c r="AA340" s="73"/>
      <c r="AB340" s="73"/>
      <c r="AC340" s="73"/>
      <c r="AD340" s="73"/>
      <c r="AE340" s="73"/>
      <c r="AF340" s="73"/>
      <c r="AG340" s="73"/>
      <c r="AH340" s="73"/>
      <c r="AI340" s="73"/>
      <c r="AJ340" s="73"/>
    </row>
    <row r="341" spans="2:36">
      <c r="B341" s="67"/>
      <c r="C341" s="225"/>
      <c r="D341" s="225"/>
      <c r="E341" s="68"/>
      <c r="F341" s="68"/>
      <c r="G341" s="69"/>
      <c r="H341" s="69"/>
      <c r="I341" s="72"/>
      <c r="J341" s="71"/>
      <c r="K341" s="68"/>
      <c r="L341" s="68"/>
      <c r="M341" s="68"/>
      <c r="N341" s="68"/>
      <c r="O341" s="68"/>
      <c r="P341" s="61">
        <f t="shared" si="40"/>
        <v>0</v>
      </c>
      <c r="Q341" s="61">
        <f t="shared" si="41"/>
        <v>0</v>
      </c>
      <c r="R341" s="61">
        <f t="shared" si="42"/>
        <v>0</v>
      </c>
      <c r="S341" s="61">
        <f t="shared" si="43"/>
        <v>0</v>
      </c>
      <c r="T341" s="61">
        <f t="shared" si="44"/>
        <v>0</v>
      </c>
      <c r="U341" s="61">
        <f t="shared" si="45"/>
        <v>0</v>
      </c>
      <c r="V341" s="61">
        <f t="shared" si="46"/>
        <v>0</v>
      </c>
      <c r="W341" s="61">
        <f t="shared" si="47"/>
        <v>0</v>
      </c>
      <c r="X341" s="61">
        <f t="shared" si="48"/>
        <v>0</v>
      </c>
      <c r="Y341" s="61">
        <f t="shared" si="49"/>
        <v>0</v>
      </c>
      <c r="Z341" s="73"/>
      <c r="AA341" s="73"/>
      <c r="AB341" s="73"/>
      <c r="AC341" s="73"/>
      <c r="AD341" s="73"/>
      <c r="AE341" s="73"/>
      <c r="AF341" s="73"/>
      <c r="AG341" s="73"/>
      <c r="AH341" s="73"/>
      <c r="AI341" s="73"/>
      <c r="AJ341" s="73"/>
    </row>
    <row r="342" spans="2:36">
      <c r="B342" s="67"/>
      <c r="C342" s="225"/>
      <c r="D342" s="225"/>
      <c r="E342" s="68"/>
      <c r="F342" s="68"/>
      <c r="G342" s="69"/>
      <c r="H342" s="69"/>
      <c r="I342" s="72"/>
      <c r="J342" s="71"/>
      <c r="K342" s="68"/>
      <c r="L342" s="68"/>
      <c r="M342" s="68"/>
      <c r="N342" s="68"/>
      <c r="O342" s="68"/>
      <c r="P342" s="61">
        <f t="shared" si="40"/>
        <v>0</v>
      </c>
      <c r="Q342" s="61">
        <f t="shared" si="41"/>
        <v>0</v>
      </c>
      <c r="R342" s="61">
        <f t="shared" si="42"/>
        <v>0</v>
      </c>
      <c r="S342" s="61">
        <f t="shared" si="43"/>
        <v>0</v>
      </c>
      <c r="T342" s="61">
        <f t="shared" si="44"/>
        <v>0</v>
      </c>
      <c r="U342" s="61">
        <f t="shared" si="45"/>
        <v>0</v>
      </c>
      <c r="V342" s="61">
        <f t="shared" si="46"/>
        <v>0</v>
      </c>
      <c r="W342" s="61">
        <f t="shared" si="47"/>
        <v>0</v>
      </c>
      <c r="X342" s="61">
        <f t="shared" si="48"/>
        <v>0</v>
      </c>
      <c r="Y342" s="61">
        <f t="shared" si="49"/>
        <v>0</v>
      </c>
      <c r="Z342" s="73"/>
      <c r="AA342" s="73"/>
      <c r="AB342" s="73"/>
      <c r="AC342" s="73"/>
      <c r="AD342" s="73"/>
      <c r="AE342" s="73"/>
      <c r="AF342" s="73"/>
      <c r="AG342" s="73"/>
      <c r="AH342" s="73"/>
      <c r="AI342" s="73"/>
      <c r="AJ342" s="73"/>
    </row>
    <row r="343" spans="2:36">
      <c r="B343" s="67"/>
      <c r="C343" s="225"/>
      <c r="D343" s="225"/>
      <c r="E343" s="68"/>
      <c r="F343" s="68"/>
      <c r="G343" s="69"/>
      <c r="H343" s="69"/>
      <c r="I343" s="72"/>
      <c r="J343" s="71"/>
      <c r="K343" s="68"/>
      <c r="L343" s="68"/>
      <c r="M343" s="68"/>
      <c r="N343" s="68"/>
      <c r="O343" s="68"/>
      <c r="P343" s="61">
        <f t="shared" si="40"/>
        <v>0</v>
      </c>
      <c r="Q343" s="61">
        <f t="shared" si="41"/>
        <v>0</v>
      </c>
      <c r="R343" s="61">
        <f t="shared" si="42"/>
        <v>0</v>
      </c>
      <c r="S343" s="61">
        <f t="shared" si="43"/>
        <v>0</v>
      </c>
      <c r="T343" s="61">
        <f t="shared" si="44"/>
        <v>0</v>
      </c>
      <c r="U343" s="61">
        <f t="shared" si="45"/>
        <v>0</v>
      </c>
      <c r="V343" s="61">
        <f t="shared" si="46"/>
        <v>0</v>
      </c>
      <c r="W343" s="61">
        <f t="shared" si="47"/>
        <v>0</v>
      </c>
      <c r="X343" s="61">
        <f t="shared" si="48"/>
        <v>0</v>
      </c>
      <c r="Y343" s="61">
        <f t="shared" si="49"/>
        <v>0</v>
      </c>
      <c r="Z343" s="73"/>
      <c r="AA343" s="73"/>
      <c r="AB343" s="73"/>
      <c r="AC343" s="73"/>
      <c r="AD343" s="73"/>
      <c r="AE343" s="73"/>
      <c r="AF343" s="73"/>
      <c r="AG343" s="73"/>
      <c r="AH343" s="73"/>
      <c r="AI343" s="73"/>
      <c r="AJ343" s="73"/>
    </row>
    <row r="344" spans="2:36">
      <c r="B344" s="67"/>
      <c r="C344" s="225"/>
      <c r="D344" s="225"/>
      <c r="E344" s="68"/>
      <c r="F344" s="68"/>
      <c r="G344" s="69"/>
      <c r="H344" s="69"/>
      <c r="I344" s="72"/>
      <c r="J344" s="71"/>
      <c r="K344" s="68"/>
      <c r="L344" s="68"/>
      <c r="M344" s="68"/>
      <c r="N344" s="68"/>
      <c r="O344" s="68"/>
      <c r="P344" s="61">
        <f t="shared" si="40"/>
        <v>0</v>
      </c>
      <c r="Q344" s="61">
        <f t="shared" si="41"/>
        <v>0</v>
      </c>
      <c r="R344" s="61">
        <f t="shared" si="42"/>
        <v>0</v>
      </c>
      <c r="S344" s="61">
        <f t="shared" si="43"/>
        <v>0</v>
      </c>
      <c r="T344" s="61">
        <f t="shared" si="44"/>
        <v>0</v>
      </c>
      <c r="U344" s="61">
        <f t="shared" si="45"/>
        <v>0</v>
      </c>
      <c r="V344" s="61">
        <f t="shared" si="46"/>
        <v>0</v>
      </c>
      <c r="W344" s="61">
        <f t="shared" si="47"/>
        <v>0</v>
      </c>
      <c r="X344" s="61">
        <f t="shared" si="48"/>
        <v>0</v>
      </c>
      <c r="Y344" s="61">
        <f t="shared" si="49"/>
        <v>0</v>
      </c>
      <c r="Z344" s="73"/>
      <c r="AA344" s="73"/>
      <c r="AB344" s="73"/>
      <c r="AC344" s="73"/>
      <c r="AD344" s="73"/>
      <c r="AE344" s="73"/>
      <c r="AF344" s="73"/>
      <c r="AG344" s="73"/>
      <c r="AH344" s="73"/>
      <c r="AI344" s="73"/>
      <c r="AJ344" s="73"/>
    </row>
    <row r="345" spans="2:36">
      <c r="B345" s="67"/>
      <c r="C345" s="225"/>
      <c r="D345" s="225"/>
      <c r="E345" s="68"/>
      <c r="F345" s="68"/>
      <c r="G345" s="69"/>
      <c r="H345" s="69"/>
      <c r="I345" s="72"/>
      <c r="J345" s="71"/>
      <c r="K345" s="68"/>
      <c r="L345" s="68"/>
      <c r="M345" s="68"/>
      <c r="N345" s="68"/>
      <c r="O345" s="68"/>
      <c r="P345" s="61">
        <f t="shared" si="40"/>
        <v>0</v>
      </c>
      <c r="Q345" s="61">
        <f t="shared" si="41"/>
        <v>0</v>
      </c>
      <c r="R345" s="61">
        <f t="shared" si="42"/>
        <v>0</v>
      </c>
      <c r="S345" s="61">
        <f t="shared" si="43"/>
        <v>0</v>
      </c>
      <c r="T345" s="61">
        <f t="shared" si="44"/>
        <v>0</v>
      </c>
      <c r="U345" s="61">
        <f t="shared" si="45"/>
        <v>0</v>
      </c>
      <c r="V345" s="61">
        <f t="shared" si="46"/>
        <v>0</v>
      </c>
      <c r="W345" s="61">
        <f t="shared" si="47"/>
        <v>0</v>
      </c>
      <c r="X345" s="61">
        <f t="shared" si="48"/>
        <v>0</v>
      </c>
      <c r="Y345" s="61">
        <f t="shared" si="49"/>
        <v>0</v>
      </c>
      <c r="Z345" s="73"/>
      <c r="AA345" s="73"/>
      <c r="AB345" s="73"/>
      <c r="AC345" s="73"/>
      <c r="AD345" s="73"/>
      <c r="AE345" s="73"/>
      <c r="AF345" s="73"/>
      <c r="AG345" s="73"/>
      <c r="AH345" s="73"/>
      <c r="AI345" s="73"/>
      <c r="AJ345" s="73"/>
    </row>
    <row r="346" spans="2:36">
      <c r="B346" s="67"/>
      <c r="C346" s="225"/>
      <c r="D346" s="225"/>
      <c r="E346" s="68"/>
      <c r="F346" s="68"/>
      <c r="G346" s="69"/>
      <c r="H346" s="69"/>
      <c r="I346" s="72"/>
      <c r="J346" s="71"/>
      <c r="K346" s="68"/>
      <c r="L346" s="68"/>
      <c r="M346" s="68"/>
      <c r="N346" s="68"/>
      <c r="O346" s="68"/>
      <c r="P346" s="61">
        <f t="shared" si="40"/>
        <v>0</v>
      </c>
      <c r="Q346" s="61">
        <f t="shared" si="41"/>
        <v>0</v>
      </c>
      <c r="R346" s="61">
        <f t="shared" si="42"/>
        <v>0</v>
      </c>
      <c r="S346" s="61">
        <f t="shared" si="43"/>
        <v>0</v>
      </c>
      <c r="T346" s="61">
        <f t="shared" si="44"/>
        <v>0</v>
      </c>
      <c r="U346" s="61">
        <f t="shared" si="45"/>
        <v>0</v>
      </c>
      <c r="V346" s="61">
        <f t="shared" si="46"/>
        <v>0</v>
      </c>
      <c r="W346" s="61">
        <f t="shared" si="47"/>
        <v>0</v>
      </c>
      <c r="X346" s="61">
        <f t="shared" si="48"/>
        <v>0</v>
      </c>
      <c r="Y346" s="61">
        <f t="shared" si="49"/>
        <v>0</v>
      </c>
      <c r="Z346" s="73"/>
      <c r="AA346" s="73"/>
      <c r="AB346" s="73"/>
      <c r="AC346" s="73"/>
      <c r="AD346" s="73"/>
      <c r="AE346" s="73"/>
      <c r="AF346" s="73"/>
      <c r="AG346" s="73"/>
      <c r="AH346" s="73"/>
      <c r="AI346" s="73"/>
      <c r="AJ346" s="73"/>
    </row>
    <row r="347" spans="2:36">
      <c r="B347" s="67"/>
      <c r="C347" s="225"/>
      <c r="D347" s="225"/>
      <c r="E347" s="68"/>
      <c r="F347" s="68"/>
      <c r="G347" s="69"/>
      <c r="H347" s="69"/>
      <c r="I347" s="72"/>
      <c r="J347" s="71"/>
      <c r="K347" s="68"/>
      <c r="L347" s="68"/>
      <c r="M347" s="68"/>
      <c r="N347" s="68"/>
      <c r="O347" s="68"/>
      <c r="P347" s="61">
        <f t="shared" si="40"/>
        <v>0</v>
      </c>
      <c r="Q347" s="61">
        <f t="shared" si="41"/>
        <v>0</v>
      </c>
      <c r="R347" s="61">
        <f t="shared" si="42"/>
        <v>0</v>
      </c>
      <c r="S347" s="61">
        <f t="shared" si="43"/>
        <v>0</v>
      </c>
      <c r="T347" s="61">
        <f t="shared" si="44"/>
        <v>0</v>
      </c>
      <c r="U347" s="61">
        <f t="shared" si="45"/>
        <v>0</v>
      </c>
      <c r="V347" s="61">
        <f t="shared" si="46"/>
        <v>0</v>
      </c>
      <c r="W347" s="61">
        <f t="shared" si="47"/>
        <v>0</v>
      </c>
      <c r="X347" s="61">
        <f t="shared" si="48"/>
        <v>0</v>
      </c>
      <c r="Y347" s="61">
        <f t="shared" si="49"/>
        <v>0</v>
      </c>
      <c r="Z347" s="73"/>
      <c r="AA347" s="73"/>
      <c r="AB347" s="73"/>
      <c r="AC347" s="73"/>
      <c r="AD347" s="73"/>
      <c r="AE347" s="73"/>
      <c r="AF347" s="73"/>
      <c r="AG347" s="73"/>
      <c r="AH347" s="73"/>
      <c r="AI347" s="73"/>
      <c r="AJ347" s="73"/>
    </row>
    <row r="348" spans="2:36">
      <c r="B348" s="67"/>
      <c r="C348" s="225"/>
      <c r="D348" s="225"/>
      <c r="E348" s="68"/>
      <c r="F348" s="68"/>
      <c r="G348" s="69"/>
      <c r="H348" s="69"/>
      <c r="I348" s="72"/>
      <c r="J348" s="71"/>
      <c r="K348" s="68"/>
      <c r="L348" s="68"/>
      <c r="M348" s="68"/>
      <c r="N348" s="68"/>
      <c r="O348" s="68"/>
      <c r="P348" s="61">
        <f t="shared" si="40"/>
        <v>0</v>
      </c>
      <c r="Q348" s="61">
        <f t="shared" si="41"/>
        <v>0</v>
      </c>
      <c r="R348" s="61">
        <f t="shared" si="42"/>
        <v>0</v>
      </c>
      <c r="S348" s="61">
        <f t="shared" si="43"/>
        <v>0</v>
      </c>
      <c r="T348" s="61">
        <f t="shared" si="44"/>
        <v>0</v>
      </c>
      <c r="U348" s="61">
        <f t="shared" si="45"/>
        <v>0</v>
      </c>
      <c r="V348" s="61">
        <f t="shared" si="46"/>
        <v>0</v>
      </c>
      <c r="W348" s="61">
        <f t="shared" si="47"/>
        <v>0</v>
      </c>
      <c r="X348" s="61">
        <f t="shared" si="48"/>
        <v>0</v>
      </c>
      <c r="Y348" s="61">
        <f t="shared" si="49"/>
        <v>0</v>
      </c>
      <c r="Z348" s="73"/>
      <c r="AA348" s="73"/>
      <c r="AB348" s="73"/>
      <c r="AC348" s="73"/>
      <c r="AD348" s="73"/>
      <c r="AE348" s="73"/>
      <c r="AF348" s="73"/>
      <c r="AG348" s="73"/>
      <c r="AH348" s="73"/>
      <c r="AI348" s="73"/>
      <c r="AJ348" s="73"/>
    </row>
    <row r="349" spans="2:36">
      <c r="B349" s="67"/>
      <c r="C349" s="225"/>
      <c r="D349" s="225"/>
      <c r="E349" s="68"/>
      <c r="F349" s="68"/>
      <c r="G349" s="69"/>
      <c r="H349" s="69"/>
      <c r="I349" s="72"/>
      <c r="J349" s="71"/>
      <c r="K349" s="68"/>
      <c r="L349" s="68"/>
      <c r="M349" s="68"/>
      <c r="N349" s="68"/>
      <c r="O349" s="68"/>
      <c r="P349" s="61">
        <f t="shared" si="40"/>
        <v>0</v>
      </c>
      <c r="Q349" s="61">
        <f t="shared" si="41"/>
        <v>0</v>
      </c>
      <c r="R349" s="61">
        <f t="shared" si="42"/>
        <v>0</v>
      </c>
      <c r="S349" s="61">
        <f t="shared" si="43"/>
        <v>0</v>
      </c>
      <c r="T349" s="61">
        <f t="shared" si="44"/>
        <v>0</v>
      </c>
      <c r="U349" s="61">
        <f t="shared" si="45"/>
        <v>0</v>
      </c>
      <c r="V349" s="61">
        <f t="shared" si="46"/>
        <v>0</v>
      </c>
      <c r="W349" s="61">
        <f t="shared" si="47"/>
        <v>0</v>
      </c>
      <c r="X349" s="61">
        <f t="shared" si="48"/>
        <v>0</v>
      </c>
      <c r="Y349" s="61">
        <f t="shared" si="49"/>
        <v>0</v>
      </c>
      <c r="Z349" s="73"/>
      <c r="AA349" s="73"/>
      <c r="AB349" s="73"/>
      <c r="AC349" s="73"/>
      <c r="AD349" s="73"/>
      <c r="AE349" s="73"/>
      <c r="AF349" s="73"/>
      <c r="AG349" s="73"/>
      <c r="AH349" s="73"/>
      <c r="AI349" s="73"/>
      <c r="AJ349" s="73"/>
    </row>
    <row r="350" spans="2:36">
      <c r="B350" s="67"/>
      <c r="C350" s="225"/>
      <c r="D350" s="225"/>
      <c r="E350" s="68"/>
      <c r="F350" s="68"/>
      <c r="G350" s="69"/>
      <c r="H350" s="69"/>
      <c r="I350" s="72"/>
      <c r="J350" s="71"/>
      <c r="K350" s="68"/>
      <c r="L350" s="68"/>
      <c r="M350" s="68"/>
      <c r="N350" s="68"/>
      <c r="O350" s="68"/>
      <c r="P350" s="61">
        <f t="shared" si="40"/>
        <v>0</v>
      </c>
      <c r="Q350" s="61">
        <f t="shared" si="41"/>
        <v>0</v>
      </c>
      <c r="R350" s="61">
        <f t="shared" si="42"/>
        <v>0</v>
      </c>
      <c r="S350" s="61">
        <f t="shared" si="43"/>
        <v>0</v>
      </c>
      <c r="T350" s="61">
        <f t="shared" si="44"/>
        <v>0</v>
      </c>
      <c r="U350" s="61">
        <f t="shared" si="45"/>
        <v>0</v>
      </c>
      <c r="V350" s="61">
        <f t="shared" si="46"/>
        <v>0</v>
      </c>
      <c r="W350" s="61">
        <f t="shared" si="47"/>
        <v>0</v>
      </c>
      <c r="X350" s="61">
        <f t="shared" si="48"/>
        <v>0</v>
      </c>
      <c r="Y350" s="61">
        <f t="shared" si="49"/>
        <v>0</v>
      </c>
      <c r="Z350" s="73"/>
      <c r="AA350" s="73"/>
      <c r="AB350" s="73"/>
      <c r="AC350" s="73"/>
      <c r="AD350" s="73"/>
      <c r="AE350" s="73"/>
      <c r="AF350" s="73"/>
      <c r="AG350" s="73"/>
      <c r="AH350" s="73"/>
      <c r="AI350" s="73"/>
      <c r="AJ350" s="73"/>
    </row>
    <row r="351" spans="2:36">
      <c r="B351" s="67"/>
      <c r="C351" s="225"/>
      <c r="D351" s="225"/>
      <c r="E351" s="68"/>
      <c r="F351" s="68"/>
      <c r="G351" s="69"/>
      <c r="H351" s="69"/>
      <c r="I351" s="72"/>
      <c r="J351" s="71"/>
      <c r="K351" s="68"/>
      <c r="L351" s="68"/>
      <c r="M351" s="68"/>
      <c r="N351" s="68"/>
      <c r="O351" s="68"/>
      <c r="P351" s="61">
        <f t="shared" si="40"/>
        <v>0</v>
      </c>
      <c r="Q351" s="61">
        <f t="shared" si="41"/>
        <v>0</v>
      </c>
      <c r="R351" s="61">
        <f t="shared" si="42"/>
        <v>0</v>
      </c>
      <c r="S351" s="61">
        <f t="shared" si="43"/>
        <v>0</v>
      </c>
      <c r="T351" s="61">
        <f t="shared" si="44"/>
        <v>0</v>
      </c>
      <c r="U351" s="61">
        <f t="shared" si="45"/>
        <v>0</v>
      </c>
      <c r="V351" s="61">
        <f t="shared" si="46"/>
        <v>0</v>
      </c>
      <c r="W351" s="61">
        <f t="shared" si="47"/>
        <v>0</v>
      </c>
      <c r="X351" s="61">
        <f t="shared" si="48"/>
        <v>0</v>
      </c>
      <c r="Y351" s="61">
        <f t="shared" si="49"/>
        <v>0</v>
      </c>
      <c r="Z351" s="73"/>
      <c r="AA351" s="73"/>
      <c r="AB351" s="73"/>
      <c r="AC351" s="73"/>
      <c r="AD351" s="73"/>
      <c r="AE351" s="73"/>
      <c r="AF351" s="73"/>
      <c r="AG351" s="73"/>
      <c r="AH351" s="73"/>
      <c r="AI351" s="73"/>
      <c r="AJ351" s="73"/>
    </row>
    <row r="352" spans="2:36">
      <c r="B352" s="67"/>
      <c r="C352" s="225"/>
      <c r="D352" s="225"/>
      <c r="E352" s="68"/>
      <c r="F352" s="68"/>
      <c r="G352" s="69"/>
      <c r="H352" s="69"/>
      <c r="I352" s="72"/>
      <c r="J352" s="71"/>
      <c r="K352" s="68"/>
      <c r="L352" s="68"/>
      <c r="M352" s="68"/>
      <c r="N352" s="68"/>
      <c r="O352" s="68"/>
      <c r="P352" s="61">
        <f t="shared" ref="P352:P415" si="50">IF(H352="REJ",1,0)</f>
        <v>0</v>
      </c>
      <c r="Q352" s="61">
        <f t="shared" ref="Q352:Q415" si="51">IF(J352="",0,1)</f>
        <v>0</v>
      </c>
      <c r="R352" s="61">
        <f t="shared" si="42"/>
        <v>0</v>
      </c>
      <c r="S352" s="61">
        <f t="shared" si="43"/>
        <v>0</v>
      </c>
      <c r="T352" s="61">
        <f t="shared" si="44"/>
        <v>0</v>
      </c>
      <c r="U352" s="61">
        <f t="shared" si="45"/>
        <v>0</v>
      </c>
      <c r="V352" s="61">
        <f t="shared" si="46"/>
        <v>0</v>
      </c>
      <c r="W352" s="61">
        <f t="shared" si="47"/>
        <v>0</v>
      </c>
      <c r="X352" s="61">
        <f t="shared" si="48"/>
        <v>0</v>
      </c>
      <c r="Y352" s="61">
        <f t="shared" si="49"/>
        <v>0</v>
      </c>
      <c r="Z352" s="73"/>
      <c r="AA352" s="73"/>
      <c r="AB352" s="73"/>
      <c r="AC352" s="73"/>
      <c r="AD352" s="73"/>
      <c r="AE352" s="73"/>
      <c r="AF352" s="73"/>
      <c r="AG352" s="73"/>
      <c r="AH352" s="73"/>
      <c r="AI352" s="73"/>
      <c r="AJ352" s="73"/>
    </row>
    <row r="353" spans="2:36">
      <c r="B353" s="67"/>
      <c r="C353" s="225"/>
      <c r="D353" s="225"/>
      <c r="E353" s="68"/>
      <c r="F353" s="68"/>
      <c r="G353" s="69"/>
      <c r="H353" s="69"/>
      <c r="I353" s="72"/>
      <c r="J353" s="71"/>
      <c r="K353" s="68"/>
      <c r="L353" s="68"/>
      <c r="M353" s="68"/>
      <c r="N353" s="68"/>
      <c r="O353" s="68"/>
      <c r="P353" s="61">
        <f t="shared" si="50"/>
        <v>0</v>
      </c>
      <c r="Q353" s="61">
        <f t="shared" si="51"/>
        <v>0</v>
      </c>
      <c r="R353" s="61">
        <f t="shared" ref="R353:R416" si="52">IF(OR(H353="REJ"),IF(J353="",1,0),0)</f>
        <v>0</v>
      </c>
      <c r="S353" s="61">
        <f t="shared" ref="S353:S416" si="53">IF(E353="CR",1,0)</f>
        <v>0</v>
      </c>
      <c r="T353" s="61">
        <f t="shared" ref="T353:T416" si="54">IF(J353="",0,1)</f>
        <v>0</v>
      </c>
      <c r="U353" s="61">
        <f t="shared" ref="U353:U416" si="55">IF(OR(E353="CR",E353="MA",E353="E"),IF(J353="",1,0),0)</f>
        <v>0</v>
      </c>
      <c r="V353" s="61">
        <f t="shared" ref="V353:V416" si="56">IF(H353="ACC",1,0)</f>
        <v>0</v>
      </c>
      <c r="W353" s="61">
        <f t="shared" ref="W353:W416" si="57">IF(K353="",0,1)</f>
        <v>0</v>
      </c>
      <c r="X353" s="61">
        <f t="shared" ref="X353:X416" si="58">IF(AND(H353="ACC"),IF(K353="",1,0),0)</f>
        <v>0</v>
      </c>
      <c r="Y353" s="61">
        <f t="shared" ref="Y353:Y416" si="59">IF(AND(H353="ACC"),IF(M353="",1,0),0)</f>
        <v>0</v>
      </c>
      <c r="Z353" s="73"/>
      <c r="AA353" s="73"/>
      <c r="AB353" s="73"/>
      <c r="AC353" s="73"/>
      <c r="AD353" s="73"/>
      <c r="AE353" s="73"/>
      <c r="AF353" s="73"/>
      <c r="AG353" s="73"/>
      <c r="AH353" s="73"/>
      <c r="AI353" s="73"/>
      <c r="AJ353" s="73"/>
    </row>
    <row r="354" spans="2:36">
      <c r="B354" s="67"/>
      <c r="C354" s="225"/>
      <c r="D354" s="225"/>
      <c r="E354" s="68"/>
      <c r="F354" s="68"/>
      <c r="G354" s="69"/>
      <c r="H354" s="69"/>
      <c r="I354" s="72"/>
      <c r="J354" s="71"/>
      <c r="K354" s="68"/>
      <c r="L354" s="68"/>
      <c r="M354" s="68"/>
      <c r="N354" s="68"/>
      <c r="O354" s="68"/>
      <c r="P354" s="61">
        <f t="shared" si="50"/>
        <v>0</v>
      </c>
      <c r="Q354" s="61">
        <f t="shared" si="51"/>
        <v>0</v>
      </c>
      <c r="R354" s="61">
        <f t="shared" si="52"/>
        <v>0</v>
      </c>
      <c r="S354" s="61">
        <f t="shared" si="53"/>
        <v>0</v>
      </c>
      <c r="T354" s="61">
        <f t="shared" si="54"/>
        <v>0</v>
      </c>
      <c r="U354" s="61">
        <f t="shared" si="55"/>
        <v>0</v>
      </c>
      <c r="V354" s="61">
        <f t="shared" si="56"/>
        <v>0</v>
      </c>
      <c r="W354" s="61">
        <f t="shared" si="57"/>
        <v>0</v>
      </c>
      <c r="X354" s="61">
        <f t="shared" si="58"/>
        <v>0</v>
      </c>
      <c r="Y354" s="61">
        <f t="shared" si="59"/>
        <v>0</v>
      </c>
      <c r="Z354" s="73"/>
      <c r="AA354" s="73"/>
      <c r="AB354" s="73"/>
      <c r="AC354" s="73"/>
      <c r="AD354" s="73"/>
      <c r="AE354" s="73"/>
      <c r="AF354" s="73"/>
      <c r="AG354" s="73"/>
      <c r="AH354" s="73"/>
      <c r="AI354" s="73"/>
      <c r="AJ354" s="73"/>
    </row>
    <row r="355" spans="2:36">
      <c r="B355" s="67"/>
      <c r="C355" s="225"/>
      <c r="D355" s="225"/>
      <c r="E355" s="68"/>
      <c r="F355" s="68"/>
      <c r="G355" s="69"/>
      <c r="H355" s="69"/>
      <c r="I355" s="72"/>
      <c r="J355" s="71"/>
      <c r="K355" s="68"/>
      <c r="L355" s="68"/>
      <c r="M355" s="68"/>
      <c r="N355" s="68"/>
      <c r="O355" s="68"/>
      <c r="P355" s="61">
        <f t="shared" si="50"/>
        <v>0</v>
      </c>
      <c r="Q355" s="61">
        <f t="shared" si="51"/>
        <v>0</v>
      </c>
      <c r="R355" s="61">
        <f t="shared" si="52"/>
        <v>0</v>
      </c>
      <c r="S355" s="61">
        <f t="shared" si="53"/>
        <v>0</v>
      </c>
      <c r="T355" s="61">
        <f t="shared" si="54"/>
        <v>0</v>
      </c>
      <c r="U355" s="61">
        <f t="shared" si="55"/>
        <v>0</v>
      </c>
      <c r="V355" s="61">
        <f t="shared" si="56"/>
        <v>0</v>
      </c>
      <c r="W355" s="61">
        <f t="shared" si="57"/>
        <v>0</v>
      </c>
      <c r="X355" s="61">
        <f t="shared" si="58"/>
        <v>0</v>
      </c>
      <c r="Y355" s="61">
        <f t="shared" si="59"/>
        <v>0</v>
      </c>
      <c r="Z355" s="73"/>
      <c r="AA355" s="73"/>
      <c r="AB355" s="73"/>
      <c r="AC355" s="73"/>
      <c r="AD355" s="73"/>
      <c r="AE355" s="73"/>
      <c r="AF355" s="73"/>
      <c r="AG355" s="73"/>
      <c r="AH355" s="73"/>
      <c r="AI355" s="73"/>
      <c r="AJ355" s="73"/>
    </row>
    <row r="356" spans="2:36">
      <c r="B356" s="67"/>
      <c r="C356" s="225"/>
      <c r="D356" s="225"/>
      <c r="E356" s="68"/>
      <c r="F356" s="68"/>
      <c r="G356" s="69"/>
      <c r="H356" s="69"/>
      <c r="I356" s="72"/>
      <c r="J356" s="71"/>
      <c r="K356" s="68"/>
      <c r="L356" s="68"/>
      <c r="M356" s="68"/>
      <c r="N356" s="68"/>
      <c r="O356" s="68"/>
      <c r="P356" s="61">
        <f t="shared" si="50"/>
        <v>0</v>
      </c>
      <c r="Q356" s="61">
        <f t="shared" si="51"/>
        <v>0</v>
      </c>
      <c r="R356" s="61">
        <f t="shared" si="52"/>
        <v>0</v>
      </c>
      <c r="S356" s="61">
        <f t="shared" si="53"/>
        <v>0</v>
      </c>
      <c r="T356" s="61">
        <f t="shared" si="54"/>
        <v>0</v>
      </c>
      <c r="U356" s="61">
        <f t="shared" si="55"/>
        <v>0</v>
      </c>
      <c r="V356" s="61">
        <f t="shared" si="56"/>
        <v>0</v>
      </c>
      <c r="W356" s="61">
        <f t="shared" si="57"/>
        <v>0</v>
      </c>
      <c r="X356" s="61">
        <f t="shared" si="58"/>
        <v>0</v>
      </c>
      <c r="Y356" s="61">
        <f t="shared" si="59"/>
        <v>0</v>
      </c>
      <c r="Z356" s="73"/>
      <c r="AA356" s="73"/>
      <c r="AB356" s="73"/>
      <c r="AC356" s="73"/>
      <c r="AD356" s="73"/>
      <c r="AE356" s="73"/>
      <c r="AF356" s="73"/>
      <c r="AG356" s="73"/>
      <c r="AH356" s="73"/>
      <c r="AI356" s="73"/>
      <c r="AJ356" s="73"/>
    </row>
    <row r="357" spans="2:36">
      <c r="B357" s="67"/>
      <c r="C357" s="225"/>
      <c r="D357" s="225"/>
      <c r="E357" s="68"/>
      <c r="F357" s="68"/>
      <c r="G357" s="69"/>
      <c r="H357" s="69"/>
      <c r="I357" s="72"/>
      <c r="J357" s="71"/>
      <c r="K357" s="68"/>
      <c r="L357" s="68"/>
      <c r="M357" s="68"/>
      <c r="N357" s="68"/>
      <c r="O357" s="68"/>
      <c r="P357" s="61">
        <f t="shared" si="50"/>
        <v>0</v>
      </c>
      <c r="Q357" s="61">
        <f t="shared" si="51"/>
        <v>0</v>
      </c>
      <c r="R357" s="61">
        <f t="shared" si="52"/>
        <v>0</v>
      </c>
      <c r="S357" s="61">
        <f t="shared" si="53"/>
        <v>0</v>
      </c>
      <c r="T357" s="61">
        <f t="shared" si="54"/>
        <v>0</v>
      </c>
      <c r="U357" s="61">
        <f t="shared" si="55"/>
        <v>0</v>
      </c>
      <c r="V357" s="61">
        <f t="shared" si="56"/>
        <v>0</v>
      </c>
      <c r="W357" s="61">
        <f t="shared" si="57"/>
        <v>0</v>
      </c>
      <c r="X357" s="61">
        <f t="shared" si="58"/>
        <v>0</v>
      </c>
      <c r="Y357" s="61">
        <f t="shared" si="59"/>
        <v>0</v>
      </c>
      <c r="Z357" s="73"/>
      <c r="AA357" s="73"/>
      <c r="AB357" s="73"/>
      <c r="AC357" s="73"/>
      <c r="AD357" s="73"/>
      <c r="AE357" s="73"/>
      <c r="AF357" s="73"/>
      <c r="AG357" s="73"/>
      <c r="AH357" s="73"/>
      <c r="AI357" s="73"/>
      <c r="AJ357" s="73"/>
    </row>
    <row r="358" spans="2:36">
      <c r="B358" s="67"/>
      <c r="C358" s="225"/>
      <c r="D358" s="225"/>
      <c r="E358" s="68"/>
      <c r="F358" s="68"/>
      <c r="G358" s="69"/>
      <c r="H358" s="69"/>
      <c r="I358" s="72"/>
      <c r="J358" s="71"/>
      <c r="K358" s="68"/>
      <c r="L358" s="68"/>
      <c r="M358" s="68"/>
      <c r="N358" s="68"/>
      <c r="O358" s="68"/>
      <c r="P358" s="61">
        <f t="shared" si="50"/>
        <v>0</v>
      </c>
      <c r="Q358" s="61">
        <f t="shared" si="51"/>
        <v>0</v>
      </c>
      <c r="R358" s="61">
        <f t="shared" si="52"/>
        <v>0</v>
      </c>
      <c r="S358" s="61">
        <f t="shared" si="53"/>
        <v>0</v>
      </c>
      <c r="T358" s="61">
        <f t="shared" si="54"/>
        <v>0</v>
      </c>
      <c r="U358" s="61">
        <f t="shared" si="55"/>
        <v>0</v>
      </c>
      <c r="V358" s="61">
        <f t="shared" si="56"/>
        <v>0</v>
      </c>
      <c r="W358" s="61">
        <f t="shared" si="57"/>
        <v>0</v>
      </c>
      <c r="X358" s="61">
        <f t="shared" si="58"/>
        <v>0</v>
      </c>
      <c r="Y358" s="61">
        <f t="shared" si="59"/>
        <v>0</v>
      </c>
      <c r="Z358" s="73"/>
      <c r="AA358" s="73"/>
      <c r="AB358" s="73"/>
      <c r="AC358" s="73"/>
      <c r="AD358" s="73"/>
      <c r="AE358" s="73"/>
      <c r="AF358" s="73"/>
      <c r="AG358" s="73"/>
      <c r="AH358" s="73"/>
      <c r="AI358" s="73"/>
      <c r="AJ358" s="73"/>
    </row>
    <row r="359" spans="2:36">
      <c r="B359" s="67"/>
      <c r="C359" s="225"/>
      <c r="D359" s="225"/>
      <c r="E359" s="68"/>
      <c r="F359" s="68"/>
      <c r="G359" s="69"/>
      <c r="H359" s="69"/>
      <c r="I359" s="72"/>
      <c r="J359" s="71"/>
      <c r="K359" s="68"/>
      <c r="L359" s="68"/>
      <c r="M359" s="68"/>
      <c r="N359" s="68"/>
      <c r="O359" s="68"/>
      <c r="P359" s="61">
        <f t="shared" si="50"/>
        <v>0</v>
      </c>
      <c r="Q359" s="61">
        <f t="shared" si="51"/>
        <v>0</v>
      </c>
      <c r="R359" s="61">
        <f t="shared" si="52"/>
        <v>0</v>
      </c>
      <c r="S359" s="61">
        <f t="shared" si="53"/>
        <v>0</v>
      </c>
      <c r="T359" s="61">
        <f t="shared" si="54"/>
        <v>0</v>
      </c>
      <c r="U359" s="61">
        <f t="shared" si="55"/>
        <v>0</v>
      </c>
      <c r="V359" s="61">
        <f t="shared" si="56"/>
        <v>0</v>
      </c>
      <c r="W359" s="61">
        <f t="shared" si="57"/>
        <v>0</v>
      </c>
      <c r="X359" s="61">
        <f t="shared" si="58"/>
        <v>0</v>
      </c>
      <c r="Y359" s="61">
        <f t="shared" si="59"/>
        <v>0</v>
      </c>
      <c r="Z359" s="73"/>
      <c r="AA359" s="73"/>
      <c r="AB359" s="73"/>
      <c r="AC359" s="73"/>
      <c r="AD359" s="73"/>
      <c r="AE359" s="73"/>
      <c r="AF359" s="73"/>
      <c r="AG359" s="73"/>
      <c r="AH359" s="73"/>
      <c r="AI359" s="73"/>
      <c r="AJ359" s="73"/>
    </row>
    <row r="360" spans="2:36">
      <c r="B360" s="67"/>
      <c r="C360" s="225"/>
      <c r="D360" s="225"/>
      <c r="E360" s="68"/>
      <c r="F360" s="68"/>
      <c r="G360" s="69"/>
      <c r="H360" s="69"/>
      <c r="I360" s="72"/>
      <c r="J360" s="71"/>
      <c r="K360" s="68"/>
      <c r="L360" s="68"/>
      <c r="M360" s="68"/>
      <c r="N360" s="68"/>
      <c r="O360" s="68"/>
      <c r="P360" s="61">
        <f t="shared" si="50"/>
        <v>0</v>
      </c>
      <c r="Q360" s="61">
        <f t="shared" si="51"/>
        <v>0</v>
      </c>
      <c r="R360" s="61">
        <f t="shared" si="52"/>
        <v>0</v>
      </c>
      <c r="S360" s="61">
        <f t="shared" si="53"/>
        <v>0</v>
      </c>
      <c r="T360" s="61">
        <f t="shared" si="54"/>
        <v>0</v>
      </c>
      <c r="U360" s="61">
        <f t="shared" si="55"/>
        <v>0</v>
      </c>
      <c r="V360" s="61">
        <f t="shared" si="56"/>
        <v>0</v>
      </c>
      <c r="W360" s="61">
        <f t="shared" si="57"/>
        <v>0</v>
      </c>
      <c r="X360" s="61">
        <f t="shared" si="58"/>
        <v>0</v>
      </c>
      <c r="Y360" s="61">
        <f t="shared" si="59"/>
        <v>0</v>
      </c>
      <c r="Z360" s="73"/>
      <c r="AA360" s="73"/>
      <c r="AB360" s="73"/>
      <c r="AC360" s="73"/>
      <c r="AD360" s="73"/>
      <c r="AE360" s="73"/>
      <c r="AF360" s="73"/>
      <c r="AG360" s="73"/>
      <c r="AH360" s="73"/>
      <c r="AI360" s="73"/>
      <c r="AJ360" s="73"/>
    </row>
    <row r="361" spans="2:36">
      <c r="B361" s="67"/>
      <c r="C361" s="225"/>
      <c r="D361" s="225"/>
      <c r="E361" s="68"/>
      <c r="F361" s="68"/>
      <c r="G361" s="69"/>
      <c r="H361" s="69"/>
      <c r="I361" s="72"/>
      <c r="J361" s="71"/>
      <c r="K361" s="68"/>
      <c r="L361" s="68"/>
      <c r="M361" s="68"/>
      <c r="N361" s="68"/>
      <c r="O361" s="68"/>
      <c r="P361" s="61">
        <f t="shared" si="50"/>
        <v>0</v>
      </c>
      <c r="Q361" s="61">
        <f t="shared" si="51"/>
        <v>0</v>
      </c>
      <c r="R361" s="61">
        <f t="shared" si="52"/>
        <v>0</v>
      </c>
      <c r="S361" s="61">
        <f t="shared" si="53"/>
        <v>0</v>
      </c>
      <c r="T361" s="61">
        <f t="shared" si="54"/>
        <v>0</v>
      </c>
      <c r="U361" s="61">
        <f t="shared" si="55"/>
        <v>0</v>
      </c>
      <c r="V361" s="61">
        <f t="shared" si="56"/>
        <v>0</v>
      </c>
      <c r="W361" s="61">
        <f t="shared" si="57"/>
        <v>0</v>
      </c>
      <c r="X361" s="61">
        <f t="shared" si="58"/>
        <v>0</v>
      </c>
      <c r="Y361" s="61">
        <f t="shared" si="59"/>
        <v>0</v>
      </c>
      <c r="Z361" s="73"/>
      <c r="AA361" s="73"/>
      <c r="AB361" s="73"/>
      <c r="AC361" s="73"/>
      <c r="AD361" s="73"/>
      <c r="AE361" s="73"/>
      <c r="AF361" s="73"/>
      <c r="AG361" s="73"/>
      <c r="AH361" s="73"/>
      <c r="AI361" s="73"/>
      <c r="AJ361" s="73"/>
    </row>
    <row r="362" spans="2:36">
      <c r="B362" s="67"/>
      <c r="C362" s="225"/>
      <c r="D362" s="225"/>
      <c r="E362" s="68"/>
      <c r="F362" s="68"/>
      <c r="G362" s="69"/>
      <c r="H362" s="69"/>
      <c r="I362" s="72"/>
      <c r="J362" s="71"/>
      <c r="K362" s="68"/>
      <c r="L362" s="68"/>
      <c r="M362" s="68"/>
      <c r="N362" s="68"/>
      <c r="O362" s="68"/>
      <c r="P362" s="61">
        <f t="shared" si="50"/>
        <v>0</v>
      </c>
      <c r="Q362" s="61">
        <f t="shared" si="51"/>
        <v>0</v>
      </c>
      <c r="R362" s="61">
        <f t="shared" si="52"/>
        <v>0</v>
      </c>
      <c r="S362" s="61">
        <f t="shared" si="53"/>
        <v>0</v>
      </c>
      <c r="T362" s="61">
        <f t="shared" si="54"/>
        <v>0</v>
      </c>
      <c r="U362" s="61">
        <f t="shared" si="55"/>
        <v>0</v>
      </c>
      <c r="V362" s="61">
        <f t="shared" si="56"/>
        <v>0</v>
      </c>
      <c r="W362" s="61">
        <f t="shared" si="57"/>
        <v>0</v>
      </c>
      <c r="X362" s="61">
        <f t="shared" si="58"/>
        <v>0</v>
      </c>
      <c r="Y362" s="61">
        <f t="shared" si="59"/>
        <v>0</v>
      </c>
      <c r="Z362" s="73"/>
      <c r="AA362" s="73"/>
      <c r="AB362" s="73"/>
      <c r="AC362" s="73"/>
      <c r="AD362" s="73"/>
      <c r="AE362" s="73"/>
      <c r="AF362" s="73"/>
      <c r="AG362" s="73"/>
      <c r="AH362" s="73"/>
      <c r="AI362" s="73"/>
      <c r="AJ362" s="73"/>
    </row>
    <row r="363" spans="2:36">
      <c r="B363" s="67"/>
      <c r="C363" s="225"/>
      <c r="D363" s="225"/>
      <c r="E363" s="68"/>
      <c r="F363" s="68"/>
      <c r="G363" s="69"/>
      <c r="H363" s="69"/>
      <c r="I363" s="72"/>
      <c r="J363" s="71"/>
      <c r="K363" s="68"/>
      <c r="L363" s="68"/>
      <c r="M363" s="68"/>
      <c r="N363" s="68"/>
      <c r="O363" s="68"/>
      <c r="P363" s="61">
        <f t="shared" si="50"/>
        <v>0</v>
      </c>
      <c r="Q363" s="61">
        <f t="shared" si="51"/>
        <v>0</v>
      </c>
      <c r="R363" s="61">
        <f t="shared" si="52"/>
        <v>0</v>
      </c>
      <c r="S363" s="61">
        <f t="shared" si="53"/>
        <v>0</v>
      </c>
      <c r="T363" s="61">
        <f t="shared" si="54"/>
        <v>0</v>
      </c>
      <c r="U363" s="61">
        <f t="shared" si="55"/>
        <v>0</v>
      </c>
      <c r="V363" s="61">
        <f t="shared" si="56"/>
        <v>0</v>
      </c>
      <c r="W363" s="61">
        <f t="shared" si="57"/>
        <v>0</v>
      </c>
      <c r="X363" s="61">
        <f t="shared" si="58"/>
        <v>0</v>
      </c>
      <c r="Y363" s="61">
        <f t="shared" si="59"/>
        <v>0</v>
      </c>
      <c r="Z363" s="73"/>
      <c r="AA363" s="73"/>
      <c r="AB363" s="73"/>
      <c r="AC363" s="73"/>
      <c r="AD363" s="73"/>
      <c r="AE363" s="73"/>
      <c r="AF363" s="73"/>
      <c r="AG363" s="73"/>
      <c r="AH363" s="73"/>
      <c r="AI363" s="73"/>
      <c r="AJ363" s="73"/>
    </row>
    <row r="364" spans="2:36">
      <c r="B364" s="67"/>
      <c r="C364" s="225"/>
      <c r="D364" s="225"/>
      <c r="E364" s="68"/>
      <c r="F364" s="68"/>
      <c r="G364" s="69"/>
      <c r="H364" s="69"/>
      <c r="I364" s="72"/>
      <c r="J364" s="71"/>
      <c r="K364" s="68"/>
      <c r="L364" s="68"/>
      <c r="M364" s="68"/>
      <c r="N364" s="68"/>
      <c r="O364" s="68"/>
      <c r="P364" s="61">
        <f t="shared" si="50"/>
        <v>0</v>
      </c>
      <c r="Q364" s="61">
        <f t="shared" si="51"/>
        <v>0</v>
      </c>
      <c r="R364" s="61">
        <f t="shared" si="52"/>
        <v>0</v>
      </c>
      <c r="S364" s="61">
        <f t="shared" si="53"/>
        <v>0</v>
      </c>
      <c r="T364" s="61">
        <f t="shared" si="54"/>
        <v>0</v>
      </c>
      <c r="U364" s="61">
        <f t="shared" si="55"/>
        <v>0</v>
      </c>
      <c r="V364" s="61">
        <f t="shared" si="56"/>
        <v>0</v>
      </c>
      <c r="W364" s="61">
        <f t="shared" si="57"/>
        <v>0</v>
      </c>
      <c r="X364" s="61">
        <f t="shared" si="58"/>
        <v>0</v>
      </c>
      <c r="Y364" s="61">
        <f t="shared" si="59"/>
        <v>0</v>
      </c>
      <c r="Z364" s="73"/>
      <c r="AA364" s="73"/>
      <c r="AB364" s="73"/>
      <c r="AC364" s="73"/>
      <c r="AD364" s="73"/>
      <c r="AE364" s="73"/>
      <c r="AF364" s="73"/>
      <c r="AG364" s="73"/>
      <c r="AH364" s="73"/>
      <c r="AI364" s="73"/>
      <c r="AJ364" s="73"/>
    </row>
    <row r="365" spans="2:36">
      <c r="B365" s="67"/>
      <c r="C365" s="225"/>
      <c r="D365" s="225"/>
      <c r="E365" s="68"/>
      <c r="F365" s="68"/>
      <c r="G365" s="69"/>
      <c r="H365" s="69"/>
      <c r="I365" s="72"/>
      <c r="J365" s="71"/>
      <c r="K365" s="68"/>
      <c r="L365" s="68"/>
      <c r="M365" s="68"/>
      <c r="N365" s="68"/>
      <c r="O365" s="68"/>
      <c r="P365" s="61">
        <f t="shared" si="50"/>
        <v>0</v>
      </c>
      <c r="Q365" s="61">
        <f t="shared" si="51"/>
        <v>0</v>
      </c>
      <c r="R365" s="61">
        <f t="shared" si="52"/>
        <v>0</v>
      </c>
      <c r="S365" s="61">
        <f t="shared" si="53"/>
        <v>0</v>
      </c>
      <c r="T365" s="61">
        <f t="shared" si="54"/>
        <v>0</v>
      </c>
      <c r="U365" s="61">
        <f t="shared" si="55"/>
        <v>0</v>
      </c>
      <c r="V365" s="61">
        <f t="shared" si="56"/>
        <v>0</v>
      </c>
      <c r="W365" s="61">
        <f t="shared" si="57"/>
        <v>0</v>
      </c>
      <c r="X365" s="61">
        <f t="shared" si="58"/>
        <v>0</v>
      </c>
      <c r="Y365" s="61">
        <f t="shared" si="59"/>
        <v>0</v>
      </c>
      <c r="Z365" s="73"/>
      <c r="AA365" s="73"/>
      <c r="AB365" s="73"/>
      <c r="AC365" s="73"/>
      <c r="AD365" s="73"/>
      <c r="AE365" s="73"/>
      <c r="AF365" s="73"/>
      <c r="AG365" s="73"/>
      <c r="AH365" s="73"/>
      <c r="AI365" s="73"/>
      <c r="AJ365" s="73"/>
    </row>
    <row r="366" spans="2:36">
      <c r="B366" s="67"/>
      <c r="C366" s="225"/>
      <c r="D366" s="225"/>
      <c r="E366" s="68"/>
      <c r="F366" s="68"/>
      <c r="G366" s="69"/>
      <c r="H366" s="69"/>
      <c r="I366" s="72"/>
      <c r="J366" s="71"/>
      <c r="K366" s="68"/>
      <c r="L366" s="68"/>
      <c r="M366" s="68"/>
      <c r="N366" s="68"/>
      <c r="O366" s="68"/>
      <c r="P366" s="61">
        <f t="shared" si="50"/>
        <v>0</v>
      </c>
      <c r="Q366" s="61">
        <f t="shared" si="51"/>
        <v>0</v>
      </c>
      <c r="R366" s="61">
        <f t="shared" si="52"/>
        <v>0</v>
      </c>
      <c r="S366" s="61">
        <f t="shared" si="53"/>
        <v>0</v>
      </c>
      <c r="T366" s="61">
        <f t="shared" si="54"/>
        <v>0</v>
      </c>
      <c r="U366" s="61">
        <f t="shared" si="55"/>
        <v>0</v>
      </c>
      <c r="V366" s="61">
        <f t="shared" si="56"/>
        <v>0</v>
      </c>
      <c r="W366" s="61">
        <f t="shared" si="57"/>
        <v>0</v>
      </c>
      <c r="X366" s="61">
        <f t="shared" si="58"/>
        <v>0</v>
      </c>
      <c r="Y366" s="61">
        <f t="shared" si="59"/>
        <v>0</v>
      </c>
      <c r="Z366" s="73"/>
      <c r="AA366" s="73"/>
      <c r="AB366" s="73"/>
      <c r="AC366" s="73"/>
      <c r="AD366" s="73"/>
      <c r="AE366" s="73"/>
      <c r="AF366" s="73"/>
      <c r="AG366" s="73"/>
      <c r="AH366" s="73"/>
      <c r="AI366" s="73"/>
      <c r="AJ366" s="73"/>
    </row>
    <row r="367" spans="2:36">
      <c r="B367" s="67"/>
      <c r="C367" s="225"/>
      <c r="D367" s="225"/>
      <c r="E367" s="68"/>
      <c r="F367" s="68"/>
      <c r="G367" s="69"/>
      <c r="H367" s="69"/>
      <c r="I367" s="72"/>
      <c r="J367" s="71"/>
      <c r="K367" s="68"/>
      <c r="L367" s="68"/>
      <c r="M367" s="68"/>
      <c r="N367" s="68"/>
      <c r="O367" s="68"/>
      <c r="P367" s="61">
        <f t="shared" si="50"/>
        <v>0</v>
      </c>
      <c r="Q367" s="61">
        <f t="shared" si="51"/>
        <v>0</v>
      </c>
      <c r="R367" s="61">
        <f t="shared" si="52"/>
        <v>0</v>
      </c>
      <c r="S367" s="61">
        <f t="shared" si="53"/>
        <v>0</v>
      </c>
      <c r="T367" s="61">
        <f t="shared" si="54"/>
        <v>0</v>
      </c>
      <c r="U367" s="61">
        <f t="shared" si="55"/>
        <v>0</v>
      </c>
      <c r="V367" s="61">
        <f t="shared" si="56"/>
        <v>0</v>
      </c>
      <c r="W367" s="61">
        <f t="shared" si="57"/>
        <v>0</v>
      </c>
      <c r="X367" s="61">
        <f t="shared" si="58"/>
        <v>0</v>
      </c>
      <c r="Y367" s="61">
        <f t="shared" si="59"/>
        <v>0</v>
      </c>
      <c r="Z367" s="73"/>
      <c r="AA367" s="73"/>
      <c r="AB367" s="73"/>
      <c r="AC367" s="73"/>
      <c r="AD367" s="73"/>
      <c r="AE367" s="73"/>
      <c r="AF367" s="73"/>
      <c r="AG367" s="73"/>
      <c r="AH367" s="73"/>
      <c r="AI367" s="73"/>
      <c r="AJ367" s="73"/>
    </row>
    <row r="368" spans="2:36">
      <c r="B368" s="67"/>
      <c r="C368" s="225"/>
      <c r="D368" s="225"/>
      <c r="E368" s="68"/>
      <c r="F368" s="68"/>
      <c r="G368" s="69"/>
      <c r="H368" s="69"/>
      <c r="I368" s="72"/>
      <c r="J368" s="71"/>
      <c r="K368" s="68"/>
      <c r="L368" s="68"/>
      <c r="M368" s="68"/>
      <c r="N368" s="68"/>
      <c r="O368" s="68"/>
      <c r="P368" s="61">
        <f t="shared" si="50"/>
        <v>0</v>
      </c>
      <c r="Q368" s="61">
        <f t="shared" si="51"/>
        <v>0</v>
      </c>
      <c r="R368" s="61">
        <f t="shared" si="52"/>
        <v>0</v>
      </c>
      <c r="S368" s="61">
        <f t="shared" si="53"/>
        <v>0</v>
      </c>
      <c r="T368" s="61">
        <f t="shared" si="54"/>
        <v>0</v>
      </c>
      <c r="U368" s="61">
        <f t="shared" si="55"/>
        <v>0</v>
      </c>
      <c r="V368" s="61">
        <f t="shared" si="56"/>
        <v>0</v>
      </c>
      <c r="W368" s="61">
        <f t="shared" si="57"/>
        <v>0</v>
      </c>
      <c r="X368" s="61">
        <f t="shared" si="58"/>
        <v>0</v>
      </c>
      <c r="Y368" s="61">
        <f t="shared" si="59"/>
        <v>0</v>
      </c>
      <c r="Z368" s="73"/>
      <c r="AA368" s="73"/>
      <c r="AB368" s="73"/>
      <c r="AC368" s="73"/>
      <c r="AD368" s="73"/>
      <c r="AE368" s="73"/>
      <c r="AF368" s="73"/>
      <c r="AG368" s="73"/>
      <c r="AH368" s="73"/>
      <c r="AI368" s="73"/>
      <c r="AJ368" s="73"/>
    </row>
    <row r="369" spans="2:36">
      <c r="B369" s="67"/>
      <c r="C369" s="225"/>
      <c r="D369" s="225"/>
      <c r="E369" s="68"/>
      <c r="F369" s="68"/>
      <c r="G369" s="69"/>
      <c r="H369" s="69"/>
      <c r="I369" s="72"/>
      <c r="J369" s="71"/>
      <c r="K369" s="68"/>
      <c r="L369" s="68"/>
      <c r="M369" s="68"/>
      <c r="N369" s="68"/>
      <c r="O369" s="68"/>
      <c r="P369" s="61">
        <f t="shared" si="50"/>
        <v>0</v>
      </c>
      <c r="Q369" s="61">
        <f t="shared" si="51"/>
        <v>0</v>
      </c>
      <c r="R369" s="61">
        <f t="shared" si="52"/>
        <v>0</v>
      </c>
      <c r="S369" s="61">
        <f t="shared" si="53"/>
        <v>0</v>
      </c>
      <c r="T369" s="61">
        <f t="shared" si="54"/>
        <v>0</v>
      </c>
      <c r="U369" s="61">
        <f t="shared" si="55"/>
        <v>0</v>
      </c>
      <c r="V369" s="61">
        <f t="shared" si="56"/>
        <v>0</v>
      </c>
      <c r="W369" s="61">
        <f t="shared" si="57"/>
        <v>0</v>
      </c>
      <c r="X369" s="61">
        <f t="shared" si="58"/>
        <v>0</v>
      </c>
      <c r="Y369" s="61">
        <f t="shared" si="59"/>
        <v>0</v>
      </c>
      <c r="Z369" s="73"/>
      <c r="AA369" s="73"/>
      <c r="AB369" s="73"/>
      <c r="AC369" s="73"/>
      <c r="AD369" s="73"/>
      <c r="AE369" s="73"/>
      <c r="AF369" s="73"/>
      <c r="AG369" s="73"/>
      <c r="AH369" s="73"/>
      <c r="AI369" s="73"/>
      <c r="AJ369" s="73"/>
    </row>
    <row r="370" spans="2:36">
      <c r="B370" s="67"/>
      <c r="C370" s="225"/>
      <c r="D370" s="225"/>
      <c r="E370" s="68"/>
      <c r="F370" s="68"/>
      <c r="G370" s="69"/>
      <c r="H370" s="69"/>
      <c r="I370" s="72"/>
      <c r="J370" s="71"/>
      <c r="K370" s="68"/>
      <c r="L370" s="68"/>
      <c r="M370" s="68"/>
      <c r="N370" s="68"/>
      <c r="O370" s="68"/>
      <c r="P370" s="61">
        <f t="shared" si="50"/>
        <v>0</v>
      </c>
      <c r="Q370" s="61">
        <f t="shared" si="51"/>
        <v>0</v>
      </c>
      <c r="R370" s="61">
        <f t="shared" si="52"/>
        <v>0</v>
      </c>
      <c r="S370" s="61">
        <f t="shared" si="53"/>
        <v>0</v>
      </c>
      <c r="T370" s="61">
        <f t="shared" si="54"/>
        <v>0</v>
      </c>
      <c r="U370" s="61">
        <f t="shared" si="55"/>
        <v>0</v>
      </c>
      <c r="V370" s="61">
        <f t="shared" si="56"/>
        <v>0</v>
      </c>
      <c r="W370" s="61">
        <f t="shared" si="57"/>
        <v>0</v>
      </c>
      <c r="X370" s="61">
        <f t="shared" si="58"/>
        <v>0</v>
      </c>
      <c r="Y370" s="61">
        <f t="shared" si="59"/>
        <v>0</v>
      </c>
      <c r="Z370" s="73"/>
      <c r="AA370" s="73"/>
      <c r="AB370" s="73"/>
      <c r="AC370" s="73"/>
      <c r="AD370" s="73"/>
      <c r="AE370" s="73"/>
      <c r="AF370" s="73"/>
      <c r="AG370" s="73"/>
      <c r="AH370" s="73"/>
      <c r="AI370" s="73"/>
      <c r="AJ370" s="73"/>
    </row>
    <row r="371" spans="2:36">
      <c r="B371" s="67"/>
      <c r="C371" s="225"/>
      <c r="D371" s="225"/>
      <c r="E371" s="68"/>
      <c r="F371" s="68"/>
      <c r="G371" s="69"/>
      <c r="H371" s="69"/>
      <c r="I371" s="72"/>
      <c r="J371" s="71"/>
      <c r="K371" s="68"/>
      <c r="L371" s="68"/>
      <c r="M371" s="68"/>
      <c r="N371" s="68"/>
      <c r="O371" s="68"/>
      <c r="P371" s="61">
        <f t="shared" si="50"/>
        <v>0</v>
      </c>
      <c r="Q371" s="61">
        <f t="shared" si="51"/>
        <v>0</v>
      </c>
      <c r="R371" s="61">
        <f t="shared" si="52"/>
        <v>0</v>
      </c>
      <c r="S371" s="61">
        <f t="shared" si="53"/>
        <v>0</v>
      </c>
      <c r="T371" s="61">
        <f t="shared" si="54"/>
        <v>0</v>
      </c>
      <c r="U371" s="61">
        <f t="shared" si="55"/>
        <v>0</v>
      </c>
      <c r="V371" s="61">
        <f t="shared" si="56"/>
        <v>0</v>
      </c>
      <c r="W371" s="61">
        <f t="shared" si="57"/>
        <v>0</v>
      </c>
      <c r="X371" s="61">
        <f t="shared" si="58"/>
        <v>0</v>
      </c>
      <c r="Y371" s="61">
        <f t="shared" si="59"/>
        <v>0</v>
      </c>
      <c r="Z371" s="73"/>
      <c r="AA371" s="73"/>
      <c r="AB371" s="73"/>
      <c r="AC371" s="73"/>
      <c r="AD371" s="73"/>
      <c r="AE371" s="73"/>
      <c r="AF371" s="73"/>
      <c r="AG371" s="73"/>
      <c r="AH371" s="73"/>
      <c r="AI371" s="73"/>
      <c r="AJ371" s="73"/>
    </row>
    <row r="372" spans="2:36">
      <c r="B372" s="67"/>
      <c r="C372" s="225"/>
      <c r="D372" s="225"/>
      <c r="E372" s="68"/>
      <c r="F372" s="68"/>
      <c r="G372" s="69"/>
      <c r="H372" s="69"/>
      <c r="I372" s="72"/>
      <c r="J372" s="71"/>
      <c r="K372" s="68"/>
      <c r="L372" s="68"/>
      <c r="M372" s="68"/>
      <c r="N372" s="68"/>
      <c r="O372" s="68"/>
      <c r="P372" s="61">
        <f t="shared" si="50"/>
        <v>0</v>
      </c>
      <c r="Q372" s="61">
        <f t="shared" si="51"/>
        <v>0</v>
      </c>
      <c r="R372" s="61">
        <f t="shared" si="52"/>
        <v>0</v>
      </c>
      <c r="S372" s="61">
        <f t="shared" si="53"/>
        <v>0</v>
      </c>
      <c r="T372" s="61">
        <f t="shared" si="54"/>
        <v>0</v>
      </c>
      <c r="U372" s="61">
        <f t="shared" si="55"/>
        <v>0</v>
      </c>
      <c r="V372" s="61">
        <f t="shared" si="56"/>
        <v>0</v>
      </c>
      <c r="W372" s="61">
        <f t="shared" si="57"/>
        <v>0</v>
      </c>
      <c r="X372" s="61">
        <f t="shared" si="58"/>
        <v>0</v>
      </c>
      <c r="Y372" s="61">
        <f t="shared" si="59"/>
        <v>0</v>
      </c>
      <c r="Z372" s="73"/>
      <c r="AA372" s="73"/>
      <c r="AB372" s="73"/>
      <c r="AC372" s="73"/>
      <c r="AD372" s="73"/>
      <c r="AE372" s="73"/>
      <c r="AF372" s="73"/>
      <c r="AG372" s="73"/>
      <c r="AH372" s="73"/>
      <c r="AI372" s="73"/>
      <c r="AJ372" s="73"/>
    </row>
    <row r="373" spans="2:36">
      <c r="B373" s="67"/>
      <c r="C373" s="225"/>
      <c r="D373" s="225"/>
      <c r="E373" s="68"/>
      <c r="F373" s="68"/>
      <c r="G373" s="69"/>
      <c r="H373" s="69"/>
      <c r="I373" s="72"/>
      <c r="J373" s="71"/>
      <c r="K373" s="68"/>
      <c r="L373" s="68"/>
      <c r="M373" s="68"/>
      <c r="N373" s="68"/>
      <c r="O373" s="68"/>
      <c r="P373" s="61">
        <f t="shared" si="50"/>
        <v>0</v>
      </c>
      <c r="Q373" s="61">
        <f t="shared" si="51"/>
        <v>0</v>
      </c>
      <c r="R373" s="61">
        <f t="shared" si="52"/>
        <v>0</v>
      </c>
      <c r="S373" s="61">
        <f t="shared" si="53"/>
        <v>0</v>
      </c>
      <c r="T373" s="61">
        <f t="shared" si="54"/>
        <v>0</v>
      </c>
      <c r="U373" s="61">
        <f t="shared" si="55"/>
        <v>0</v>
      </c>
      <c r="V373" s="61">
        <f t="shared" si="56"/>
        <v>0</v>
      </c>
      <c r="W373" s="61">
        <f t="shared" si="57"/>
        <v>0</v>
      </c>
      <c r="X373" s="61">
        <f t="shared" si="58"/>
        <v>0</v>
      </c>
      <c r="Y373" s="61">
        <f t="shared" si="59"/>
        <v>0</v>
      </c>
      <c r="Z373" s="73"/>
      <c r="AA373" s="73"/>
      <c r="AB373" s="73"/>
      <c r="AC373" s="73"/>
      <c r="AD373" s="73"/>
      <c r="AE373" s="73"/>
      <c r="AF373" s="73"/>
      <c r="AG373" s="73"/>
      <c r="AH373" s="73"/>
      <c r="AI373" s="73"/>
      <c r="AJ373" s="73"/>
    </row>
    <row r="374" spans="2:36">
      <c r="B374" s="67"/>
      <c r="C374" s="225"/>
      <c r="D374" s="225"/>
      <c r="E374" s="68"/>
      <c r="F374" s="68"/>
      <c r="G374" s="69"/>
      <c r="H374" s="69"/>
      <c r="I374" s="72"/>
      <c r="J374" s="71"/>
      <c r="K374" s="68"/>
      <c r="L374" s="68"/>
      <c r="M374" s="68"/>
      <c r="N374" s="68"/>
      <c r="O374" s="68"/>
      <c r="P374" s="61">
        <f t="shared" si="50"/>
        <v>0</v>
      </c>
      <c r="Q374" s="61">
        <f t="shared" si="51"/>
        <v>0</v>
      </c>
      <c r="R374" s="61">
        <f t="shared" si="52"/>
        <v>0</v>
      </c>
      <c r="S374" s="61">
        <f t="shared" si="53"/>
        <v>0</v>
      </c>
      <c r="T374" s="61">
        <f t="shared" si="54"/>
        <v>0</v>
      </c>
      <c r="U374" s="61">
        <f t="shared" si="55"/>
        <v>0</v>
      </c>
      <c r="V374" s="61">
        <f t="shared" si="56"/>
        <v>0</v>
      </c>
      <c r="W374" s="61">
        <f t="shared" si="57"/>
        <v>0</v>
      </c>
      <c r="X374" s="61">
        <f t="shared" si="58"/>
        <v>0</v>
      </c>
      <c r="Y374" s="61">
        <f t="shared" si="59"/>
        <v>0</v>
      </c>
      <c r="Z374" s="73"/>
      <c r="AA374" s="73"/>
      <c r="AB374" s="73"/>
      <c r="AC374" s="73"/>
      <c r="AD374" s="73"/>
      <c r="AE374" s="73"/>
      <c r="AF374" s="73"/>
      <c r="AG374" s="73"/>
      <c r="AH374" s="73"/>
      <c r="AI374" s="73"/>
      <c r="AJ374" s="73"/>
    </row>
    <row r="375" spans="2:36">
      <c r="B375" s="67"/>
      <c r="C375" s="225"/>
      <c r="D375" s="225"/>
      <c r="E375" s="68"/>
      <c r="F375" s="68"/>
      <c r="G375" s="69"/>
      <c r="H375" s="69"/>
      <c r="I375" s="72"/>
      <c r="J375" s="71"/>
      <c r="K375" s="68"/>
      <c r="L375" s="68"/>
      <c r="M375" s="68"/>
      <c r="N375" s="68"/>
      <c r="O375" s="68"/>
      <c r="P375" s="61">
        <f t="shared" si="50"/>
        <v>0</v>
      </c>
      <c r="Q375" s="61">
        <f t="shared" si="51"/>
        <v>0</v>
      </c>
      <c r="R375" s="61">
        <f t="shared" si="52"/>
        <v>0</v>
      </c>
      <c r="S375" s="61">
        <f t="shared" si="53"/>
        <v>0</v>
      </c>
      <c r="T375" s="61">
        <f t="shared" si="54"/>
        <v>0</v>
      </c>
      <c r="U375" s="61">
        <f t="shared" si="55"/>
        <v>0</v>
      </c>
      <c r="V375" s="61">
        <f t="shared" si="56"/>
        <v>0</v>
      </c>
      <c r="W375" s="61">
        <f t="shared" si="57"/>
        <v>0</v>
      </c>
      <c r="X375" s="61">
        <f t="shared" si="58"/>
        <v>0</v>
      </c>
      <c r="Y375" s="61">
        <f t="shared" si="59"/>
        <v>0</v>
      </c>
      <c r="Z375" s="73"/>
      <c r="AA375" s="73"/>
      <c r="AB375" s="73"/>
      <c r="AC375" s="73"/>
      <c r="AD375" s="73"/>
      <c r="AE375" s="73"/>
      <c r="AF375" s="73"/>
      <c r="AG375" s="73"/>
      <c r="AH375" s="73"/>
      <c r="AI375" s="73"/>
      <c r="AJ375" s="73"/>
    </row>
    <row r="376" spans="2:36">
      <c r="B376" s="67"/>
      <c r="C376" s="225"/>
      <c r="D376" s="225"/>
      <c r="E376" s="68"/>
      <c r="F376" s="68"/>
      <c r="G376" s="69"/>
      <c r="H376" s="69"/>
      <c r="I376" s="72"/>
      <c r="J376" s="71"/>
      <c r="K376" s="68"/>
      <c r="L376" s="68"/>
      <c r="M376" s="68"/>
      <c r="N376" s="68"/>
      <c r="O376" s="68"/>
      <c r="P376" s="61">
        <f t="shared" si="50"/>
        <v>0</v>
      </c>
      <c r="Q376" s="61">
        <f t="shared" si="51"/>
        <v>0</v>
      </c>
      <c r="R376" s="61">
        <f t="shared" si="52"/>
        <v>0</v>
      </c>
      <c r="S376" s="61">
        <f t="shared" si="53"/>
        <v>0</v>
      </c>
      <c r="T376" s="61">
        <f t="shared" si="54"/>
        <v>0</v>
      </c>
      <c r="U376" s="61">
        <f t="shared" si="55"/>
        <v>0</v>
      </c>
      <c r="V376" s="61">
        <f t="shared" si="56"/>
        <v>0</v>
      </c>
      <c r="W376" s="61">
        <f t="shared" si="57"/>
        <v>0</v>
      </c>
      <c r="X376" s="61">
        <f t="shared" si="58"/>
        <v>0</v>
      </c>
      <c r="Y376" s="61">
        <f t="shared" si="59"/>
        <v>0</v>
      </c>
      <c r="Z376" s="73"/>
      <c r="AA376" s="73"/>
      <c r="AB376" s="73"/>
      <c r="AC376" s="73"/>
      <c r="AD376" s="73"/>
      <c r="AE376" s="73"/>
      <c r="AF376" s="73"/>
      <c r="AG376" s="73"/>
      <c r="AH376" s="73"/>
      <c r="AI376" s="73"/>
      <c r="AJ376" s="73"/>
    </row>
    <row r="377" spans="2:36">
      <c r="B377" s="67"/>
      <c r="C377" s="225"/>
      <c r="D377" s="225"/>
      <c r="E377" s="68"/>
      <c r="F377" s="68"/>
      <c r="G377" s="69"/>
      <c r="H377" s="69"/>
      <c r="I377" s="72"/>
      <c r="J377" s="71"/>
      <c r="K377" s="68"/>
      <c r="L377" s="68"/>
      <c r="M377" s="68"/>
      <c r="N377" s="68"/>
      <c r="O377" s="68"/>
      <c r="P377" s="61">
        <f t="shared" si="50"/>
        <v>0</v>
      </c>
      <c r="Q377" s="61">
        <f t="shared" si="51"/>
        <v>0</v>
      </c>
      <c r="R377" s="61">
        <f t="shared" si="52"/>
        <v>0</v>
      </c>
      <c r="S377" s="61">
        <f t="shared" si="53"/>
        <v>0</v>
      </c>
      <c r="T377" s="61">
        <f t="shared" si="54"/>
        <v>0</v>
      </c>
      <c r="U377" s="61">
        <f t="shared" si="55"/>
        <v>0</v>
      </c>
      <c r="V377" s="61">
        <f t="shared" si="56"/>
        <v>0</v>
      </c>
      <c r="W377" s="61">
        <f t="shared" si="57"/>
        <v>0</v>
      </c>
      <c r="X377" s="61">
        <f t="shared" si="58"/>
        <v>0</v>
      </c>
      <c r="Y377" s="61">
        <f t="shared" si="59"/>
        <v>0</v>
      </c>
      <c r="Z377" s="73"/>
      <c r="AA377" s="73"/>
      <c r="AB377" s="73"/>
      <c r="AC377" s="73"/>
      <c r="AD377" s="73"/>
      <c r="AE377" s="73"/>
      <c r="AF377" s="73"/>
      <c r="AG377" s="73"/>
      <c r="AH377" s="73"/>
      <c r="AI377" s="73"/>
      <c r="AJ377" s="73"/>
    </row>
    <row r="378" spans="2:36">
      <c r="B378" s="67"/>
      <c r="C378" s="225"/>
      <c r="D378" s="225"/>
      <c r="E378" s="68"/>
      <c r="F378" s="68"/>
      <c r="G378" s="69"/>
      <c r="H378" s="69"/>
      <c r="I378" s="72"/>
      <c r="J378" s="71"/>
      <c r="K378" s="68"/>
      <c r="L378" s="68"/>
      <c r="M378" s="68"/>
      <c r="N378" s="68"/>
      <c r="O378" s="68"/>
      <c r="P378" s="61">
        <f t="shared" si="50"/>
        <v>0</v>
      </c>
      <c r="Q378" s="61">
        <f t="shared" si="51"/>
        <v>0</v>
      </c>
      <c r="R378" s="61">
        <f t="shared" si="52"/>
        <v>0</v>
      </c>
      <c r="S378" s="61">
        <f t="shared" si="53"/>
        <v>0</v>
      </c>
      <c r="T378" s="61">
        <f t="shared" si="54"/>
        <v>0</v>
      </c>
      <c r="U378" s="61">
        <f t="shared" si="55"/>
        <v>0</v>
      </c>
      <c r="V378" s="61">
        <f t="shared" si="56"/>
        <v>0</v>
      </c>
      <c r="W378" s="61">
        <f t="shared" si="57"/>
        <v>0</v>
      </c>
      <c r="X378" s="61">
        <f t="shared" si="58"/>
        <v>0</v>
      </c>
      <c r="Y378" s="61">
        <f t="shared" si="59"/>
        <v>0</v>
      </c>
      <c r="Z378" s="73"/>
      <c r="AA378" s="73"/>
      <c r="AB378" s="73"/>
      <c r="AC378" s="73"/>
      <c r="AD378" s="73"/>
      <c r="AE378" s="73"/>
      <c r="AF378" s="73"/>
      <c r="AG378" s="73"/>
      <c r="AH378" s="73"/>
      <c r="AI378" s="73"/>
      <c r="AJ378" s="73"/>
    </row>
    <row r="379" spans="2:36">
      <c r="B379" s="67"/>
      <c r="C379" s="225"/>
      <c r="D379" s="225"/>
      <c r="E379" s="68"/>
      <c r="F379" s="68"/>
      <c r="G379" s="69"/>
      <c r="H379" s="69"/>
      <c r="I379" s="72"/>
      <c r="J379" s="71"/>
      <c r="K379" s="68"/>
      <c r="L379" s="68"/>
      <c r="M379" s="68"/>
      <c r="N379" s="68"/>
      <c r="O379" s="68"/>
      <c r="P379" s="61">
        <f t="shared" si="50"/>
        <v>0</v>
      </c>
      <c r="Q379" s="61">
        <f t="shared" si="51"/>
        <v>0</v>
      </c>
      <c r="R379" s="61">
        <f t="shared" si="52"/>
        <v>0</v>
      </c>
      <c r="S379" s="61">
        <f t="shared" si="53"/>
        <v>0</v>
      </c>
      <c r="T379" s="61">
        <f t="shared" si="54"/>
        <v>0</v>
      </c>
      <c r="U379" s="61">
        <f t="shared" si="55"/>
        <v>0</v>
      </c>
      <c r="V379" s="61">
        <f t="shared" si="56"/>
        <v>0</v>
      </c>
      <c r="W379" s="61">
        <f t="shared" si="57"/>
        <v>0</v>
      </c>
      <c r="X379" s="61">
        <f t="shared" si="58"/>
        <v>0</v>
      </c>
      <c r="Y379" s="61">
        <f t="shared" si="59"/>
        <v>0</v>
      </c>
      <c r="Z379" s="73"/>
      <c r="AA379" s="73"/>
      <c r="AB379" s="73"/>
      <c r="AC379" s="73"/>
      <c r="AD379" s="73"/>
      <c r="AE379" s="73"/>
      <c r="AF379" s="73"/>
      <c r="AG379" s="73"/>
      <c r="AH379" s="73"/>
      <c r="AI379" s="73"/>
      <c r="AJ379" s="73"/>
    </row>
    <row r="380" spans="2:36">
      <c r="B380" s="67"/>
      <c r="C380" s="225"/>
      <c r="D380" s="225"/>
      <c r="E380" s="68"/>
      <c r="F380" s="68"/>
      <c r="G380" s="69"/>
      <c r="H380" s="69"/>
      <c r="I380" s="72"/>
      <c r="J380" s="71"/>
      <c r="K380" s="68"/>
      <c r="L380" s="68"/>
      <c r="M380" s="68"/>
      <c r="N380" s="68"/>
      <c r="O380" s="68"/>
      <c r="P380" s="61">
        <f t="shared" si="50"/>
        <v>0</v>
      </c>
      <c r="Q380" s="61">
        <f t="shared" si="51"/>
        <v>0</v>
      </c>
      <c r="R380" s="61">
        <f t="shared" si="52"/>
        <v>0</v>
      </c>
      <c r="S380" s="61">
        <f t="shared" si="53"/>
        <v>0</v>
      </c>
      <c r="T380" s="61">
        <f t="shared" si="54"/>
        <v>0</v>
      </c>
      <c r="U380" s="61">
        <f t="shared" si="55"/>
        <v>0</v>
      </c>
      <c r="V380" s="61">
        <f t="shared" si="56"/>
        <v>0</v>
      </c>
      <c r="W380" s="61">
        <f t="shared" si="57"/>
        <v>0</v>
      </c>
      <c r="X380" s="61">
        <f t="shared" si="58"/>
        <v>0</v>
      </c>
      <c r="Y380" s="61">
        <f t="shared" si="59"/>
        <v>0</v>
      </c>
      <c r="Z380" s="73"/>
      <c r="AA380" s="73"/>
      <c r="AB380" s="73"/>
      <c r="AC380" s="73"/>
      <c r="AD380" s="73"/>
      <c r="AE380" s="73"/>
      <c r="AF380" s="73"/>
      <c r="AG380" s="73"/>
      <c r="AH380" s="73"/>
      <c r="AI380" s="73"/>
      <c r="AJ380" s="73"/>
    </row>
    <row r="381" spans="2:36">
      <c r="B381" s="67"/>
      <c r="C381" s="225"/>
      <c r="D381" s="225"/>
      <c r="E381" s="68"/>
      <c r="F381" s="68"/>
      <c r="G381" s="69"/>
      <c r="H381" s="69"/>
      <c r="I381" s="72"/>
      <c r="J381" s="71"/>
      <c r="K381" s="68"/>
      <c r="L381" s="68"/>
      <c r="M381" s="68"/>
      <c r="N381" s="68"/>
      <c r="O381" s="68"/>
      <c r="P381" s="61">
        <f t="shared" si="50"/>
        <v>0</v>
      </c>
      <c r="Q381" s="61">
        <f t="shared" si="51"/>
        <v>0</v>
      </c>
      <c r="R381" s="61">
        <f t="shared" si="52"/>
        <v>0</v>
      </c>
      <c r="S381" s="61">
        <f t="shared" si="53"/>
        <v>0</v>
      </c>
      <c r="T381" s="61">
        <f t="shared" si="54"/>
        <v>0</v>
      </c>
      <c r="U381" s="61">
        <f t="shared" si="55"/>
        <v>0</v>
      </c>
      <c r="V381" s="61">
        <f t="shared" si="56"/>
        <v>0</v>
      </c>
      <c r="W381" s="61">
        <f t="shared" si="57"/>
        <v>0</v>
      </c>
      <c r="X381" s="61">
        <f t="shared" si="58"/>
        <v>0</v>
      </c>
      <c r="Y381" s="61">
        <f t="shared" si="59"/>
        <v>0</v>
      </c>
      <c r="Z381" s="73"/>
      <c r="AA381" s="73"/>
      <c r="AB381" s="73"/>
      <c r="AC381" s="73"/>
      <c r="AD381" s="73"/>
      <c r="AE381" s="73"/>
      <c r="AF381" s="73"/>
      <c r="AG381" s="73"/>
      <c r="AH381" s="73"/>
      <c r="AI381" s="73"/>
      <c r="AJ381" s="73"/>
    </row>
    <row r="382" spans="2:36">
      <c r="B382" s="67"/>
      <c r="C382" s="225"/>
      <c r="D382" s="225"/>
      <c r="E382" s="68"/>
      <c r="F382" s="68"/>
      <c r="G382" s="69"/>
      <c r="H382" s="69"/>
      <c r="I382" s="72"/>
      <c r="J382" s="71"/>
      <c r="K382" s="68"/>
      <c r="L382" s="68"/>
      <c r="M382" s="68"/>
      <c r="N382" s="68"/>
      <c r="O382" s="68"/>
      <c r="P382" s="61">
        <f t="shared" si="50"/>
        <v>0</v>
      </c>
      <c r="Q382" s="61">
        <f t="shared" si="51"/>
        <v>0</v>
      </c>
      <c r="R382" s="61">
        <f t="shared" si="52"/>
        <v>0</v>
      </c>
      <c r="S382" s="61">
        <f t="shared" si="53"/>
        <v>0</v>
      </c>
      <c r="T382" s="61">
        <f t="shared" si="54"/>
        <v>0</v>
      </c>
      <c r="U382" s="61">
        <f t="shared" si="55"/>
        <v>0</v>
      </c>
      <c r="V382" s="61">
        <f t="shared" si="56"/>
        <v>0</v>
      </c>
      <c r="W382" s="61">
        <f t="shared" si="57"/>
        <v>0</v>
      </c>
      <c r="X382" s="61">
        <f t="shared" si="58"/>
        <v>0</v>
      </c>
      <c r="Y382" s="61">
        <f t="shared" si="59"/>
        <v>0</v>
      </c>
      <c r="Z382" s="73"/>
      <c r="AA382" s="73"/>
      <c r="AB382" s="73"/>
      <c r="AC382" s="73"/>
      <c r="AD382" s="73"/>
      <c r="AE382" s="73"/>
      <c r="AF382" s="73"/>
      <c r="AG382" s="73"/>
      <c r="AH382" s="73"/>
      <c r="AI382" s="73"/>
      <c r="AJ382" s="73"/>
    </row>
    <row r="383" spans="2:36">
      <c r="B383" s="67"/>
      <c r="C383" s="225"/>
      <c r="D383" s="225"/>
      <c r="E383" s="68"/>
      <c r="F383" s="68"/>
      <c r="G383" s="69"/>
      <c r="H383" s="69"/>
      <c r="I383" s="72"/>
      <c r="J383" s="71"/>
      <c r="K383" s="68"/>
      <c r="L383" s="68"/>
      <c r="M383" s="68"/>
      <c r="N383" s="68"/>
      <c r="O383" s="68"/>
      <c r="P383" s="61">
        <f t="shared" si="50"/>
        <v>0</v>
      </c>
      <c r="Q383" s="61">
        <f t="shared" si="51"/>
        <v>0</v>
      </c>
      <c r="R383" s="61">
        <f t="shared" si="52"/>
        <v>0</v>
      </c>
      <c r="S383" s="61">
        <f t="shared" si="53"/>
        <v>0</v>
      </c>
      <c r="T383" s="61">
        <f t="shared" si="54"/>
        <v>0</v>
      </c>
      <c r="U383" s="61">
        <f t="shared" si="55"/>
        <v>0</v>
      </c>
      <c r="V383" s="61">
        <f t="shared" si="56"/>
        <v>0</v>
      </c>
      <c r="W383" s="61">
        <f t="shared" si="57"/>
        <v>0</v>
      </c>
      <c r="X383" s="61">
        <f t="shared" si="58"/>
        <v>0</v>
      </c>
      <c r="Y383" s="61">
        <f t="shared" si="59"/>
        <v>0</v>
      </c>
      <c r="Z383" s="73"/>
      <c r="AA383" s="73"/>
      <c r="AB383" s="73"/>
      <c r="AC383" s="73"/>
      <c r="AD383" s="73"/>
      <c r="AE383" s="73"/>
      <c r="AF383" s="73"/>
      <c r="AG383" s="73"/>
      <c r="AH383" s="73"/>
      <c r="AI383" s="73"/>
      <c r="AJ383" s="73"/>
    </row>
    <row r="384" spans="2:36">
      <c r="B384" s="67"/>
      <c r="C384" s="225"/>
      <c r="D384" s="225"/>
      <c r="E384" s="68"/>
      <c r="F384" s="68"/>
      <c r="G384" s="69"/>
      <c r="H384" s="69"/>
      <c r="I384" s="72"/>
      <c r="J384" s="71"/>
      <c r="K384" s="68"/>
      <c r="L384" s="68"/>
      <c r="M384" s="68"/>
      <c r="N384" s="68"/>
      <c r="O384" s="68"/>
      <c r="P384" s="61">
        <f t="shared" si="50"/>
        <v>0</v>
      </c>
      <c r="Q384" s="61">
        <f t="shared" si="51"/>
        <v>0</v>
      </c>
      <c r="R384" s="61">
        <f t="shared" si="52"/>
        <v>0</v>
      </c>
      <c r="S384" s="61">
        <f t="shared" si="53"/>
        <v>0</v>
      </c>
      <c r="T384" s="61">
        <f t="shared" si="54"/>
        <v>0</v>
      </c>
      <c r="U384" s="61">
        <f t="shared" si="55"/>
        <v>0</v>
      </c>
      <c r="V384" s="61">
        <f t="shared" si="56"/>
        <v>0</v>
      </c>
      <c r="W384" s="61">
        <f t="shared" si="57"/>
        <v>0</v>
      </c>
      <c r="X384" s="61">
        <f t="shared" si="58"/>
        <v>0</v>
      </c>
      <c r="Y384" s="61">
        <f t="shared" si="59"/>
        <v>0</v>
      </c>
      <c r="Z384" s="73"/>
      <c r="AA384" s="73"/>
      <c r="AB384" s="73"/>
      <c r="AC384" s="73"/>
      <c r="AD384" s="73"/>
      <c r="AE384" s="73"/>
      <c r="AF384" s="73"/>
      <c r="AG384" s="73"/>
      <c r="AH384" s="73"/>
      <c r="AI384" s="73"/>
      <c r="AJ384" s="73"/>
    </row>
    <row r="385" spans="2:36">
      <c r="B385" s="67"/>
      <c r="C385" s="225"/>
      <c r="D385" s="225"/>
      <c r="E385" s="68"/>
      <c r="F385" s="68"/>
      <c r="G385" s="69"/>
      <c r="H385" s="69"/>
      <c r="I385" s="72"/>
      <c r="J385" s="71"/>
      <c r="K385" s="68"/>
      <c r="L385" s="68"/>
      <c r="M385" s="68"/>
      <c r="N385" s="68"/>
      <c r="O385" s="68"/>
      <c r="P385" s="61">
        <f t="shared" si="50"/>
        <v>0</v>
      </c>
      <c r="Q385" s="61">
        <f t="shared" si="51"/>
        <v>0</v>
      </c>
      <c r="R385" s="61">
        <f t="shared" si="52"/>
        <v>0</v>
      </c>
      <c r="S385" s="61">
        <f t="shared" si="53"/>
        <v>0</v>
      </c>
      <c r="T385" s="61">
        <f t="shared" si="54"/>
        <v>0</v>
      </c>
      <c r="U385" s="61">
        <f t="shared" si="55"/>
        <v>0</v>
      </c>
      <c r="V385" s="61">
        <f t="shared" si="56"/>
        <v>0</v>
      </c>
      <c r="W385" s="61">
        <f t="shared" si="57"/>
        <v>0</v>
      </c>
      <c r="X385" s="61">
        <f t="shared" si="58"/>
        <v>0</v>
      </c>
      <c r="Y385" s="61">
        <f t="shared" si="59"/>
        <v>0</v>
      </c>
      <c r="Z385" s="73"/>
      <c r="AA385" s="73"/>
      <c r="AB385" s="73"/>
      <c r="AC385" s="73"/>
      <c r="AD385" s="73"/>
      <c r="AE385" s="73"/>
      <c r="AF385" s="73"/>
      <c r="AG385" s="73"/>
      <c r="AH385" s="73"/>
      <c r="AI385" s="73"/>
      <c r="AJ385" s="73"/>
    </row>
    <row r="386" spans="2:36">
      <c r="B386" s="67"/>
      <c r="C386" s="225"/>
      <c r="D386" s="225"/>
      <c r="E386" s="68"/>
      <c r="F386" s="68"/>
      <c r="G386" s="69"/>
      <c r="H386" s="69"/>
      <c r="I386" s="72"/>
      <c r="J386" s="71"/>
      <c r="K386" s="68"/>
      <c r="L386" s="68"/>
      <c r="M386" s="68"/>
      <c r="N386" s="68"/>
      <c r="O386" s="68"/>
      <c r="P386" s="61">
        <f t="shared" si="50"/>
        <v>0</v>
      </c>
      <c r="Q386" s="61">
        <f t="shared" si="51"/>
        <v>0</v>
      </c>
      <c r="R386" s="61">
        <f t="shared" si="52"/>
        <v>0</v>
      </c>
      <c r="S386" s="61">
        <f t="shared" si="53"/>
        <v>0</v>
      </c>
      <c r="T386" s="61">
        <f t="shared" si="54"/>
        <v>0</v>
      </c>
      <c r="U386" s="61">
        <f t="shared" si="55"/>
        <v>0</v>
      </c>
      <c r="V386" s="61">
        <f t="shared" si="56"/>
        <v>0</v>
      </c>
      <c r="W386" s="61">
        <f t="shared" si="57"/>
        <v>0</v>
      </c>
      <c r="X386" s="61">
        <f t="shared" si="58"/>
        <v>0</v>
      </c>
      <c r="Y386" s="61">
        <f t="shared" si="59"/>
        <v>0</v>
      </c>
      <c r="Z386" s="73"/>
      <c r="AA386" s="73"/>
      <c r="AB386" s="73"/>
      <c r="AC386" s="73"/>
      <c r="AD386" s="73"/>
      <c r="AE386" s="73"/>
      <c r="AF386" s="73"/>
      <c r="AG386" s="73"/>
      <c r="AH386" s="73"/>
      <c r="AI386" s="73"/>
      <c r="AJ386" s="73"/>
    </row>
    <row r="387" spans="2:36">
      <c r="B387" s="67"/>
      <c r="C387" s="225"/>
      <c r="D387" s="225"/>
      <c r="E387" s="68"/>
      <c r="F387" s="68"/>
      <c r="G387" s="69"/>
      <c r="H387" s="69"/>
      <c r="I387" s="72"/>
      <c r="J387" s="71"/>
      <c r="K387" s="68"/>
      <c r="L387" s="68"/>
      <c r="M387" s="68"/>
      <c r="N387" s="68"/>
      <c r="O387" s="68"/>
      <c r="P387" s="61">
        <f t="shared" si="50"/>
        <v>0</v>
      </c>
      <c r="Q387" s="61">
        <f t="shared" si="51"/>
        <v>0</v>
      </c>
      <c r="R387" s="61">
        <f t="shared" si="52"/>
        <v>0</v>
      </c>
      <c r="S387" s="61">
        <f t="shared" si="53"/>
        <v>0</v>
      </c>
      <c r="T387" s="61">
        <f t="shared" si="54"/>
        <v>0</v>
      </c>
      <c r="U387" s="61">
        <f t="shared" si="55"/>
        <v>0</v>
      </c>
      <c r="V387" s="61">
        <f t="shared" si="56"/>
        <v>0</v>
      </c>
      <c r="W387" s="61">
        <f t="shared" si="57"/>
        <v>0</v>
      </c>
      <c r="X387" s="61">
        <f t="shared" si="58"/>
        <v>0</v>
      </c>
      <c r="Y387" s="61">
        <f t="shared" si="59"/>
        <v>0</v>
      </c>
      <c r="Z387" s="73"/>
      <c r="AA387" s="73"/>
      <c r="AB387" s="73"/>
      <c r="AC387" s="73"/>
      <c r="AD387" s="73"/>
      <c r="AE387" s="73"/>
      <c r="AF387" s="73"/>
      <c r="AG387" s="73"/>
      <c r="AH387" s="73"/>
      <c r="AI387" s="73"/>
      <c r="AJ387" s="73"/>
    </row>
    <row r="388" spans="2:36">
      <c r="B388" s="67"/>
      <c r="C388" s="225"/>
      <c r="D388" s="225"/>
      <c r="E388" s="68"/>
      <c r="F388" s="68"/>
      <c r="G388" s="69"/>
      <c r="H388" s="69"/>
      <c r="I388" s="72"/>
      <c r="J388" s="71"/>
      <c r="K388" s="68"/>
      <c r="L388" s="68"/>
      <c r="M388" s="68"/>
      <c r="N388" s="68"/>
      <c r="O388" s="68"/>
      <c r="P388" s="61">
        <f t="shared" si="50"/>
        <v>0</v>
      </c>
      <c r="Q388" s="61">
        <f t="shared" si="51"/>
        <v>0</v>
      </c>
      <c r="R388" s="61">
        <f t="shared" si="52"/>
        <v>0</v>
      </c>
      <c r="S388" s="61">
        <f t="shared" si="53"/>
        <v>0</v>
      </c>
      <c r="T388" s="61">
        <f t="shared" si="54"/>
        <v>0</v>
      </c>
      <c r="U388" s="61">
        <f t="shared" si="55"/>
        <v>0</v>
      </c>
      <c r="V388" s="61">
        <f t="shared" si="56"/>
        <v>0</v>
      </c>
      <c r="W388" s="61">
        <f t="shared" si="57"/>
        <v>0</v>
      </c>
      <c r="X388" s="61">
        <f t="shared" si="58"/>
        <v>0</v>
      </c>
      <c r="Y388" s="61">
        <f t="shared" si="59"/>
        <v>0</v>
      </c>
      <c r="Z388" s="73"/>
      <c r="AA388" s="73"/>
      <c r="AB388" s="73"/>
      <c r="AC388" s="73"/>
      <c r="AD388" s="73"/>
      <c r="AE388" s="73"/>
      <c r="AF388" s="73"/>
      <c r="AG388" s="73"/>
      <c r="AH388" s="73"/>
      <c r="AI388" s="73"/>
      <c r="AJ388" s="73"/>
    </row>
    <row r="389" spans="2:36">
      <c r="B389" s="67"/>
      <c r="C389" s="225"/>
      <c r="D389" s="225"/>
      <c r="E389" s="68"/>
      <c r="F389" s="68"/>
      <c r="G389" s="69"/>
      <c r="H389" s="69"/>
      <c r="I389" s="72"/>
      <c r="J389" s="71"/>
      <c r="K389" s="68"/>
      <c r="L389" s="68"/>
      <c r="M389" s="68"/>
      <c r="N389" s="68"/>
      <c r="O389" s="68"/>
      <c r="P389" s="61">
        <f t="shared" si="50"/>
        <v>0</v>
      </c>
      <c r="Q389" s="61">
        <f t="shared" si="51"/>
        <v>0</v>
      </c>
      <c r="R389" s="61">
        <f t="shared" si="52"/>
        <v>0</v>
      </c>
      <c r="S389" s="61">
        <f t="shared" si="53"/>
        <v>0</v>
      </c>
      <c r="T389" s="61">
        <f t="shared" si="54"/>
        <v>0</v>
      </c>
      <c r="U389" s="61">
        <f t="shared" si="55"/>
        <v>0</v>
      </c>
      <c r="V389" s="61">
        <f t="shared" si="56"/>
        <v>0</v>
      </c>
      <c r="W389" s="61">
        <f t="shared" si="57"/>
        <v>0</v>
      </c>
      <c r="X389" s="61">
        <f t="shared" si="58"/>
        <v>0</v>
      </c>
      <c r="Y389" s="61">
        <f t="shared" si="59"/>
        <v>0</v>
      </c>
      <c r="Z389" s="73"/>
      <c r="AA389" s="73"/>
      <c r="AB389" s="73"/>
      <c r="AC389" s="73"/>
      <c r="AD389" s="73"/>
      <c r="AE389" s="73"/>
      <c r="AF389" s="73"/>
      <c r="AG389" s="73"/>
      <c r="AH389" s="73"/>
      <c r="AI389" s="73"/>
      <c r="AJ389" s="73"/>
    </row>
    <row r="390" spans="2:36">
      <c r="B390" s="67"/>
      <c r="C390" s="225"/>
      <c r="D390" s="225"/>
      <c r="E390" s="68"/>
      <c r="F390" s="68"/>
      <c r="G390" s="69"/>
      <c r="H390" s="69"/>
      <c r="I390" s="72"/>
      <c r="J390" s="71"/>
      <c r="K390" s="68"/>
      <c r="L390" s="68"/>
      <c r="M390" s="68"/>
      <c r="N390" s="68"/>
      <c r="O390" s="68"/>
      <c r="P390" s="61">
        <f t="shared" si="50"/>
        <v>0</v>
      </c>
      <c r="Q390" s="61">
        <f t="shared" si="51"/>
        <v>0</v>
      </c>
      <c r="R390" s="61">
        <f t="shared" si="52"/>
        <v>0</v>
      </c>
      <c r="S390" s="61">
        <f t="shared" si="53"/>
        <v>0</v>
      </c>
      <c r="T390" s="61">
        <f t="shared" si="54"/>
        <v>0</v>
      </c>
      <c r="U390" s="61">
        <f t="shared" si="55"/>
        <v>0</v>
      </c>
      <c r="V390" s="61">
        <f t="shared" si="56"/>
        <v>0</v>
      </c>
      <c r="W390" s="61">
        <f t="shared" si="57"/>
        <v>0</v>
      </c>
      <c r="X390" s="61">
        <f t="shared" si="58"/>
        <v>0</v>
      </c>
      <c r="Y390" s="61">
        <f t="shared" si="59"/>
        <v>0</v>
      </c>
      <c r="Z390" s="73"/>
      <c r="AA390" s="73"/>
      <c r="AB390" s="73"/>
      <c r="AC390" s="73"/>
      <c r="AD390" s="73"/>
      <c r="AE390" s="73"/>
      <c r="AF390" s="73"/>
      <c r="AG390" s="73"/>
      <c r="AH390" s="73"/>
      <c r="AI390" s="73"/>
      <c r="AJ390" s="73"/>
    </row>
    <row r="391" spans="2:36">
      <c r="B391" s="67"/>
      <c r="C391" s="225"/>
      <c r="D391" s="225"/>
      <c r="E391" s="68"/>
      <c r="F391" s="68"/>
      <c r="G391" s="69"/>
      <c r="H391" s="69"/>
      <c r="I391" s="72"/>
      <c r="J391" s="71"/>
      <c r="K391" s="68"/>
      <c r="L391" s="68"/>
      <c r="M391" s="68"/>
      <c r="N391" s="68"/>
      <c r="O391" s="68"/>
      <c r="P391" s="61">
        <f t="shared" si="50"/>
        <v>0</v>
      </c>
      <c r="Q391" s="61">
        <f t="shared" si="51"/>
        <v>0</v>
      </c>
      <c r="R391" s="61">
        <f t="shared" si="52"/>
        <v>0</v>
      </c>
      <c r="S391" s="61">
        <f t="shared" si="53"/>
        <v>0</v>
      </c>
      <c r="T391" s="61">
        <f t="shared" si="54"/>
        <v>0</v>
      </c>
      <c r="U391" s="61">
        <f t="shared" si="55"/>
        <v>0</v>
      </c>
      <c r="V391" s="61">
        <f t="shared" si="56"/>
        <v>0</v>
      </c>
      <c r="W391" s="61">
        <f t="shared" si="57"/>
        <v>0</v>
      </c>
      <c r="X391" s="61">
        <f t="shared" si="58"/>
        <v>0</v>
      </c>
      <c r="Y391" s="61">
        <f t="shared" si="59"/>
        <v>0</v>
      </c>
      <c r="Z391" s="73"/>
      <c r="AA391" s="73"/>
      <c r="AB391" s="73"/>
      <c r="AC391" s="73"/>
      <c r="AD391" s="73"/>
      <c r="AE391" s="73"/>
      <c r="AF391" s="73"/>
      <c r="AG391" s="73"/>
      <c r="AH391" s="73"/>
      <c r="AI391" s="73"/>
      <c r="AJ391" s="73"/>
    </row>
    <row r="392" spans="2:36">
      <c r="B392" s="67"/>
      <c r="C392" s="225"/>
      <c r="D392" s="225"/>
      <c r="E392" s="68"/>
      <c r="F392" s="68"/>
      <c r="G392" s="69"/>
      <c r="H392" s="69"/>
      <c r="I392" s="72"/>
      <c r="J392" s="71"/>
      <c r="K392" s="68"/>
      <c r="L392" s="68"/>
      <c r="M392" s="68"/>
      <c r="N392" s="68"/>
      <c r="O392" s="68"/>
      <c r="P392" s="61">
        <f t="shared" si="50"/>
        <v>0</v>
      </c>
      <c r="Q392" s="61">
        <f t="shared" si="51"/>
        <v>0</v>
      </c>
      <c r="R392" s="61">
        <f t="shared" si="52"/>
        <v>0</v>
      </c>
      <c r="S392" s="61">
        <f t="shared" si="53"/>
        <v>0</v>
      </c>
      <c r="T392" s="61">
        <f t="shared" si="54"/>
        <v>0</v>
      </c>
      <c r="U392" s="61">
        <f t="shared" si="55"/>
        <v>0</v>
      </c>
      <c r="V392" s="61">
        <f t="shared" si="56"/>
        <v>0</v>
      </c>
      <c r="W392" s="61">
        <f t="shared" si="57"/>
        <v>0</v>
      </c>
      <c r="X392" s="61">
        <f t="shared" si="58"/>
        <v>0</v>
      </c>
      <c r="Y392" s="61">
        <f t="shared" si="59"/>
        <v>0</v>
      </c>
      <c r="Z392" s="73"/>
      <c r="AA392" s="73"/>
      <c r="AB392" s="73"/>
      <c r="AC392" s="73"/>
      <c r="AD392" s="73"/>
      <c r="AE392" s="73"/>
      <c r="AF392" s="73"/>
      <c r="AG392" s="73"/>
      <c r="AH392" s="73"/>
      <c r="AI392" s="73"/>
      <c r="AJ392" s="73"/>
    </row>
    <row r="393" spans="2:36">
      <c r="B393" s="67"/>
      <c r="C393" s="225"/>
      <c r="D393" s="225"/>
      <c r="E393" s="68"/>
      <c r="F393" s="68"/>
      <c r="G393" s="69"/>
      <c r="H393" s="69"/>
      <c r="I393" s="72"/>
      <c r="J393" s="71"/>
      <c r="K393" s="68"/>
      <c r="L393" s="68"/>
      <c r="M393" s="68"/>
      <c r="N393" s="68"/>
      <c r="O393" s="68"/>
      <c r="P393" s="61">
        <f t="shared" si="50"/>
        <v>0</v>
      </c>
      <c r="Q393" s="61">
        <f t="shared" si="51"/>
        <v>0</v>
      </c>
      <c r="R393" s="61">
        <f t="shared" si="52"/>
        <v>0</v>
      </c>
      <c r="S393" s="61">
        <f t="shared" si="53"/>
        <v>0</v>
      </c>
      <c r="T393" s="61">
        <f t="shared" si="54"/>
        <v>0</v>
      </c>
      <c r="U393" s="61">
        <f t="shared" si="55"/>
        <v>0</v>
      </c>
      <c r="V393" s="61">
        <f t="shared" si="56"/>
        <v>0</v>
      </c>
      <c r="W393" s="61">
        <f t="shared" si="57"/>
        <v>0</v>
      </c>
      <c r="X393" s="61">
        <f t="shared" si="58"/>
        <v>0</v>
      </c>
      <c r="Y393" s="61">
        <f t="shared" si="59"/>
        <v>0</v>
      </c>
      <c r="Z393" s="73"/>
      <c r="AA393" s="73"/>
      <c r="AB393" s="73"/>
      <c r="AC393" s="73"/>
      <c r="AD393" s="73"/>
      <c r="AE393" s="73"/>
      <c r="AF393" s="73"/>
      <c r="AG393" s="73"/>
      <c r="AH393" s="73"/>
      <c r="AI393" s="73"/>
      <c r="AJ393" s="73"/>
    </row>
    <row r="394" spans="2:36">
      <c r="B394" s="67"/>
      <c r="C394" s="225"/>
      <c r="D394" s="225"/>
      <c r="E394" s="68"/>
      <c r="F394" s="68"/>
      <c r="G394" s="69"/>
      <c r="H394" s="69"/>
      <c r="I394" s="72"/>
      <c r="J394" s="71"/>
      <c r="K394" s="68"/>
      <c r="L394" s="68"/>
      <c r="M394" s="68"/>
      <c r="N394" s="68"/>
      <c r="O394" s="68"/>
      <c r="P394" s="61">
        <f t="shared" si="50"/>
        <v>0</v>
      </c>
      <c r="Q394" s="61">
        <f t="shared" si="51"/>
        <v>0</v>
      </c>
      <c r="R394" s="61">
        <f t="shared" si="52"/>
        <v>0</v>
      </c>
      <c r="S394" s="61">
        <f t="shared" si="53"/>
        <v>0</v>
      </c>
      <c r="T394" s="61">
        <f t="shared" si="54"/>
        <v>0</v>
      </c>
      <c r="U394" s="61">
        <f t="shared" si="55"/>
        <v>0</v>
      </c>
      <c r="V394" s="61">
        <f t="shared" si="56"/>
        <v>0</v>
      </c>
      <c r="W394" s="61">
        <f t="shared" si="57"/>
        <v>0</v>
      </c>
      <c r="X394" s="61">
        <f t="shared" si="58"/>
        <v>0</v>
      </c>
      <c r="Y394" s="61">
        <f t="shared" si="59"/>
        <v>0</v>
      </c>
      <c r="Z394" s="73"/>
      <c r="AA394" s="73"/>
      <c r="AB394" s="73"/>
      <c r="AC394" s="73"/>
      <c r="AD394" s="73"/>
      <c r="AE394" s="73"/>
      <c r="AF394" s="73"/>
      <c r="AG394" s="73"/>
      <c r="AH394" s="73"/>
      <c r="AI394" s="73"/>
      <c r="AJ394" s="73"/>
    </row>
    <row r="395" spans="2:36">
      <c r="B395" s="67"/>
      <c r="C395" s="225"/>
      <c r="D395" s="225"/>
      <c r="E395" s="68"/>
      <c r="F395" s="68"/>
      <c r="G395" s="69"/>
      <c r="H395" s="69"/>
      <c r="I395" s="72"/>
      <c r="J395" s="71"/>
      <c r="K395" s="68"/>
      <c r="L395" s="68"/>
      <c r="M395" s="68"/>
      <c r="N395" s="68"/>
      <c r="O395" s="68"/>
      <c r="P395" s="61">
        <f t="shared" si="50"/>
        <v>0</v>
      </c>
      <c r="Q395" s="61">
        <f t="shared" si="51"/>
        <v>0</v>
      </c>
      <c r="R395" s="61">
        <f t="shared" si="52"/>
        <v>0</v>
      </c>
      <c r="S395" s="61">
        <f t="shared" si="53"/>
        <v>0</v>
      </c>
      <c r="T395" s="61">
        <f t="shared" si="54"/>
        <v>0</v>
      </c>
      <c r="U395" s="61">
        <f t="shared" si="55"/>
        <v>0</v>
      </c>
      <c r="V395" s="61">
        <f t="shared" si="56"/>
        <v>0</v>
      </c>
      <c r="W395" s="61">
        <f t="shared" si="57"/>
        <v>0</v>
      </c>
      <c r="X395" s="61">
        <f t="shared" si="58"/>
        <v>0</v>
      </c>
      <c r="Y395" s="61">
        <f t="shared" si="59"/>
        <v>0</v>
      </c>
      <c r="Z395" s="73"/>
      <c r="AA395" s="73"/>
      <c r="AB395" s="73"/>
      <c r="AC395" s="73"/>
      <c r="AD395" s="73"/>
      <c r="AE395" s="73"/>
      <c r="AF395" s="73"/>
      <c r="AG395" s="73"/>
      <c r="AH395" s="73"/>
      <c r="AI395" s="73"/>
      <c r="AJ395" s="73"/>
    </row>
    <row r="396" spans="2:36">
      <c r="B396" s="67"/>
      <c r="C396" s="225"/>
      <c r="D396" s="225"/>
      <c r="E396" s="68"/>
      <c r="F396" s="68"/>
      <c r="G396" s="69"/>
      <c r="H396" s="69"/>
      <c r="I396" s="72"/>
      <c r="J396" s="71"/>
      <c r="K396" s="68"/>
      <c r="L396" s="68"/>
      <c r="M396" s="68"/>
      <c r="N396" s="68"/>
      <c r="O396" s="68"/>
      <c r="P396" s="61">
        <f t="shared" si="50"/>
        <v>0</v>
      </c>
      <c r="Q396" s="61">
        <f t="shared" si="51"/>
        <v>0</v>
      </c>
      <c r="R396" s="61">
        <f t="shared" si="52"/>
        <v>0</v>
      </c>
      <c r="S396" s="61">
        <f t="shared" si="53"/>
        <v>0</v>
      </c>
      <c r="T396" s="61">
        <f t="shared" si="54"/>
        <v>0</v>
      </c>
      <c r="U396" s="61">
        <f t="shared" si="55"/>
        <v>0</v>
      </c>
      <c r="V396" s="61">
        <f t="shared" si="56"/>
        <v>0</v>
      </c>
      <c r="W396" s="61">
        <f t="shared" si="57"/>
        <v>0</v>
      </c>
      <c r="X396" s="61">
        <f t="shared" si="58"/>
        <v>0</v>
      </c>
      <c r="Y396" s="61">
        <f t="shared" si="59"/>
        <v>0</v>
      </c>
      <c r="Z396" s="73"/>
      <c r="AA396" s="73"/>
      <c r="AB396" s="73"/>
      <c r="AC396" s="73"/>
      <c r="AD396" s="73"/>
      <c r="AE396" s="73"/>
      <c r="AF396" s="73"/>
      <c r="AG396" s="73"/>
      <c r="AH396" s="73"/>
      <c r="AI396" s="73"/>
      <c r="AJ396" s="73"/>
    </row>
    <row r="397" spans="2:36">
      <c r="B397" s="67"/>
      <c r="C397" s="225"/>
      <c r="D397" s="225"/>
      <c r="E397" s="68"/>
      <c r="F397" s="68"/>
      <c r="G397" s="69"/>
      <c r="H397" s="69"/>
      <c r="I397" s="72"/>
      <c r="J397" s="71"/>
      <c r="K397" s="68"/>
      <c r="L397" s="68"/>
      <c r="M397" s="68"/>
      <c r="N397" s="68"/>
      <c r="O397" s="68"/>
      <c r="P397" s="61">
        <f t="shared" si="50"/>
        <v>0</v>
      </c>
      <c r="Q397" s="61">
        <f t="shared" si="51"/>
        <v>0</v>
      </c>
      <c r="R397" s="61">
        <f t="shared" si="52"/>
        <v>0</v>
      </c>
      <c r="S397" s="61">
        <f t="shared" si="53"/>
        <v>0</v>
      </c>
      <c r="T397" s="61">
        <f t="shared" si="54"/>
        <v>0</v>
      </c>
      <c r="U397" s="61">
        <f t="shared" si="55"/>
        <v>0</v>
      </c>
      <c r="V397" s="61">
        <f t="shared" si="56"/>
        <v>0</v>
      </c>
      <c r="W397" s="61">
        <f t="shared" si="57"/>
        <v>0</v>
      </c>
      <c r="X397" s="61">
        <f t="shared" si="58"/>
        <v>0</v>
      </c>
      <c r="Y397" s="61">
        <f t="shared" si="59"/>
        <v>0</v>
      </c>
      <c r="Z397" s="73"/>
      <c r="AA397" s="73"/>
      <c r="AB397" s="73"/>
      <c r="AC397" s="73"/>
      <c r="AD397" s="73"/>
      <c r="AE397" s="73"/>
      <c r="AF397" s="73"/>
      <c r="AG397" s="73"/>
      <c r="AH397" s="73"/>
      <c r="AI397" s="73"/>
      <c r="AJ397" s="73"/>
    </row>
    <row r="398" spans="2:36">
      <c r="B398" s="67"/>
      <c r="C398" s="225"/>
      <c r="D398" s="225"/>
      <c r="E398" s="68"/>
      <c r="F398" s="68"/>
      <c r="G398" s="69"/>
      <c r="H398" s="69"/>
      <c r="I398" s="72"/>
      <c r="J398" s="71"/>
      <c r="K398" s="68"/>
      <c r="L398" s="68"/>
      <c r="M398" s="68"/>
      <c r="N398" s="68"/>
      <c r="O398" s="68"/>
      <c r="P398" s="61">
        <f t="shared" si="50"/>
        <v>0</v>
      </c>
      <c r="Q398" s="61">
        <f t="shared" si="51"/>
        <v>0</v>
      </c>
      <c r="R398" s="61">
        <f t="shared" si="52"/>
        <v>0</v>
      </c>
      <c r="S398" s="61">
        <f t="shared" si="53"/>
        <v>0</v>
      </c>
      <c r="T398" s="61">
        <f t="shared" si="54"/>
        <v>0</v>
      </c>
      <c r="U398" s="61">
        <f t="shared" si="55"/>
        <v>0</v>
      </c>
      <c r="V398" s="61">
        <f t="shared" si="56"/>
        <v>0</v>
      </c>
      <c r="W398" s="61">
        <f t="shared" si="57"/>
        <v>0</v>
      </c>
      <c r="X398" s="61">
        <f t="shared" si="58"/>
        <v>0</v>
      </c>
      <c r="Y398" s="61">
        <f t="shared" si="59"/>
        <v>0</v>
      </c>
      <c r="Z398" s="73"/>
      <c r="AA398" s="73"/>
      <c r="AB398" s="73"/>
      <c r="AC398" s="73"/>
      <c r="AD398" s="73"/>
      <c r="AE398" s="73"/>
      <c r="AF398" s="73"/>
      <c r="AG398" s="73"/>
      <c r="AH398" s="73"/>
      <c r="AI398" s="73"/>
      <c r="AJ398" s="73"/>
    </row>
    <row r="399" spans="2:36">
      <c r="B399" s="67"/>
      <c r="C399" s="225"/>
      <c r="D399" s="225"/>
      <c r="E399" s="68"/>
      <c r="F399" s="68"/>
      <c r="G399" s="69"/>
      <c r="H399" s="69"/>
      <c r="I399" s="72"/>
      <c r="J399" s="71"/>
      <c r="K399" s="68"/>
      <c r="L399" s="68"/>
      <c r="M399" s="68"/>
      <c r="N399" s="68"/>
      <c r="O399" s="68"/>
      <c r="P399" s="61">
        <f t="shared" si="50"/>
        <v>0</v>
      </c>
      <c r="Q399" s="61">
        <f t="shared" si="51"/>
        <v>0</v>
      </c>
      <c r="R399" s="61">
        <f t="shared" si="52"/>
        <v>0</v>
      </c>
      <c r="S399" s="61">
        <f t="shared" si="53"/>
        <v>0</v>
      </c>
      <c r="T399" s="61">
        <f t="shared" si="54"/>
        <v>0</v>
      </c>
      <c r="U399" s="61">
        <f t="shared" si="55"/>
        <v>0</v>
      </c>
      <c r="V399" s="61">
        <f t="shared" si="56"/>
        <v>0</v>
      </c>
      <c r="W399" s="61">
        <f t="shared" si="57"/>
        <v>0</v>
      </c>
      <c r="X399" s="61">
        <f t="shared" si="58"/>
        <v>0</v>
      </c>
      <c r="Y399" s="61">
        <f t="shared" si="59"/>
        <v>0</v>
      </c>
      <c r="Z399" s="73"/>
      <c r="AA399" s="73"/>
      <c r="AB399" s="73"/>
      <c r="AC399" s="73"/>
      <c r="AD399" s="73"/>
      <c r="AE399" s="73"/>
      <c r="AF399" s="73"/>
      <c r="AG399" s="73"/>
      <c r="AH399" s="73"/>
      <c r="AI399" s="73"/>
      <c r="AJ399" s="73"/>
    </row>
    <row r="400" spans="2:36">
      <c r="B400" s="67"/>
      <c r="C400" s="225"/>
      <c r="D400" s="225"/>
      <c r="E400" s="68"/>
      <c r="F400" s="68"/>
      <c r="G400" s="69"/>
      <c r="H400" s="69"/>
      <c r="I400" s="72"/>
      <c r="J400" s="71"/>
      <c r="K400" s="68"/>
      <c r="L400" s="68"/>
      <c r="M400" s="68"/>
      <c r="N400" s="68"/>
      <c r="O400" s="68"/>
      <c r="P400" s="61">
        <f t="shared" si="50"/>
        <v>0</v>
      </c>
      <c r="Q400" s="61">
        <f t="shared" si="51"/>
        <v>0</v>
      </c>
      <c r="R400" s="61">
        <f t="shared" si="52"/>
        <v>0</v>
      </c>
      <c r="S400" s="61">
        <f t="shared" si="53"/>
        <v>0</v>
      </c>
      <c r="T400" s="61">
        <f t="shared" si="54"/>
        <v>0</v>
      </c>
      <c r="U400" s="61">
        <f t="shared" si="55"/>
        <v>0</v>
      </c>
      <c r="V400" s="61">
        <f t="shared" si="56"/>
        <v>0</v>
      </c>
      <c r="W400" s="61">
        <f t="shared" si="57"/>
        <v>0</v>
      </c>
      <c r="X400" s="61">
        <f t="shared" si="58"/>
        <v>0</v>
      </c>
      <c r="Y400" s="61">
        <f t="shared" si="59"/>
        <v>0</v>
      </c>
      <c r="Z400" s="73"/>
      <c r="AA400" s="73"/>
      <c r="AB400" s="73"/>
      <c r="AC400" s="73"/>
      <c r="AD400" s="73"/>
      <c r="AE400" s="73"/>
      <c r="AF400" s="73"/>
      <c r="AG400" s="73"/>
      <c r="AH400" s="73"/>
      <c r="AI400" s="73"/>
      <c r="AJ400" s="73"/>
    </row>
    <row r="401" spans="2:36">
      <c r="B401" s="67"/>
      <c r="C401" s="225"/>
      <c r="D401" s="225"/>
      <c r="E401" s="68"/>
      <c r="F401" s="68"/>
      <c r="G401" s="69"/>
      <c r="H401" s="69"/>
      <c r="I401" s="72"/>
      <c r="J401" s="71"/>
      <c r="K401" s="68"/>
      <c r="L401" s="68"/>
      <c r="M401" s="68"/>
      <c r="N401" s="68"/>
      <c r="O401" s="68"/>
      <c r="P401" s="61">
        <f t="shared" si="50"/>
        <v>0</v>
      </c>
      <c r="Q401" s="61">
        <f t="shared" si="51"/>
        <v>0</v>
      </c>
      <c r="R401" s="61">
        <f t="shared" si="52"/>
        <v>0</v>
      </c>
      <c r="S401" s="61">
        <f t="shared" si="53"/>
        <v>0</v>
      </c>
      <c r="T401" s="61">
        <f t="shared" si="54"/>
        <v>0</v>
      </c>
      <c r="U401" s="61">
        <f t="shared" si="55"/>
        <v>0</v>
      </c>
      <c r="V401" s="61">
        <f t="shared" si="56"/>
        <v>0</v>
      </c>
      <c r="W401" s="61">
        <f t="shared" si="57"/>
        <v>0</v>
      </c>
      <c r="X401" s="61">
        <f t="shared" si="58"/>
        <v>0</v>
      </c>
      <c r="Y401" s="61">
        <f t="shared" si="59"/>
        <v>0</v>
      </c>
      <c r="Z401" s="73"/>
      <c r="AA401" s="73"/>
      <c r="AB401" s="73"/>
      <c r="AC401" s="73"/>
      <c r="AD401" s="73"/>
      <c r="AE401" s="73"/>
      <c r="AF401" s="73"/>
      <c r="AG401" s="73"/>
      <c r="AH401" s="73"/>
      <c r="AI401" s="73"/>
      <c r="AJ401" s="73"/>
    </row>
    <row r="402" spans="2:36">
      <c r="B402" s="67"/>
      <c r="C402" s="225"/>
      <c r="D402" s="225"/>
      <c r="E402" s="68"/>
      <c r="F402" s="68"/>
      <c r="G402" s="69"/>
      <c r="H402" s="69"/>
      <c r="I402" s="72"/>
      <c r="J402" s="71"/>
      <c r="K402" s="68"/>
      <c r="L402" s="68"/>
      <c r="M402" s="68"/>
      <c r="N402" s="68"/>
      <c r="O402" s="68"/>
      <c r="P402" s="61">
        <f t="shared" si="50"/>
        <v>0</v>
      </c>
      <c r="Q402" s="61">
        <f t="shared" si="51"/>
        <v>0</v>
      </c>
      <c r="R402" s="61">
        <f t="shared" si="52"/>
        <v>0</v>
      </c>
      <c r="S402" s="61">
        <f t="shared" si="53"/>
        <v>0</v>
      </c>
      <c r="T402" s="61">
        <f t="shared" si="54"/>
        <v>0</v>
      </c>
      <c r="U402" s="61">
        <f t="shared" si="55"/>
        <v>0</v>
      </c>
      <c r="V402" s="61">
        <f t="shared" si="56"/>
        <v>0</v>
      </c>
      <c r="W402" s="61">
        <f t="shared" si="57"/>
        <v>0</v>
      </c>
      <c r="X402" s="61">
        <f t="shared" si="58"/>
        <v>0</v>
      </c>
      <c r="Y402" s="61">
        <f t="shared" si="59"/>
        <v>0</v>
      </c>
      <c r="Z402" s="73"/>
      <c r="AA402" s="73"/>
      <c r="AB402" s="73"/>
      <c r="AC402" s="73"/>
      <c r="AD402" s="73"/>
      <c r="AE402" s="73"/>
      <c r="AF402" s="73"/>
      <c r="AG402" s="73"/>
      <c r="AH402" s="73"/>
      <c r="AI402" s="73"/>
      <c r="AJ402" s="73"/>
    </row>
    <row r="403" spans="2:36">
      <c r="B403" s="67"/>
      <c r="C403" s="225"/>
      <c r="D403" s="225"/>
      <c r="E403" s="68"/>
      <c r="F403" s="68"/>
      <c r="G403" s="69"/>
      <c r="H403" s="69"/>
      <c r="I403" s="72"/>
      <c r="J403" s="71"/>
      <c r="K403" s="68"/>
      <c r="L403" s="68"/>
      <c r="M403" s="68"/>
      <c r="N403" s="68"/>
      <c r="O403" s="68"/>
      <c r="P403" s="61">
        <f t="shared" si="50"/>
        <v>0</v>
      </c>
      <c r="Q403" s="61">
        <f t="shared" si="51"/>
        <v>0</v>
      </c>
      <c r="R403" s="61">
        <f t="shared" si="52"/>
        <v>0</v>
      </c>
      <c r="S403" s="61">
        <f t="shared" si="53"/>
        <v>0</v>
      </c>
      <c r="T403" s="61">
        <f t="shared" si="54"/>
        <v>0</v>
      </c>
      <c r="U403" s="61">
        <f t="shared" si="55"/>
        <v>0</v>
      </c>
      <c r="V403" s="61">
        <f t="shared" si="56"/>
        <v>0</v>
      </c>
      <c r="W403" s="61">
        <f t="shared" si="57"/>
        <v>0</v>
      </c>
      <c r="X403" s="61">
        <f t="shared" si="58"/>
        <v>0</v>
      </c>
      <c r="Y403" s="61">
        <f t="shared" si="59"/>
        <v>0</v>
      </c>
      <c r="Z403" s="73"/>
      <c r="AA403" s="73"/>
      <c r="AB403" s="73"/>
      <c r="AC403" s="73"/>
      <c r="AD403" s="73"/>
      <c r="AE403" s="73"/>
      <c r="AF403" s="73"/>
      <c r="AG403" s="73"/>
      <c r="AH403" s="73"/>
      <c r="AI403" s="73"/>
      <c r="AJ403" s="73"/>
    </row>
    <row r="404" spans="2:36">
      <c r="B404" s="67"/>
      <c r="C404" s="225"/>
      <c r="D404" s="225"/>
      <c r="E404" s="68"/>
      <c r="F404" s="68"/>
      <c r="G404" s="69"/>
      <c r="H404" s="69"/>
      <c r="I404" s="72"/>
      <c r="J404" s="71"/>
      <c r="K404" s="68"/>
      <c r="L404" s="68"/>
      <c r="M404" s="68"/>
      <c r="N404" s="68"/>
      <c r="O404" s="68"/>
      <c r="P404" s="61">
        <f t="shared" si="50"/>
        <v>0</v>
      </c>
      <c r="Q404" s="61">
        <f t="shared" si="51"/>
        <v>0</v>
      </c>
      <c r="R404" s="61">
        <f t="shared" si="52"/>
        <v>0</v>
      </c>
      <c r="S404" s="61">
        <f t="shared" si="53"/>
        <v>0</v>
      </c>
      <c r="T404" s="61">
        <f t="shared" si="54"/>
        <v>0</v>
      </c>
      <c r="U404" s="61">
        <f t="shared" si="55"/>
        <v>0</v>
      </c>
      <c r="V404" s="61">
        <f t="shared" si="56"/>
        <v>0</v>
      </c>
      <c r="W404" s="61">
        <f t="shared" si="57"/>
        <v>0</v>
      </c>
      <c r="X404" s="61">
        <f t="shared" si="58"/>
        <v>0</v>
      </c>
      <c r="Y404" s="61">
        <f t="shared" si="59"/>
        <v>0</v>
      </c>
      <c r="Z404" s="73"/>
      <c r="AA404" s="73"/>
      <c r="AB404" s="73"/>
      <c r="AC404" s="73"/>
      <c r="AD404" s="73"/>
      <c r="AE404" s="73"/>
      <c r="AF404" s="73"/>
      <c r="AG404" s="73"/>
      <c r="AH404" s="73"/>
      <c r="AI404" s="73"/>
      <c r="AJ404" s="73"/>
    </row>
    <row r="405" spans="2:36">
      <c r="B405" s="67"/>
      <c r="C405" s="225"/>
      <c r="D405" s="225"/>
      <c r="E405" s="68"/>
      <c r="F405" s="68"/>
      <c r="G405" s="69"/>
      <c r="H405" s="69"/>
      <c r="I405" s="72"/>
      <c r="J405" s="71"/>
      <c r="K405" s="68"/>
      <c r="L405" s="68"/>
      <c r="M405" s="68"/>
      <c r="N405" s="68"/>
      <c r="O405" s="68"/>
      <c r="P405" s="61">
        <f t="shared" si="50"/>
        <v>0</v>
      </c>
      <c r="Q405" s="61">
        <f t="shared" si="51"/>
        <v>0</v>
      </c>
      <c r="R405" s="61">
        <f t="shared" si="52"/>
        <v>0</v>
      </c>
      <c r="S405" s="61">
        <f t="shared" si="53"/>
        <v>0</v>
      </c>
      <c r="T405" s="61">
        <f t="shared" si="54"/>
        <v>0</v>
      </c>
      <c r="U405" s="61">
        <f t="shared" si="55"/>
        <v>0</v>
      </c>
      <c r="V405" s="61">
        <f t="shared" si="56"/>
        <v>0</v>
      </c>
      <c r="W405" s="61">
        <f t="shared" si="57"/>
        <v>0</v>
      </c>
      <c r="X405" s="61">
        <f t="shared" si="58"/>
        <v>0</v>
      </c>
      <c r="Y405" s="61">
        <f t="shared" si="59"/>
        <v>0</v>
      </c>
      <c r="Z405" s="73"/>
      <c r="AA405" s="73"/>
      <c r="AB405" s="73"/>
      <c r="AC405" s="73"/>
      <c r="AD405" s="73"/>
      <c r="AE405" s="73"/>
      <c r="AF405" s="73"/>
      <c r="AG405" s="73"/>
      <c r="AH405" s="73"/>
      <c r="AI405" s="73"/>
      <c r="AJ405" s="73"/>
    </row>
    <row r="406" spans="2:36">
      <c r="B406" s="67"/>
      <c r="C406" s="225"/>
      <c r="D406" s="225"/>
      <c r="E406" s="68"/>
      <c r="F406" s="68"/>
      <c r="G406" s="69"/>
      <c r="H406" s="69"/>
      <c r="I406" s="72"/>
      <c r="J406" s="71"/>
      <c r="K406" s="68"/>
      <c r="L406" s="68"/>
      <c r="M406" s="68"/>
      <c r="N406" s="68"/>
      <c r="O406" s="68"/>
      <c r="P406" s="61">
        <f t="shared" si="50"/>
        <v>0</v>
      </c>
      <c r="Q406" s="61">
        <f t="shared" si="51"/>
        <v>0</v>
      </c>
      <c r="R406" s="61">
        <f t="shared" si="52"/>
        <v>0</v>
      </c>
      <c r="S406" s="61">
        <f t="shared" si="53"/>
        <v>0</v>
      </c>
      <c r="T406" s="61">
        <f t="shared" si="54"/>
        <v>0</v>
      </c>
      <c r="U406" s="61">
        <f t="shared" si="55"/>
        <v>0</v>
      </c>
      <c r="V406" s="61">
        <f t="shared" si="56"/>
        <v>0</v>
      </c>
      <c r="W406" s="61">
        <f t="shared" si="57"/>
        <v>0</v>
      </c>
      <c r="X406" s="61">
        <f t="shared" si="58"/>
        <v>0</v>
      </c>
      <c r="Y406" s="61">
        <f t="shared" si="59"/>
        <v>0</v>
      </c>
      <c r="Z406" s="73"/>
      <c r="AA406" s="73"/>
      <c r="AB406" s="73"/>
      <c r="AC406" s="73"/>
      <c r="AD406" s="73"/>
      <c r="AE406" s="73"/>
      <c r="AF406" s="73"/>
      <c r="AG406" s="73"/>
      <c r="AH406" s="73"/>
      <c r="AI406" s="73"/>
      <c r="AJ406" s="73"/>
    </row>
    <row r="407" spans="2:36">
      <c r="B407" s="67"/>
      <c r="C407" s="225"/>
      <c r="D407" s="225"/>
      <c r="E407" s="68"/>
      <c r="F407" s="68"/>
      <c r="G407" s="69"/>
      <c r="H407" s="69"/>
      <c r="I407" s="72"/>
      <c r="J407" s="71"/>
      <c r="K407" s="68"/>
      <c r="L407" s="68"/>
      <c r="M407" s="68"/>
      <c r="N407" s="68"/>
      <c r="O407" s="68"/>
      <c r="P407" s="61">
        <f t="shared" si="50"/>
        <v>0</v>
      </c>
      <c r="Q407" s="61">
        <f t="shared" si="51"/>
        <v>0</v>
      </c>
      <c r="R407" s="61">
        <f t="shared" si="52"/>
        <v>0</v>
      </c>
      <c r="S407" s="61">
        <f t="shared" si="53"/>
        <v>0</v>
      </c>
      <c r="T407" s="61">
        <f t="shared" si="54"/>
        <v>0</v>
      </c>
      <c r="U407" s="61">
        <f t="shared" si="55"/>
        <v>0</v>
      </c>
      <c r="V407" s="61">
        <f t="shared" si="56"/>
        <v>0</v>
      </c>
      <c r="W407" s="61">
        <f t="shared" si="57"/>
        <v>0</v>
      </c>
      <c r="X407" s="61">
        <f t="shared" si="58"/>
        <v>0</v>
      </c>
      <c r="Y407" s="61">
        <f t="shared" si="59"/>
        <v>0</v>
      </c>
      <c r="Z407" s="73"/>
      <c r="AA407" s="73"/>
      <c r="AB407" s="73"/>
      <c r="AC407" s="73"/>
      <c r="AD407" s="73"/>
      <c r="AE407" s="73"/>
      <c r="AF407" s="73"/>
      <c r="AG407" s="73"/>
      <c r="AH407" s="73"/>
      <c r="AI407" s="73"/>
      <c r="AJ407" s="73"/>
    </row>
    <row r="408" spans="2:36">
      <c r="B408" s="67"/>
      <c r="C408" s="225"/>
      <c r="D408" s="225"/>
      <c r="E408" s="68"/>
      <c r="F408" s="68"/>
      <c r="G408" s="69"/>
      <c r="H408" s="69"/>
      <c r="I408" s="72"/>
      <c r="J408" s="71"/>
      <c r="K408" s="68"/>
      <c r="L408" s="68"/>
      <c r="M408" s="68"/>
      <c r="N408" s="68"/>
      <c r="O408" s="68"/>
      <c r="P408" s="61">
        <f t="shared" si="50"/>
        <v>0</v>
      </c>
      <c r="Q408" s="61">
        <f t="shared" si="51"/>
        <v>0</v>
      </c>
      <c r="R408" s="61">
        <f t="shared" si="52"/>
        <v>0</v>
      </c>
      <c r="S408" s="61">
        <f t="shared" si="53"/>
        <v>0</v>
      </c>
      <c r="T408" s="61">
        <f t="shared" si="54"/>
        <v>0</v>
      </c>
      <c r="U408" s="61">
        <f t="shared" si="55"/>
        <v>0</v>
      </c>
      <c r="V408" s="61">
        <f t="shared" si="56"/>
        <v>0</v>
      </c>
      <c r="W408" s="61">
        <f t="shared" si="57"/>
        <v>0</v>
      </c>
      <c r="X408" s="61">
        <f t="shared" si="58"/>
        <v>0</v>
      </c>
      <c r="Y408" s="61">
        <f t="shared" si="59"/>
        <v>0</v>
      </c>
      <c r="Z408" s="73"/>
      <c r="AA408" s="73"/>
      <c r="AB408" s="73"/>
      <c r="AC408" s="73"/>
      <c r="AD408" s="73"/>
      <c r="AE408" s="73"/>
      <c r="AF408" s="73"/>
      <c r="AG408" s="73"/>
      <c r="AH408" s="73"/>
      <c r="AI408" s="73"/>
      <c r="AJ408" s="73"/>
    </row>
    <row r="409" spans="2:36">
      <c r="B409" s="67"/>
      <c r="C409" s="225"/>
      <c r="D409" s="225"/>
      <c r="E409" s="68"/>
      <c r="F409" s="68"/>
      <c r="G409" s="69"/>
      <c r="H409" s="69"/>
      <c r="I409" s="72"/>
      <c r="J409" s="71"/>
      <c r="K409" s="68"/>
      <c r="L409" s="68"/>
      <c r="M409" s="68"/>
      <c r="N409" s="68"/>
      <c r="O409" s="68"/>
      <c r="P409" s="61">
        <f t="shared" si="50"/>
        <v>0</v>
      </c>
      <c r="Q409" s="61">
        <f t="shared" si="51"/>
        <v>0</v>
      </c>
      <c r="R409" s="61">
        <f t="shared" si="52"/>
        <v>0</v>
      </c>
      <c r="S409" s="61">
        <f t="shared" si="53"/>
        <v>0</v>
      </c>
      <c r="T409" s="61">
        <f t="shared" si="54"/>
        <v>0</v>
      </c>
      <c r="U409" s="61">
        <f t="shared" si="55"/>
        <v>0</v>
      </c>
      <c r="V409" s="61">
        <f t="shared" si="56"/>
        <v>0</v>
      </c>
      <c r="W409" s="61">
        <f t="shared" si="57"/>
        <v>0</v>
      </c>
      <c r="X409" s="61">
        <f t="shared" si="58"/>
        <v>0</v>
      </c>
      <c r="Y409" s="61">
        <f t="shared" si="59"/>
        <v>0</v>
      </c>
      <c r="Z409" s="73"/>
      <c r="AA409" s="73"/>
      <c r="AB409" s="73"/>
      <c r="AC409" s="73"/>
      <c r="AD409" s="73"/>
      <c r="AE409" s="73"/>
      <c r="AF409" s="73"/>
      <c r="AG409" s="73"/>
      <c r="AH409" s="73"/>
      <c r="AI409" s="73"/>
      <c r="AJ409" s="73"/>
    </row>
    <row r="410" spans="2:36">
      <c r="B410" s="67"/>
      <c r="C410" s="225"/>
      <c r="D410" s="225"/>
      <c r="E410" s="68"/>
      <c r="F410" s="68"/>
      <c r="G410" s="69"/>
      <c r="H410" s="69"/>
      <c r="I410" s="72"/>
      <c r="J410" s="71"/>
      <c r="K410" s="68"/>
      <c r="L410" s="68"/>
      <c r="M410" s="68"/>
      <c r="N410" s="68"/>
      <c r="O410" s="68"/>
      <c r="P410" s="61">
        <f t="shared" si="50"/>
        <v>0</v>
      </c>
      <c r="Q410" s="61">
        <f t="shared" si="51"/>
        <v>0</v>
      </c>
      <c r="R410" s="61">
        <f t="shared" si="52"/>
        <v>0</v>
      </c>
      <c r="S410" s="61">
        <f t="shared" si="53"/>
        <v>0</v>
      </c>
      <c r="T410" s="61">
        <f t="shared" si="54"/>
        <v>0</v>
      </c>
      <c r="U410" s="61">
        <f t="shared" si="55"/>
        <v>0</v>
      </c>
      <c r="V410" s="61">
        <f t="shared" si="56"/>
        <v>0</v>
      </c>
      <c r="W410" s="61">
        <f t="shared" si="57"/>
        <v>0</v>
      </c>
      <c r="X410" s="61">
        <f t="shared" si="58"/>
        <v>0</v>
      </c>
      <c r="Y410" s="61">
        <f t="shared" si="59"/>
        <v>0</v>
      </c>
      <c r="Z410" s="73"/>
      <c r="AA410" s="73"/>
      <c r="AB410" s="73"/>
      <c r="AC410" s="73"/>
      <c r="AD410" s="73"/>
      <c r="AE410" s="73"/>
      <c r="AF410" s="73"/>
      <c r="AG410" s="73"/>
      <c r="AH410" s="73"/>
      <c r="AI410" s="73"/>
      <c r="AJ410" s="73"/>
    </row>
    <row r="411" spans="2:36">
      <c r="B411" s="67"/>
      <c r="C411" s="225"/>
      <c r="D411" s="225"/>
      <c r="E411" s="68"/>
      <c r="F411" s="68"/>
      <c r="G411" s="69"/>
      <c r="H411" s="69"/>
      <c r="I411" s="72"/>
      <c r="J411" s="71"/>
      <c r="K411" s="68"/>
      <c r="L411" s="68"/>
      <c r="M411" s="68"/>
      <c r="N411" s="68"/>
      <c r="O411" s="68"/>
      <c r="P411" s="61">
        <f t="shared" si="50"/>
        <v>0</v>
      </c>
      <c r="Q411" s="61">
        <f t="shared" si="51"/>
        <v>0</v>
      </c>
      <c r="R411" s="61">
        <f t="shared" si="52"/>
        <v>0</v>
      </c>
      <c r="S411" s="61">
        <f t="shared" si="53"/>
        <v>0</v>
      </c>
      <c r="T411" s="61">
        <f t="shared" si="54"/>
        <v>0</v>
      </c>
      <c r="U411" s="61">
        <f t="shared" si="55"/>
        <v>0</v>
      </c>
      <c r="V411" s="61">
        <f t="shared" si="56"/>
        <v>0</v>
      </c>
      <c r="W411" s="61">
        <f t="shared" si="57"/>
        <v>0</v>
      </c>
      <c r="X411" s="61">
        <f t="shared" si="58"/>
        <v>0</v>
      </c>
      <c r="Y411" s="61">
        <f t="shared" si="59"/>
        <v>0</v>
      </c>
      <c r="Z411" s="73"/>
      <c r="AA411" s="73"/>
      <c r="AB411" s="73"/>
      <c r="AC411" s="73"/>
      <c r="AD411" s="73"/>
      <c r="AE411" s="73"/>
      <c r="AF411" s="73"/>
      <c r="AG411" s="73"/>
      <c r="AH411" s="73"/>
      <c r="AI411" s="73"/>
      <c r="AJ411" s="73"/>
    </row>
    <row r="412" spans="2:36">
      <c r="B412" s="67"/>
      <c r="C412" s="225"/>
      <c r="D412" s="225"/>
      <c r="E412" s="68"/>
      <c r="F412" s="68"/>
      <c r="G412" s="69"/>
      <c r="H412" s="69"/>
      <c r="I412" s="72"/>
      <c r="J412" s="71"/>
      <c r="K412" s="68"/>
      <c r="L412" s="68"/>
      <c r="M412" s="68"/>
      <c r="N412" s="68"/>
      <c r="O412" s="68"/>
      <c r="P412" s="61">
        <f t="shared" si="50"/>
        <v>0</v>
      </c>
      <c r="Q412" s="61">
        <f t="shared" si="51"/>
        <v>0</v>
      </c>
      <c r="R412" s="61">
        <f t="shared" si="52"/>
        <v>0</v>
      </c>
      <c r="S412" s="61">
        <f t="shared" si="53"/>
        <v>0</v>
      </c>
      <c r="T412" s="61">
        <f t="shared" si="54"/>
        <v>0</v>
      </c>
      <c r="U412" s="61">
        <f t="shared" si="55"/>
        <v>0</v>
      </c>
      <c r="V412" s="61">
        <f t="shared" si="56"/>
        <v>0</v>
      </c>
      <c r="W412" s="61">
        <f t="shared" si="57"/>
        <v>0</v>
      </c>
      <c r="X412" s="61">
        <f t="shared" si="58"/>
        <v>0</v>
      </c>
      <c r="Y412" s="61">
        <f t="shared" si="59"/>
        <v>0</v>
      </c>
      <c r="Z412" s="73"/>
      <c r="AA412" s="73"/>
      <c r="AB412" s="73"/>
      <c r="AC412" s="73"/>
      <c r="AD412" s="73"/>
      <c r="AE412" s="73"/>
      <c r="AF412" s="73"/>
      <c r="AG412" s="73"/>
      <c r="AH412" s="73"/>
      <c r="AI412" s="73"/>
      <c r="AJ412" s="73"/>
    </row>
    <row r="413" spans="2:36">
      <c r="B413" s="67"/>
      <c r="C413" s="225"/>
      <c r="D413" s="225"/>
      <c r="E413" s="68"/>
      <c r="F413" s="68"/>
      <c r="G413" s="69"/>
      <c r="H413" s="69"/>
      <c r="I413" s="72"/>
      <c r="J413" s="71"/>
      <c r="K413" s="68"/>
      <c r="L413" s="68"/>
      <c r="M413" s="68"/>
      <c r="N413" s="68"/>
      <c r="O413" s="68"/>
      <c r="P413" s="61">
        <f t="shared" si="50"/>
        <v>0</v>
      </c>
      <c r="Q413" s="61">
        <f t="shared" si="51"/>
        <v>0</v>
      </c>
      <c r="R413" s="61">
        <f t="shared" si="52"/>
        <v>0</v>
      </c>
      <c r="S413" s="61">
        <f t="shared" si="53"/>
        <v>0</v>
      </c>
      <c r="T413" s="61">
        <f t="shared" si="54"/>
        <v>0</v>
      </c>
      <c r="U413" s="61">
        <f t="shared" si="55"/>
        <v>0</v>
      </c>
      <c r="V413" s="61">
        <f t="shared" si="56"/>
        <v>0</v>
      </c>
      <c r="W413" s="61">
        <f t="shared" si="57"/>
        <v>0</v>
      </c>
      <c r="X413" s="61">
        <f t="shared" si="58"/>
        <v>0</v>
      </c>
      <c r="Y413" s="61">
        <f t="shared" si="59"/>
        <v>0</v>
      </c>
      <c r="Z413" s="73"/>
      <c r="AA413" s="73"/>
      <c r="AB413" s="73"/>
      <c r="AC413" s="73"/>
      <c r="AD413" s="73"/>
      <c r="AE413" s="73"/>
      <c r="AF413" s="73"/>
      <c r="AG413" s="73"/>
      <c r="AH413" s="73"/>
      <c r="AI413" s="73"/>
      <c r="AJ413" s="73"/>
    </row>
    <row r="414" spans="2:36">
      <c r="B414" s="67"/>
      <c r="C414" s="225"/>
      <c r="D414" s="225"/>
      <c r="E414" s="68"/>
      <c r="F414" s="68"/>
      <c r="G414" s="69"/>
      <c r="H414" s="69"/>
      <c r="I414" s="72"/>
      <c r="J414" s="71"/>
      <c r="K414" s="68"/>
      <c r="L414" s="68"/>
      <c r="M414" s="68"/>
      <c r="N414" s="68"/>
      <c r="O414" s="68"/>
      <c r="P414" s="61">
        <f t="shared" si="50"/>
        <v>0</v>
      </c>
      <c r="Q414" s="61">
        <f t="shared" si="51"/>
        <v>0</v>
      </c>
      <c r="R414" s="61">
        <f t="shared" si="52"/>
        <v>0</v>
      </c>
      <c r="S414" s="61">
        <f t="shared" si="53"/>
        <v>0</v>
      </c>
      <c r="T414" s="61">
        <f t="shared" si="54"/>
        <v>0</v>
      </c>
      <c r="U414" s="61">
        <f t="shared" si="55"/>
        <v>0</v>
      </c>
      <c r="V414" s="61">
        <f t="shared" si="56"/>
        <v>0</v>
      </c>
      <c r="W414" s="61">
        <f t="shared" si="57"/>
        <v>0</v>
      </c>
      <c r="X414" s="61">
        <f t="shared" si="58"/>
        <v>0</v>
      </c>
      <c r="Y414" s="61">
        <f t="shared" si="59"/>
        <v>0</v>
      </c>
      <c r="Z414" s="73"/>
      <c r="AA414" s="73"/>
      <c r="AB414" s="73"/>
      <c r="AC414" s="73"/>
      <c r="AD414" s="73"/>
      <c r="AE414" s="73"/>
      <c r="AF414" s="73"/>
      <c r="AG414" s="73"/>
      <c r="AH414" s="73"/>
      <c r="AI414" s="73"/>
      <c r="AJ414" s="73"/>
    </row>
    <row r="415" spans="2:36">
      <c r="B415" s="67"/>
      <c r="C415" s="225"/>
      <c r="D415" s="225"/>
      <c r="E415" s="68"/>
      <c r="F415" s="68"/>
      <c r="G415" s="69"/>
      <c r="H415" s="69"/>
      <c r="I415" s="72"/>
      <c r="J415" s="71"/>
      <c r="K415" s="68"/>
      <c r="L415" s="68"/>
      <c r="M415" s="68"/>
      <c r="N415" s="68"/>
      <c r="O415" s="68"/>
      <c r="P415" s="61">
        <f t="shared" si="50"/>
        <v>0</v>
      </c>
      <c r="Q415" s="61">
        <f t="shared" si="51"/>
        <v>0</v>
      </c>
      <c r="R415" s="61">
        <f t="shared" si="52"/>
        <v>0</v>
      </c>
      <c r="S415" s="61">
        <f t="shared" si="53"/>
        <v>0</v>
      </c>
      <c r="T415" s="61">
        <f t="shared" si="54"/>
        <v>0</v>
      </c>
      <c r="U415" s="61">
        <f t="shared" si="55"/>
        <v>0</v>
      </c>
      <c r="V415" s="61">
        <f t="shared" si="56"/>
        <v>0</v>
      </c>
      <c r="W415" s="61">
        <f t="shared" si="57"/>
        <v>0</v>
      </c>
      <c r="X415" s="61">
        <f t="shared" si="58"/>
        <v>0</v>
      </c>
      <c r="Y415" s="61">
        <f t="shared" si="59"/>
        <v>0</v>
      </c>
      <c r="Z415" s="73"/>
      <c r="AA415" s="73"/>
      <c r="AB415" s="73"/>
      <c r="AC415" s="73"/>
      <c r="AD415" s="73"/>
      <c r="AE415" s="73"/>
      <c r="AF415" s="73"/>
      <c r="AG415" s="73"/>
      <c r="AH415" s="73"/>
      <c r="AI415" s="73"/>
      <c r="AJ415" s="73"/>
    </row>
    <row r="416" spans="2:36">
      <c r="B416" s="67"/>
      <c r="C416" s="225"/>
      <c r="D416" s="225"/>
      <c r="E416" s="68"/>
      <c r="F416" s="68"/>
      <c r="G416" s="69"/>
      <c r="H416" s="69"/>
      <c r="I416" s="72"/>
      <c r="J416" s="71"/>
      <c r="K416" s="68"/>
      <c r="L416" s="68"/>
      <c r="M416" s="68"/>
      <c r="N416" s="68"/>
      <c r="O416" s="68"/>
      <c r="P416" s="61">
        <f t="shared" ref="P416:P479" si="60">IF(H416="REJ",1,0)</f>
        <v>0</v>
      </c>
      <c r="Q416" s="61">
        <f t="shared" ref="Q416:Q479" si="61">IF(J416="",0,1)</f>
        <v>0</v>
      </c>
      <c r="R416" s="61">
        <f t="shared" si="52"/>
        <v>0</v>
      </c>
      <c r="S416" s="61">
        <f t="shared" si="53"/>
        <v>0</v>
      </c>
      <c r="T416" s="61">
        <f t="shared" si="54"/>
        <v>0</v>
      </c>
      <c r="U416" s="61">
        <f t="shared" si="55"/>
        <v>0</v>
      </c>
      <c r="V416" s="61">
        <f t="shared" si="56"/>
        <v>0</v>
      </c>
      <c r="W416" s="61">
        <f t="shared" si="57"/>
        <v>0</v>
      </c>
      <c r="X416" s="61">
        <f t="shared" si="58"/>
        <v>0</v>
      </c>
      <c r="Y416" s="61">
        <f t="shared" si="59"/>
        <v>0</v>
      </c>
      <c r="Z416" s="73"/>
      <c r="AA416" s="73"/>
      <c r="AB416" s="73"/>
      <c r="AC416" s="73"/>
      <c r="AD416" s="73"/>
      <c r="AE416" s="73"/>
      <c r="AF416" s="73"/>
      <c r="AG416" s="73"/>
      <c r="AH416" s="73"/>
      <c r="AI416" s="73"/>
      <c r="AJ416" s="73"/>
    </row>
    <row r="417" spans="2:36">
      <c r="B417" s="67"/>
      <c r="C417" s="225"/>
      <c r="D417" s="225"/>
      <c r="E417" s="68"/>
      <c r="F417" s="68"/>
      <c r="G417" s="69"/>
      <c r="H417" s="69"/>
      <c r="I417" s="72"/>
      <c r="J417" s="71"/>
      <c r="K417" s="68"/>
      <c r="L417" s="68"/>
      <c r="M417" s="68"/>
      <c r="N417" s="68"/>
      <c r="O417" s="68"/>
      <c r="P417" s="61">
        <f t="shared" si="60"/>
        <v>0</v>
      </c>
      <c r="Q417" s="61">
        <f t="shared" si="61"/>
        <v>0</v>
      </c>
      <c r="R417" s="61">
        <f t="shared" ref="R417:R480" si="62">IF(OR(H417="REJ"),IF(J417="",1,0),0)</f>
        <v>0</v>
      </c>
      <c r="S417" s="61">
        <f t="shared" ref="S417:S480" si="63">IF(E417="CR",1,0)</f>
        <v>0</v>
      </c>
      <c r="T417" s="61">
        <f t="shared" ref="T417:T480" si="64">IF(J417="",0,1)</f>
        <v>0</v>
      </c>
      <c r="U417" s="61">
        <f t="shared" ref="U417:U480" si="65">IF(OR(E417="CR",E417="MA",E417="E"),IF(J417="",1,0),0)</f>
        <v>0</v>
      </c>
      <c r="V417" s="61">
        <f t="shared" ref="V417:V480" si="66">IF(H417="ACC",1,0)</f>
        <v>0</v>
      </c>
      <c r="W417" s="61">
        <f t="shared" ref="W417:W480" si="67">IF(K417="",0,1)</f>
        <v>0</v>
      </c>
      <c r="X417" s="61">
        <f t="shared" ref="X417:X480" si="68">IF(AND(H417="ACC"),IF(K417="",1,0),0)</f>
        <v>0</v>
      </c>
      <c r="Y417" s="61">
        <f t="shared" ref="Y417:Y480" si="69">IF(AND(H417="ACC"),IF(M417="",1,0),0)</f>
        <v>0</v>
      </c>
      <c r="Z417" s="73"/>
      <c r="AA417" s="73"/>
      <c r="AB417" s="73"/>
      <c r="AC417" s="73"/>
      <c r="AD417" s="73"/>
      <c r="AE417" s="73"/>
      <c r="AF417" s="73"/>
      <c r="AG417" s="73"/>
      <c r="AH417" s="73"/>
      <c r="AI417" s="73"/>
      <c r="AJ417" s="73"/>
    </row>
    <row r="418" spans="2:36">
      <c r="B418" s="67"/>
      <c r="C418" s="225"/>
      <c r="D418" s="225"/>
      <c r="E418" s="68"/>
      <c r="F418" s="68"/>
      <c r="G418" s="69"/>
      <c r="H418" s="69"/>
      <c r="I418" s="72"/>
      <c r="J418" s="71"/>
      <c r="K418" s="68"/>
      <c r="L418" s="68"/>
      <c r="M418" s="68"/>
      <c r="N418" s="68"/>
      <c r="O418" s="68"/>
      <c r="P418" s="61">
        <f t="shared" si="60"/>
        <v>0</v>
      </c>
      <c r="Q418" s="61">
        <f t="shared" si="61"/>
        <v>0</v>
      </c>
      <c r="R418" s="61">
        <f t="shared" si="62"/>
        <v>0</v>
      </c>
      <c r="S418" s="61">
        <f t="shared" si="63"/>
        <v>0</v>
      </c>
      <c r="T418" s="61">
        <f t="shared" si="64"/>
        <v>0</v>
      </c>
      <c r="U418" s="61">
        <f t="shared" si="65"/>
        <v>0</v>
      </c>
      <c r="V418" s="61">
        <f t="shared" si="66"/>
        <v>0</v>
      </c>
      <c r="W418" s="61">
        <f t="shared" si="67"/>
        <v>0</v>
      </c>
      <c r="X418" s="61">
        <f t="shared" si="68"/>
        <v>0</v>
      </c>
      <c r="Y418" s="61">
        <f t="shared" si="69"/>
        <v>0</v>
      </c>
      <c r="Z418" s="73"/>
      <c r="AA418" s="73"/>
      <c r="AB418" s="73"/>
      <c r="AC418" s="73"/>
      <c r="AD418" s="73"/>
      <c r="AE418" s="73"/>
      <c r="AF418" s="73"/>
      <c r="AG418" s="73"/>
      <c r="AH418" s="73"/>
      <c r="AI418" s="73"/>
      <c r="AJ418" s="73"/>
    </row>
    <row r="419" spans="2:36">
      <c r="B419" s="67"/>
      <c r="C419" s="225"/>
      <c r="D419" s="225"/>
      <c r="E419" s="68"/>
      <c r="F419" s="68"/>
      <c r="G419" s="69"/>
      <c r="H419" s="69"/>
      <c r="I419" s="72"/>
      <c r="J419" s="71"/>
      <c r="K419" s="68"/>
      <c r="L419" s="68"/>
      <c r="M419" s="68"/>
      <c r="N419" s="68"/>
      <c r="O419" s="68"/>
      <c r="P419" s="61">
        <f t="shared" si="60"/>
        <v>0</v>
      </c>
      <c r="Q419" s="61">
        <f t="shared" si="61"/>
        <v>0</v>
      </c>
      <c r="R419" s="61">
        <f t="shared" si="62"/>
        <v>0</v>
      </c>
      <c r="S419" s="61">
        <f t="shared" si="63"/>
        <v>0</v>
      </c>
      <c r="T419" s="61">
        <f t="shared" si="64"/>
        <v>0</v>
      </c>
      <c r="U419" s="61">
        <f t="shared" si="65"/>
        <v>0</v>
      </c>
      <c r="V419" s="61">
        <f t="shared" si="66"/>
        <v>0</v>
      </c>
      <c r="W419" s="61">
        <f t="shared" si="67"/>
        <v>0</v>
      </c>
      <c r="X419" s="61">
        <f t="shared" si="68"/>
        <v>0</v>
      </c>
      <c r="Y419" s="61">
        <f t="shared" si="69"/>
        <v>0</v>
      </c>
      <c r="Z419" s="73"/>
      <c r="AA419" s="73"/>
      <c r="AB419" s="73"/>
      <c r="AC419" s="73"/>
      <c r="AD419" s="73"/>
      <c r="AE419" s="73"/>
      <c r="AF419" s="73"/>
      <c r="AG419" s="73"/>
      <c r="AH419" s="73"/>
      <c r="AI419" s="73"/>
      <c r="AJ419" s="73"/>
    </row>
    <row r="420" spans="2:36">
      <c r="B420" s="67"/>
      <c r="C420" s="225"/>
      <c r="D420" s="225"/>
      <c r="E420" s="68"/>
      <c r="F420" s="68"/>
      <c r="G420" s="69"/>
      <c r="H420" s="69"/>
      <c r="I420" s="72"/>
      <c r="J420" s="71"/>
      <c r="K420" s="68"/>
      <c r="L420" s="68"/>
      <c r="M420" s="68"/>
      <c r="N420" s="68"/>
      <c r="O420" s="68"/>
      <c r="P420" s="61">
        <f t="shared" si="60"/>
        <v>0</v>
      </c>
      <c r="Q420" s="61">
        <f t="shared" si="61"/>
        <v>0</v>
      </c>
      <c r="R420" s="61">
        <f t="shared" si="62"/>
        <v>0</v>
      </c>
      <c r="S420" s="61">
        <f t="shared" si="63"/>
        <v>0</v>
      </c>
      <c r="T420" s="61">
        <f t="shared" si="64"/>
        <v>0</v>
      </c>
      <c r="U420" s="61">
        <f t="shared" si="65"/>
        <v>0</v>
      </c>
      <c r="V420" s="61">
        <f t="shared" si="66"/>
        <v>0</v>
      </c>
      <c r="W420" s="61">
        <f t="shared" si="67"/>
        <v>0</v>
      </c>
      <c r="X420" s="61">
        <f t="shared" si="68"/>
        <v>0</v>
      </c>
      <c r="Y420" s="61">
        <f t="shared" si="69"/>
        <v>0</v>
      </c>
      <c r="Z420" s="73"/>
      <c r="AA420" s="73"/>
      <c r="AB420" s="73"/>
      <c r="AC420" s="73"/>
      <c r="AD420" s="73"/>
      <c r="AE420" s="73"/>
      <c r="AF420" s="73"/>
      <c r="AG420" s="73"/>
      <c r="AH420" s="73"/>
      <c r="AI420" s="73"/>
      <c r="AJ420" s="73"/>
    </row>
    <row r="421" spans="2:36">
      <c r="B421" s="67"/>
      <c r="C421" s="225"/>
      <c r="D421" s="225"/>
      <c r="E421" s="68"/>
      <c r="F421" s="68"/>
      <c r="G421" s="69"/>
      <c r="H421" s="69"/>
      <c r="I421" s="72"/>
      <c r="J421" s="71"/>
      <c r="K421" s="68"/>
      <c r="L421" s="68"/>
      <c r="M421" s="68"/>
      <c r="N421" s="68"/>
      <c r="O421" s="68"/>
      <c r="P421" s="61">
        <f t="shared" si="60"/>
        <v>0</v>
      </c>
      <c r="Q421" s="61">
        <f t="shared" si="61"/>
        <v>0</v>
      </c>
      <c r="R421" s="61">
        <f t="shared" si="62"/>
        <v>0</v>
      </c>
      <c r="S421" s="61">
        <f t="shared" si="63"/>
        <v>0</v>
      </c>
      <c r="T421" s="61">
        <f t="shared" si="64"/>
        <v>0</v>
      </c>
      <c r="U421" s="61">
        <f t="shared" si="65"/>
        <v>0</v>
      </c>
      <c r="V421" s="61">
        <f t="shared" si="66"/>
        <v>0</v>
      </c>
      <c r="W421" s="61">
        <f t="shared" si="67"/>
        <v>0</v>
      </c>
      <c r="X421" s="61">
        <f t="shared" si="68"/>
        <v>0</v>
      </c>
      <c r="Y421" s="61">
        <f t="shared" si="69"/>
        <v>0</v>
      </c>
      <c r="Z421" s="73"/>
      <c r="AA421" s="73"/>
      <c r="AB421" s="73"/>
      <c r="AC421" s="73"/>
      <c r="AD421" s="73"/>
      <c r="AE421" s="73"/>
      <c r="AF421" s="73"/>
      <c r="AG421" s="73"/>
      <c r="AH421" s="73"/>
      <c r="AI421" s="73"/>
      <c r="AJ421" s="73"/>
    </row>
    <row r="422" spans="2:36">
      <c r="B422" s="67"/>
      <c r="C422" s="225"/>
      <c r="D422" s="225"/>
      <c r="E422" s="68"/>
      <c r="F422" s="68"/>
      <c r="G422" s="69"/>
      <c r="H422" s="69"/>
      <c r="I422" s="72"/>
      <c r="J422" s="71"/>
      <c r="K422" s="68"/>
      <c r="L422" s="68"/>
      <c r="M422" s="68"/>
      <c r="N422" s="68"/>
      <c r="O422" s="68"/>
      <c r="P422" s="61">
        <f t="shared" si="60"/>
        <v>0</v>
      </c>
      <c r="Q422" s="61">
        <f t="shared" si="61"/>
        <v>0</v>
      </c>
      <c r="R422" s="61">
        <f t="shared" si="62"/>
        <v>0</v>
      </c>
      <c r="S422" s="61">
        <f t="shared" si="63"/>
        <v>0</v>
      </c>
      <c r="T422" s="61">
        <f t="shared" si="64"/>
        <v>0</v>
      </c>
      <c r="U422" s="61">
        <f t="shared" si="65"/>
        <v>0</v>
      </c>
      <c r="V422" s="61">
        <f t="shared" si="66"/>
        <v>0</v>
      </c>
      <c r="W422" s="61">
        <f t="shared" si="67"/>
        <v>0</v>
      </c>
      <c r="X422" s="61">
        <f t="shared" si="68"/>
        <v>0</v>
      </c>
      <c r="Y422" s="61">
        <f t="shared" si="69"/>
        <v>0</v>
      </c>
      <c r="Z422" s="73"/>
      <c r="AA422" s="73"/>
      <c r="AB422" s="73"/>
      <c r="AC422" s="73"/>
      <c r="AD422" s="73"/>
      <c r="AE422" s="73"/>
      <c r="AF422" s="73"/>
      <c r="AG422" s="73"/>
      <c r="AH422" s="73"/>
      <c r="AI422" s="73"/>
      <c r="AJ422" s="73"/>
    </row>
    <row r="423" spans="2:36">
      <c r="B423" s="67"/>
      <c r="C423" s="225"/>
      <c r="D423" s="225"/>
      <c r="E423" s="68"/>
      <c r="F423" s="68"/>
      <c r="G423" s="69"/>
      <c r="H423" s="69"/>
      <c r="I423" s="72"/>
      <c r="J423" s="71"/>
      <c r="K423" s="68"/>
      <c r="L423" s="68"/>
      <c r="M423" s="68"/>
      <c r="N423" s="68"/>
      <c r="O423" s="68"/>
      <c r="P423" s="61">
        <f t="shared" si="60"/>
        <v>0</v>
      </c>
      <c r="Q423" s="61">
        <f t="shared" si="61"/>
        <v>0</v>
      </c>
      <c r="R423" s="61">
        <f t="shared" si="62"/>
        <v>0</v>
      </c>
      <c r="S423" s="61">
        <f t="shared" si="63"/>
        <v>0</v>
      </c>
      <c r="T423" s="61">
        <f t="shared" si="64"/>
        <v>0</v>
      </c>
      <c r="U423" s="61">
        <f t="shared" si="65"/>
        <v>0</v>
      </c>
      <c r="V423" s="61">
        <f t="shared" si="66"/>
        <v>0</v>
      </c>
      <c r="W423" s="61">
        <f t="shared" si="67"/>
        <v>0</v>
      </c>
      <c r="X423" s="61">
        <f t="shared" si="68"/>
        <v>0</v>
      </c>
      <c r="Y423" s="61">
        <f t="shared" si="69"/>
        <v>0</v>
      </c>
      <c r="Z423" s="73"/>
      <c r="AA423" s="73"/>
      <c r="AB423" s="73"/>
      <c r="AC423" s="73"/>
      <c r="AD423" s="73"/>
      <c r="AE423" s="73"/>
      <c r="AF423" s="73"/>
      <c r="AG423" s="73"/>
      <c r="AH423" s="73"/>
      <c r="AI423" s="73"/>
      <c r="AJ423" s="73"/>
    </row>
    <row r="424" spans="2:36">
      <c r="B424" s="67"/>
      <c r="C424" s="225"/>
      <c r="D424" s="225"/>
      <c r="E424" s="68"/>
      <c r="F424" s="68"/>
      <c r="G424" s="69"/>
      <c r="H424" s="69"/>
      <c r="I424" s="72"/>
      <c r="J424" s="71"/>
      <c r="K424" s="68"/>
      <c r="L424" s="68"/>
      <c r="M424" s="68"/>
      <c r="N424" s="68"/>
      <c r="O424" s="68"/>
      <c r="P424" s="61">
        <f t="shared" si="60"/>
        <v>0</v>
      </c>
      <c r="Q424" s="61">
        <f t="shared" si="61"/>
        <v>0</v>
      </c>
      <c r="R424" s="61">
        <f t="shared" si="62"/>
        <v>0</v>
      </c>
      <c r="S424" s="61">
        <f t="shared" si="63"/>
        <v>0</v>
      </c>
      <c r="T424" s="61">
        <f t="shared" si="64"/>
        <v>0</v>
      </c>
      <c r="U424" s="61">
        <f t="shared" si="65"/>
        <v>0</v>
      </c>
      <c r="V424" s="61">
        <f t="shared" si="66"/>
        <v>0</v>
      </c>
      <c r="W424" s="61">
        <f t="shared" si="67"/>
        <v>0</v>
      </c>
      <c r="X424" s="61">
        <f t="shared" si="68"/>
        <v>0</v>
      </c>
      <c r="Y424" s="61">
        <f t="shared" si="69"/>
        <v>0</v>
      </c>
      <c r="Z424" s="73"/>
      <c r="AA424" s="73"/>
      <c r="AB424" s="73"/>
      <c r="AC424" s="73"/>
      <c r="AD424" s="73"/>
      <c r="AE424" s="73"/>
      <c r="AF424" s="73"/>
      <c r="AG424" s="73"/>
      <c r="AH424" s="73"/>
      <c r="AI424" s="73"/>
      <c r="AJ424" s="73"/>
    </row>
    <row r="425" spans="2:36">
      <c r="B425" s="67"/>
      <c r="C425" s="225"/>
      <c r="D425" s="225"/>
      <c r="E425" s="68"/>
      <c r="F425" s="68"/>
      <c r="G425" s="69"/>
      <c r="H425" s="69"/>
      <c r="I425" s="72"/>
      <c r="J425" s="71"/>
      <c r="K425" s="68"/>
      <c r="L425" s="68"/>
      <c r="M425" s="68"/>
      <c r="N425" s="68"/>
      <c r="O425" s="68"/>
      <c r="P425" s="61">
        <f t="shared" si="60"/>
        <v>0</v>
      </c>
      <c r="Q425" s="61">
        <f t="shared" si="61"/>
        <v>0</v>
      </c>
      <c r="R425" s="61">
        <f t="shared" si="62"/>
        <v>0</v>
      </c>
      <c r="S425" s="61">
        <f t="shared" si="63"/>
        <v>0</v>
      </c>
      <c r="T425" s="61">
        <f t="shared" si="64"/>
        <v>0</v>
      </c>
      <c r="U425" s="61">
        <f t="shared" si="65"/>
        <v>0</v>
      </c>
      <c r="V425" s="61">
        <f t="shared" si="66"/>
        <v>0</v>
      </c>
      <c r="W425" s="61">
        <f t="shared" si="67"/>
        <v>0</v>
      </c>
      <c r="X425" s="61">
        <f t="shared" si="68"/>
        <v>0</v>
      </c>
      <c r="Y425" s="61">
        <f t="shared" si="69"/>
        <v>0</v>
      </c>
      <c r="Z425" s="73"/>
      <c r="AA425" s="73"/>
      <c r="AB425" s="73"/>
      <c r="AC425" s="73"/>
      <c r="AD425" s="73"/>
      <c r="AE425" s="73"/>
      <c r="AF425" s="73"/>
      <c r="AG425" s="73"/>
      <c r="AH425" s="73"/>
      <c r="AI425" s="73"/>
      <c r="AJ425" s="73"/>
    </row>
    <row r="426" spans="2:36">
      <c r="B426" s="67"/>
      <c r="C426" s="225"/>
      <c r="D426" s="225"/>
      <c r="E426" s="68"/>
      <c r="F426" s="68"/>
      <c r="G426" s="69"/>
      <c r="H426" s="69"/>
      <c r="I426" s="72"/>
      <c r="J426" s="71"/>
      <c r="K426" s="68"/>
      <c r="L426" s="68"/>
      <c r="M426" s="68"/>
      <c r="N426" s="68"/>
      <c r="O426" s="68"/>
      <c r="P426" s="61">
        <f t="shared" si="60"/>
        <v>0</v>
      </c>
      <c r="Q426" s="61">
        <f t="shared" si="61"/>
        <v>0</v>
      </c>
      <c r="R426" s="61">
        <f t="shared" si="62"/>
        <v>0</v>
      </c>
      <c r="S426" s="61">
        <f t="shared" si="63"/>
        <v>0</v>
      </c>
      <c r="T426" s="61">
        <f t="shared" si="64"/>
        <v>0</v>
      </c>
      <c r="U426" s="61">
        <f t="shared" si="65"/>
        <v>0</v>
      </c>
      <c r="V426" s="61">
        <f t="shared" si="66"/>
        <v>0</v>
      </c>
      <c r="W426" s="61">
        <f t="shared" si="67"/>
        <v>0</v>
      </c>
      <c r="X426" s="61">
        <f t="shared" si="68"/>
        <v>0</v>
      </c>
      <c r="Y426" s="61">
        <f t="shared" si="69"/>
        <v>0</v>
      </c>
      <c r="Z426" s="73"/>
      <c r="AA426" s="73"/>
      <c r="AB426" s="73"/>
      <c r="AC426" s="73"/>
      <c r="AD426" s="73"/>
      <c r="AE426" s="73"/>
      <c r="AF426" s="73"/>
      <c r="AG426" s="73"/>
      <c r="AH426" s="73"/>
      <c r="AI426" s="73"/>
      <c r="AJ426" s="73"/>
    </row>
    <row r="427" spans="2:36">
      <c r="B427" s="67"/>
      <c r="C427" s="225"/>
      <c r="D427" s="225"/>
      <c r="E427" s="68"/>
      <c r="F427" s="68"/>
      <c r="G427" s="69"/>
      <c r="H427" s="69"/>
      <c r="I427" s="72"/>
      <c r="J427" s="71"/>
      <c r="K427" s="68"/>
      <c r="L427" s="68"/>
      <c r="M427" s="68"/>
      <c r="N427" s="68"/>
      <c r="O427" s="68"/>
      <c r="P427" s="61">
        <f t="shared" si="60"/>
        <v>0</v>
      </c>
      <c r="Q427" s="61">
        <f t="shared" si="61"/>
        <v>0</v>
      </c>
      <c r="R427" s="61">
        <f t="shared" si="62"/>
        <v>0</v>
      </c>
      <c r="S427" s="61">
        <f t="shared" si="63"/>
        <v>0</v>
      </c>
      <c r="T427" s="61">
        <f t="shared" si="64"/>
        <v>0</v>
      </c>
      <c r="U427" s="61">
        <f t="shared" si="65"/>
        <v>0</v>
      </c>
      <c r="V427" s="61">
        <f t="shared" si="66"/>
        <v>0</v>
      </c>
      <c r="W427" s="61">
        <f t="shared" si="67"/>
        <v>0</v>
      </c>
      <c r="X427" s="61">
        <f t="shared" si="68"/>
        <v>0</v>
      </c>
      <c r="Y427" s="61">
        <f t="shared" si="69"/>
        <v>0</v>
      </c>
      <c r="Z427" s="73"/>
      <c r="AA427" s="73"/>
      <c r="AB427" s="73"/>
      <c r="AC427" s="73"/>
      <c r="AD427" s="73"/>
      <c r="AE427" s="73"/>
      <c r="AF427" s="73"/>
      <c r="AG427" s="73"/>
      <c r="AH427" s="73"/>
      <c r="AI427" s="73"/>
      <c r="AJ427" s="73"/>
    </row>
    <row r="428" spans="2:36">
      <c r="B428" s="67"/>
      <c r="C428" s="225"/>
      <c r="D428" s="225"/>
      <c r="E428" s="68"/>
      <c r="F428" s="68"/>
      <c r="G428" s="69"/>
      <c r="H428" s="69"/>
      <c r="I428" s="72"/>
      <c r="J428" s="71"/>
      <c r="K428" s="68"/>
      <c r="L428" s="68"/>
      <c r="M428" s="68"/>
      <c r="N428" s="68"/>
      <c r="O428" s="68"/>
      <c r="P428" s="61">
        <f t="shared" si="60"/>
        <v>0</v>
      </c>
      <c r="Q428" s="61">
        <f t="shared" si="61"/>
        <v>0</v>
      </c>
      <c r="R428" s="61">
        <f t="shared" si="62"/>
        <v>0</v>
      </c>
      <c r="S428" s="61">
        <f t="shared" si="63"/>
        <v>0</v>
      </c>
      <c r="T428" s="61">
        <f t="shared" si="64"/>
        <v>0</v>
      </c>
      <c r="U428" s="61">
        <f t="shared" si="65"/>
        <v>0</v>
      </c>
      <c r="V428" s="61">
        <f t="shared" si="66"/>
        <v>0</v>
      </c>
      <c r="W428" s="61">
        <f t="shared" si="67"/>
        <v>0</v>
      </c>
      <c r="X428" s="61">
        <f t="shared" si="68"/>
        <v>0</v>
      </c>
      <c r="Y428" s="61">
        <f t="shared" si="69"/>
        <v>0</v>
      </c>
      <c r="Z428" s="73"/>
      <c r="AA428" s="73"/>
      <c r="AB428" s="73"/>
      <c r="AC428" s="73"/>
      <c r="AD428" s="73"/>
      <c r="AE428" s="73"/>
      <c r="AF428" s="73"/>
      <c r="AG428" s="73"/>
      <c r="AH428" s="73"/>
      <c r="AI428" s="73"/>
      <c r="AJ428" s="73"/>
    </row>
    <row r="429" spans="2:36">
      <c r="B429" s="67"/>
      <c r="C429" s="225"/>
      <c r="D429" s="225"/>
      <c r="E429" s="68"/>
      <c r="F429" s="68"/>
      <c r="G429" s="69"/>
      <c r="H429" s="69"/>
      <c r="I429" s="72"/>
      <c r="J429" s="71"/>
      <c r="K429" s="68"/>
      <c r="L429" s="68"/>
      <c r="M429" s="68"/>
      <c r="N429" s="68"/>
      <c r="O429" s="68"/>
      <c r="P429" s="61">
        <f t="shared" si="60"/>
        <v>0</v>
      </c>
      <c r="Q429" s="61">
        <f t="shared" si="61"/>
        <v>0</v>
      </c>
      <c r="R429" s="61">
        <f t="shared" si="62"/>
        <v>0</v>
      </c>
      <c r="S429" s="61">
        <f t="shared" si="63"/>
        <v>0</v>
      </c>
      <c r="T429" s="61">
        <f t="shared" si="64"/>
        <v>0</v>
      </c>
      <c r="U429" s="61">
        <f t="shared" si="65"/>
        <v>0</v>
      </c>
      <c r="V429" s="61">
        <f t="shared" si="66"/>
        <v>0</v>
      </c>
      <c r="W429" s="61">
        <f t="shared" si="67"/>
        <v>0</v>
      </c>
      <c r="X429" s="61">
        <f t="shared" si="68"/>
        <v>0</v>
      </c>
      <c r="Y429" s="61">
        <f t="shared" si="69"/>
        <v>0</v>
      </c>
      <c r="Z429" s="73"/>
      <c r="AA429" s="73"/>
      <c r="AB429" s="73"/>
      <c r="AC429" s="73"/>
      <c r="AD429" s="73"/>
      <c r="AE429" s="73"/>
      <c r="AF429" s="73"/>
      <c r="AG429" s="73"/>
      <c r="AH429" s="73"/>
      <c r="AI429" s="73"/>
      <c r="AJ429" s="73"/>
    </row>
    <row r="430" spans="2:36">
      <c r="B430" s="67"/>
      <c r="C430" s="225"/>
      <c r="D430" s="225"/>
      <c r="E430" s="68"/>
      <c r="F430" s="68"/>
      <c r="G430" s="69"/>
      <c r="H430" s="69"/>
      <c r="I430" s="72"/>
      <c r="J430" s="71"/>
      <c r="K430" s="68"/>
      <c r="L430" s="68"/>
      <c r="M430" s="68"/>
      <c r="N430" s="68"/>
      <c r="O430" s="68"/>
      <c r="P430" s="61">
        <f t="shared" si="60"/>
        <v>0</v>
      </c>
      <c r="Q430" s="61">
        <f t="shared" si="61"/>
        <v>0</v>
      </c>
      <c r="R430" s="61">
        <f t="shared" si="62"/>
        <v>0</v>
      </c>
      <c r="S430" s="61">
        <f t="shared" si="63"/>
        <v>0</v>
      </c>
      <c r="T430" s="61">
        <f t="shared" si="64"/>
        <v>0</v>
      </c>
      <c r="U430" s="61">
        <f t="shared" si="65"/>
        <v>0</v>
      </c>
      <c r="V430" s="61">
        <f t="shared" si="66"/>
        <v>0</v>
      </c>
      <c r="W430" s="61">
        <f t="shared" si="67"/>
        <v>0</v>
      </c>
      <c r="X430" s="61">
        <f t="shared" si="68"/>
        <v>0</v>
      </c>
      <c r="Y430" s="61">
        <f t="shared" si="69"/>
        <v>0</v>
      </c>
      <c r="Z430" s="73"/>
      <c r="AA430" s="73"/>
      <c r="AB430" s="73"/>
      <c r="AC430" s="73"/>
      <c r="AD430" s="73"/>
      <c r="AE430" s="73"/>
      <c r="AF430" s="73"/>
      <c r="AG430" s="73"/>
      <c r="AH430" s="73"/>
      <c r="AI430" s="73"/>
      <c r="AJ430" s="73"/>
    </row>
    <row r="431" spans="2:36">
      <c r="B431" s="67"/>
      <c r="C431" s="225"/>
      <c r="D431" s="225"/>
      <c r="E431" s="68"/>
      <c r="F431" s="68"/>
      <c r="G431" s="69"/>
      <c r="H431" s="69"/>
      <c r="I431" s="72"/>
      <c r="J431" s="71"/>
      <c r="K431" s="68"/>
      <c r="L431" s="68"/>
      <c r="M431" s="68"/>
      <c r="N431" s="68"/>
      <c r="O431" s="68"/>
      <c r="P431" s="61">
        <f t="shared" si="60"/>
        <v>0</v>
      </c>
      <c r="Q431" s="61">
        <f t="shared" si="61"/>
        <v>0</v>
      </c>
      <c r="R431" s="61">
        <f t="shared" si="62"/>
        <v>0</v>
      </c>
      <c r="S431" s="61">
        <f t="shared" si="63"/>
        <v>0</v>
      </c>
      <c r="T431" s="61">
        <f t="shared" si="64"/>
        <v>0</v>
      </c>
      <c r="U431" s="61">
        <f t="shared" si="65"/>
        <v>0</v>
      </c>
      <c r="V431" s="61">
        <f t="shared" si="66"/>
        <v>0</v>
      </c>
      <c r="W431" s="61">
        <f t="shared" si="67"/>
        <v>0</v>
      </c>
      <c r="X431" s="61">
        <f t="shared" si="68"/>
        <v>0</v>
      </c>
      <c r="Y431" s="61">
        <f t="shared" si="69"/>
        <v>0</v>
      </c>
      <c r="Z431" s="73"/>
      <c r="AA431" s="73"/>
      <c r="AB431" s="73"/>
      <c r="AC431" s="73"/>
      <c r="AD431" s="73"/>
      <c r="AE431" s="73"/>
      <c r="AF431" s="73"/>
      <c r="AG431" s="73"/>
      <c r="AH431" s="73"/>
      <c r="AI431" s="73"/>
      <c r="AJ431" s="73"/>
    </row>
    <row r="432" spans="2:36">
      <c r="B432" s="67"/>
      <c r="C432" s="225"/>
      <c r="D432" s="225"/>
      <c r="E432" s="68"/>
      <c r="F432" s="68"/>
      <c r="G432" s="69"/>
      <c r="H432" s="69"/>
      <c r="I432" s="72"/>
      <c r="J432" s="71"/>
      <c r="K432" s="68"/>
      <c r="L432" s="68"/>
      <c r="M432" s="68"/>
      <c r="N432" s="68"/>
      <c r="O432" s="68"/>
      <c r="P432" s="61">
        <f t="shared" si="60"/>
        <v>0</v>
      </c>
      <c r="Q432" s="61">
        <f t="shared" si="61"/>
        <v>0</v>
      </c>
      <c r="R432" s="61">
        <f t="shared" si="62"/>
        <v>0</v>
      </c>
      <c r="S432" s="61">
        <f t="shared" si="63"/>
        <v>0</v>
      </c>
      <c r="T432" s="61">
        <f t="shared" si="64"/>
        <v>0</v>
      </c>
      <c r="U432" s="61">
        <f t="shared" si="65"/>
        <v>0</v>
      </c>
      <c r="V432" s="61">
        <f t="shared" si="66"/>
        <v>0</v>
      </c>
      <c r="W432" s="61">
        <f t="shared" si="67"/>
        <v>0</v>
      </c>
      <c r="X432" s="61">
        <f t="shared" si="68"/>
        <v>0</v>
      </c>
      <c r="Y432" s="61">
        <f t="shared" si="69"/>
        <v>0</v>
      </c>
      <c r="Z432" s="73"/>
      <c r="AA432" s="73"/>
      <c r="AB432" s="73"/>
      <c r="AC432" s="73"/>
      <c r="AD432" s="73"/>
      <c r="AE432" s="73"/>
      <c r="AF432" s="73"/>
      <c r="AG432" s="73"/>
      <c r="AH432" s="73"/>
      <c r="AI432" s="73"/>
      <c r="AJ432" s="73"/>
    </row>
    <row r="433" spans="2:36">
      <c r="B433" s="67"/>
      <c r="C433" s="225"/>
      <c r="D433" s="225"/>
      <c r="E433" s="68"/>
      <c r="F433" s="68"/>
      <c r="G433" s="69"/>
      <c r="H433" s="69"/>
      <c r="I433" s="72"/>
      <c r="J433" s="71"/>
      <c r="K433" s="68"/>
      <c r="L433" s="68"/>
      <c r="M433" s="68"/>
      <c r="N433" s="68"/>
      <c r="O433" s="68"/>
      <c r="P433" s="61">
        <f t="shared" si="60"/>
        <v>0</v>
      </c>
      <c r="Q433" s="61">
        <f t="shared" si="61"/>
        <v>0</v>
      </c>
      <c r="R433" s="61">
        <f t="shared" si="62"/>
        <v>0</v>
      </c>
      <c r="S433" s="61">
        <f t="shared" si="63"/>
        <v>0</v>
      </c>
      <c r="T433" s="61">
        <f t="shared" si="64"/>
        <v>0</v>
      </c>
      <c r="U433" s="61">
        <f t="shared" si="65"/>
        <v>0</v>
      </c>
      <c r="V433" s="61">
        <f t="shared" si="66"/>
        <v>0</v>
      </c>
      <c r="W433" s="61">
        <f t="shared" si="67"/>
        <v>0</v>
      </c>
      <c r="X433" s="61">
        <f t="shared" si="68"/>
        <v>0</v>
      </c>
      <c r="Y433" s="61">
        <f t="shared" si="69"/>
        <v>0</v>
      </c>
      <c r="Z433" s="73"/>
      <c r="AA433" s="73"/>
      <c r="AB433" s="73"/>
      <c r="AC433" s="73"/>
      <c r="AD433" s="73"/>
      <c r="AE433" s="73"/>
      <c r="AF433" s="73"/>
      <c r="AG433" s="73"/>
      <c r="AH433" s="73"/>
      <c r="AI433" s="73"/>
      <c r="AJ433" s="73"/>
    </row>
    <row r="434" spans="2:36">
      <c r="B434" s="67"/>
      <c r="C434" s="225"/>
      <c r="D434" s="225"/>
      <c r="E434" s="68"/>
      <c r="F434" s="68"/>
      <c r="G434" s="69"/>
      <c r="H434" s="69"/>
      <c r="I434" s="72"/>
      <c r="J434" s="71"/>
      <c r="K434" s="68"/>
      <c r="L434" s="68"/>
      <c r="M434" s="68"/>
      <c r="N434" s="68"/>
      <c r="O434" s="68"/>
      <c r="P434" s="61">
        <f t="shared" si="60"/>
        <v>0</v>
      </c>
      <c r="Q434" s="61">
        <f t="shared" si="61"/>
        <v>0</v>
      </c>
      <c r="R434" s="61">
        <f t="shared" si="62"/>
        <v>0</v>
      </c>
      <c r="S434" s="61">
        <f t="shared" si="63"/>
        <v>0</v>
      </c>
      <c r="T434" s="61">
        <f t="shared" si="64"/>
        <v>0</v>
      </c>
      <c r="U434" s="61">
        <f t="shared" si="65"/>
        <v>0</v>
      </c>
      <c r="V434" s="61">
        <f t="shared" si="66"/>
        <v>0</v>
      </c>
      <c r="W434" s="61">
        <f t="shared" si="67"/>
        <v>0</v>
      </c>
      <c r="X434" s="61">
        <f t="shared" si="68"/>
        <v>0</v>
      </c>
      <c r="Y434" s="61">
        <f t="shared" si="69"/>
        <v>0</v>
      </c>
      <c r="Z434" s="73"/>
      <c r="AA434" s="73"/>
      <c r="AB434" s="73"/>
      <c r="AC434" s="73"/>
      <c r="AD434" s="73"/>
      <c r="AE434" s="73"/>
      <c r="AF434" s="73"/>
      <c r="AG434" s="73"/>
      <c r="AH434" s="73"/>
      <c r="AI434" s="73"/>
      <c r="AJ434" s="73"/>
    </row>
    <row r="435" spans="2:36">
      <c r="B435" s="67"/>
      <c r="C435" s="225"/>
      <c r="D435" s="225"/>
      <c r="E435" s="68"/>
      <c r="F435" s="68"/>
      <c r="G435" s="69"/>
      <c r="H435" s="69"/>
      <c r="I435" s="72"/>
      <c r="J435" s="71"/>
      <c r="K435" s="68"/>
      <c r="L435" s="68"/>
      <c r="M435" s="68"/>
      <c r="N435" s="68"/>
      <c r="O435" s="68"/>
      <c r="P435" s="61">
        <f t="shared" si="60"/>
        <v>0</v>
      </c>
      <c r="Q435" s="61">
        <f t="shared" si="61"/>
        <v>0</v>
      </c>
      <c r="R435" s="61">
        <f t="shared" si="62"/>
        <v>0</v>
      </c>
      <c r="S435" s="61">
        <f t="shared" si="63"/>
        <v>0</v>
      </c>
      <c r="T435" s="61">
        <f t="shared" si="64"/>
        <v>0</v>
      </c>
      <c r="U435" s="61">
        <f t="shared" si="65"/>
        <v>0</v>
      </c>
      <c r="V435" s="61">
        <f t="shared" si="66"/>
        <v>0</v>
      </c>
      <c r="W435" s="61">
        <f t="shared" si="67"/>
        <v>0</v>
      </c>
      <c r="X435" s="61">
        <f t="shared" si="68"/>
        <v>0</v>
      </c>
      <c r="Y435" s="61">
        <f t="shared" si="69"/>
        <v>0</v>
      </c>
      <c r="Z435" s="73"/>
      <c r="AA435" s="73"/>
      <c r="AB435" s="73"/>
      <c r="AC435" s="73"/>
      <c r="AD435" s="73"/>
      <c r="AE435" s="73"/>
      <c r="AF435" s="73"/>
      <c r="AG435" s="73"/>
      <c r="AH435" s="73"/>
      <c r="AI435" s="73"/>
      <c r="AJ435" s="73"/>
    </row>
    <row r="436" spans="2:36">
      <c r="B436" s="67"/>
      <c r="C436" s="225"/>
      <c r="D436" s="225"/>
      <c r="E436" s="68"/>
      <c r="F436" s="68"/>
      <c r="G436" s="69"/>
      <c r="H436" s="69"/>
      <c r="I436" s="72"/>
      <c r="J436" s="71"/>
      <c r="K436" s="68"/>
      <c r="L436" s="68"/>
      <c r="M436" s="68"/>
      <c r="N436" s="68"/>
      <c r="O436" s="68"/>
      <c r="P436" s="61">
        <f t="shared" si="60"/>
        <v>0</v>
      </c>
      <c r="Q436" s="61">
        <f t="shared" si="61"/>
        <v>0</v>
      </c>
      <c r="R436" s="61">
        <f t="shared" si="62"/>
        <v>0</v>
      </c>
      <c r="S436" s="61">
        <f t="shared" si="63"/>
        <v>0</v>
      </c>
      <c r="T436" s="61">
        <f t="shared" si="64"/>
        <v>0</v>
      </c>
      <c r="U436" s="61">
        <f t="shared" si="65"/>
        <v>0</v>
      </c>
      <c r="V436" s="61">
        <f t="shared" si="66"/>
        <v>0</v>
      </c>
      <c r="W436" s="61">
        <f t="shared" si="67"/>
        <v>0</v>
      </c>
      <c r="X436" s="61">
        <f t="shared" si="68"/>
        <v>0</v>
      </c>
      <c r="Y436" s="61">
        <f t="shared" si="69"/>
        <v>0</v>
      </c>
      <c r="Z436" s="73"/>
      <c r="AA436" s="73"/>
      <c r="AB436" s="73"/>
      <c r="AC436" s="73"/>
      <c r="AD436" s="73"/>
      <c r="AE436" s="73"/>
      <c r="AF436" s="73"/>
      <c r="AG436" s="73"/>
      <c r="AH436" s="73"/>
      <c r="AI436" s="73"/>
      <c r="AJ436" s="73"/>
    </row>
    <row r="437" spans="2:36">
      <c r="B437" s="67"/>
      <c r="C437" s="225"/>
      <c r="D437" s="225"/>
      <c r="E437" s="68"/>
      <c r="F437" s="68"/>
      <c r="G437" s="69"/>
      <c r="H437" s="69"/>
      <c r="I437" s="72"/>
      <c r="J437" s="71"/>
      <c r="K437" s="68"/>
      <c r="L437" s="68"/>
      <c r="M437" s="68"/>
      <c r="N437" s="68"/>
      <c r="O437" s="68"/>
      <c r="P437" s="61">
        <f t="shared" si="60"/>
        <v>0</v>
      </c>
      <c r="Q437" s="61">
        <f t="shared" si="61"/>
        <v>0</v>
      </c>
      <c r="R437" s="61">
        <f t="shared" si="62"/>
        <v>0</v>
      </c>
      <c r="S437" s="61">
        <f t="shared" si="63"/>
        <v>0</v>
      </c>
      <c r="T437" s="61">
        <f t="shared" si="64"/>
        <v>0</v>
      </c>
      <c r="U437" s="61">
        <f t="shared" si="65"/>
        <v>0</v>
      </c>
      <c r="V437" s="61">
        <f t="shared" si="66"/>
        <v>0</v>
      </c>
      <c r="W437" s="61">
        <f t="shared" si="67"/>
        <v>0</v>
      </c>
      <c r="X437" s="61">
        <f t="shared" si="68"/>
        <v>0</v>
      </c>
      <c r="Y437" s="61">
        <f t="shared" si="69"/>
        <v>0</v>
      </c>
      <c r="Z437" s="73"/>
      <c r="AA437" s="73"/>
      <c r="AB437" s="73"/>
      <c r="AC437" s="73"/>
      <c r="AD437" s="73"/>
      <c r="AE437" s="73"/>
      <c r="AF437" s="73"/>
      <c r="AG437" s="73"/>
      <c r="AH437" s="73"/>
      <c r="AI437" s="73"/>
      <c r="AJ437" s="73"/>
    </row>
    <row r="438" spans="2:36">
      <c r="B438" s="67"/>
      <c r="C438" s="225"/>
      <c r="D438" s="225"/>
      <c r="E438" s="68"/>
      <c r="F438" s="68"/>
      <c r="G438" s="69"/>
      <c r="H438" s="69"/>
      <c r="I438" s="72"/>
      <c r="J438" s="71"/>
      <c r="K438" s="68"/>
      <c r="L438" s="68"/>
      <c r="M438" s="68"/>
      <c r="N438" s="68"/>
      <c r="O438" s="68"/>
      <c r="P438" s="61">
        <f t="shared" si="60"/>
        <v>0</v>
      </c>
      <c r="Q438" s="61">
        <f t="shared" si="61"/>
        <v>0</v>
      </c>
      <c r="R438" s="61">
        <f t="shared" si="62"/>
        <v>0</v>
      </c>
      <c r="S438" s="61">
        <f t="shared" si="63"/>
        <v>0</v>
      </c>
      <c r="T438" s="61">
        <f t="shared" si="64"/>
        <v>0</v>
      </c>
      <c r="U438" s="61">
        <f t="shared" si="65"/>
        <v>0</v>
      </c>
      <c r="V438" s="61">
        <f t="shared" si="66"/>
        <v>0</v>
      </c>
      <c r="W438" s="61">
        <f t="shared" si="67"/>
        <v>0</v>
      </c>
      <c r="X438" s="61">
        <f t="shared" si="68"/>
        <v>0</v>
      </c>
      <c r="Y438" s="61">
        <f t="shared" si="69"/>
        <v>0</v>
      </c>
      <c r="Z438" s="73"/>
      <c r="AA438" s="73"/>
      <c r="AB438" s="73"/>
      <c r="AC438" s="73"/>
      <c r="AD438" s="73"/>
      <c r="AE438" s="73"/>
      <c r="AF438" s="73"/>
      <c r="AG438" s="73"/>
      <c r="AH438" s="73"/>
      <c r="AI438" s="73"/>
      <c r="AJ438" s="73"/>
    </row>
    <row r="439" spans="2:36">
      <c r="B439" s="67"/>
      <c r="C439" s="225"/>
      <c r="D439" s="225"/>
      <c r="E439" s="68"/>
      <c r="F439" s="68"/>
      <c r="G439" s="69"/>
      <c r="H439" s="69"/>
      <c r="I439" s="72"/>
      <c r="J439" s="71"/>
      <c r="K439" s="68"/>
      <c r="L439" s="68"/>
      <c r="M439" s="68"/>
      <c r="N439" s="68"/>
      <c r="O439" s="68"/>
      <c r="P439" s="61">
        <f t="shared" si="60"/>
        <v>0</v>
      </c>
      <c r="Q439" s="61">
        <f t="shared" si="61"/>
        <v>0</v>
      </c>
      <c r="R439" s="61">
        <f t="shared" si="62"/>
        <v>0</v>
      </c>
      <c r="S439" s="61">
        <f t="shared" si="63"/>
        <v>0</v>
      </c>
      <c r="T439" s="61">
        <f t="shared" si="64"/>
        <v>0</v>
      </c>
      <c r="U439" s="61">
        <f t="shared" si="65"/>
        <v>0</v>
      </c>
      <c r="V439" s="61">
        <f t="shared" si="66"/>
        <v>0</v>
      </c>
      <c r="W439" s="61">
        <f t="shared" si="67"/>
        <v>0</v>
      </c>
      <c r="X439" s="61">
        <f t="shared" si="68"/>
        <v>0</v>
      </c>
      <c r="Y439" s="61">
        <f t="shared" si="69"/>
        <v>0</v>
      </c>
      <c r="Z439" s="73"/>
      <c r="AA439" s="73"/>
      <c r="AB439" s="73"/>
      <c r="AC439" s="73"/>
      <c r="AD439" s="73"/>
      <c r="AE439" s="73"/>
      <c r="AF439" s="73"/>
      <c r="AG439" s="73"/>
      <c r="AH439" s="73"/>
      <c r="AI439" s="73"/>
      <c r="AJ439" s="73"/>
    </row>
    <row r="440" spans="2:36">
      <c r="B440" s="67"/>
      <c r="C440" s="225"/>
      <c r="D440" s="225"/>
      <c r="E440" s="68"/>
      <c r="F440" s="68"/>
      <c r="G440" s="69"/>
      <c r="H440" s="69"/>
      <c r="I440" s="72"/>
      <c r="J440" s="71"/>
      <c r="K440" s="68"/>
      <c r="L440" s="68"/>
      <c r="M440" s="68"/>
      <c r="N440" s="68"/>
      <c r="O440" s="68"/>
      <c r="P440" s="61">
        <f t="shared" si="60"/>
        <v>0</v>
      </c>
      <c r="Q440" s="61">
        <f t="shared" si="61"/>
        <v>0</v>
      </c>
      <c r="R440" s="61">
        <f t="shared" si="62"/>
        <v>0</v>
      </c>
      <c r="S440" s="61">
        <f t="shared" si="63"/>
        <v>0</v>
      </c>
      <c r="T440" s="61">
        <f t="shared" si="64"/>
        <v>0</v>
      </c>
      <c r="U440" s="61">
        <f t="shared" si="65"/>
        <v>0</v>
      </c>
      <c r="V440" s="61">
        <f t="shared" si="66"/>
        <v>0</v>
      </c>
      <c r="W440" s="61">
        <f t="shared" si="67"/>
        <v>0</v>
      </c>
      <c r="X440" s="61">
        <f t="shared" si="68"/>
        <v>0</v>
      </c>
      <c r="Y440" s="61">
        <f t="shared" si="69"/>
        <v>0</v>
      </c>
      <c r="Z440" s="73"/>
      <c r="AA440" s="73"/>
      <c r="AB440" s="73"/>
      <c r="AC440" s="73"/>
      <c r="AD440" s="73"/>
      <c r="AE440" s="73"/>
      <c r="AF440" s="73"/>
      <c r="AG440" s="73"/>
      <c r="AH440" s="73"/>
      <c r="AI440" s="73"/>
      <c r="AJ440" s="73"/>
    </row>
    <row r="441" spans="2:36">
      <c r="B441" s="67"/>
      <c r="C441" s="225"/>
      <c r="D441" s="225"/>
      <c r="E441" s="68"/>
      <c r="F441" s="68"/>
      <c r="G441" s="69"/>
      <c r="H441" s="69"/>
      <c r="I441" s="72"/>
      <c r="J441" s="71"/>
      <c r="K441" s="68"/>
      <c r="L441" s="68"/>
      <c r="M441" s="68"/>
      <c r="N441" s="68"/>
      <c r="O441" s="68"/>
      <c r="P441" s="61">
        <f t="shared" si="60"/>
        <v>0</v>
      </c>
      <c r="Q441" s="61">
        <f t="shared" si="61"/>
        <v>0</v>
      </c>
      <c r="R441" s="61">
        <f t="shared" si="62"/>
        <v>0</v>
      </c>
      <c r="S441" s="61">
        <f t="shared" si="63"/>
        <v>0</v>
      </c>
      <c r="T441" s="61">
        <f t="shared" si="64"/>
        <v>0</v>
      </c>
      <c r="U441" s="61">
        <f t="shared" si="65"/>
        <v>0</v>
      </c>
      <c r="V441" s="61">
        <f t="shared" si="66"/>
        <v>0</v>
      </c>
      <c r="W441" s="61">
        <f t="shared" si="67"/>
        <v>0</v>
      </c>
      <c r="X441" s="61">
        <f t="shared" si="68"/>
        <v>0</v>
      </c>
      <c r="Y441" s="61">
        <f t="shared" si="69"/>
        <v>0</v>
      </c>
      <c r="Z441" s="73"/>
      <c r="AA441" s="73"/>
      <c r="AB441" s="73"/>
      <c r="AC441" s="73"/>
      <c r="AD441" s="73"/>
      <c r="AE441" s="73"/>
      <c r="AF441" s="73"/>
      <c r="AG441" s="73"/>
      <c r="AH441" s="73"/>
      <c r="AI441" s="73"/>
      <c r="AJ441" s="73"/>
    </row>
    <row r="442" spans="2:36">
      <c r="B442" s="67"/>
      <c r="C442" s="225"/>
      <c r="D442" s="225"/>
      <c r="E442" s="68"/>
      <c r="F442" s="68"/>
      <c r="G442" s="69"/>
      <c r="H442" s="69"/>
      <c r="I442" s="72"/>
      <c r="J442" s="71"/>
      <c r="K442" s="68"/>
      <c r="L442" s="68"/>
      <c r="M442" s="68"/>
      <c r="N442" s="68"/>
      <c r="O442" s="68"/>
      <c r="P442" s="61">
        <f t="shared" si="60"/>
        <v>0</v>
      </c>
      <c r="Q442" s="61">
        <f t="shared" si="61"/>
        <v>0</v>
      </c>
      <c r="R442" s="61">
        <f t="shared" si="62"/>
        <v>0</v>
      </c>
      <c r="S442" s="61">
        <f t="shared" si="63"/>
        <v>0</v>
      </c>
      <c r="T442" s="61">
        <f t="shared" si="64"/>
        <v>0</v>
      </c>
      <c r="U442" s="61">
        <f t="shared" si="65"/>
        <v>0</v>
      </c>
      <c r="V442" s="61">
        <f t="shared" si="66"/>
        <v>0</v>
      </c>
      <c r="W442" s="61">
        <f t="shared" si="67"/>
        <v>0</v>
      </c>
      <c r="X442" s="61">
        <f t="shared" si="68"/>
        <v>0</v>
      </c>
      <c r="Y442" s="61">
        <f t="shared" si="69"/>
        <v>0</v>
      </c>
      <c r="Z442" s="73"/>
      <c r="AA442" s="73"/>
      <c r="AB442" s="73"/>
      <c r="AC442" s="73"/>
      <c r="AD442" s="73"/>
      <c r="AE442" s="73"/>
      <c r="AF442" s="73"/>
      <c r="AG442" s="73"/>
      <c r="AH442" s="73"/>
      <c r="AI442" s="73"/>
      <c r="AJ442" s="73"/>
    </row>
    <row r="443" spans="2:36">
      <c r="B443" s="67"/>
      <c r="C443" s="225"/>
      <c r="D443" s="225"/>
      <c r="E443" s="68"/>
      <c r="F443" s="68"/>
      <c r="G443" s="69"/>
      <c r="H443" s="69"/>
      <c r="I443" s="72"/>
      <c r="J443" s="71"/>
      <c r="K443" s="68"/>
      <c r="L443" s="68"/>
      <c r="M443" s="68"/>
      <c r="N443" s="68"/>
      <c r="O443" s="68"/>
      <c r="P443" s="61">
        <f t="shared" si="60"/>
        <v>0</v>
      </c>
      <c r="Q443" s="61">
        <f t="shared" si="61"/>
        <v>0</v>
      </c>
      <c r="R443" s="61">
        <f t="shared" si="62"/>
        <v>0</v>
      </c>
      <c r="S443" s="61">
        <f t="shared" si="63"/>
        <v>0</v>
      </c>
      <c r="T443" s="61">
        <f t="shared" si="64"/>
        <v>0</v>
      </c>
      <c r="U443" s="61">
        <f t="shared" si="65"/>
        <v>0</v>
      </c>
      <c r="V443" s="61">
        <f t="shared" si="66"/>
        <v>0</v>
      </c>
      <c r="W443" s="61">
        <f t="shared" si="67"/>
        <v>0</v>
      </c>
      <c r="X443" s="61">
        <f t="shared" si="68"/>
        <v>0</v>
      </c>
      <c r="Y443" s="61">
        <f t="shared" si="69"/>
        <v>0</v>
      </c>
      <c r="Z443" s="73"/>
      <c r="AA443" s="73"/>
      <c r="AB443" s="73"/>
      <c r="AC443" s="73"/>
      <c r="AD443" s="73"/>
      <c r="AE443" s="73"/>
      <c r="AF443" s="73"/>
      <c r="AG443" s="73"/>
      <c r="AH443" s="73"/>
      <c r="AI443" s="73"/>
      <c r="AJ443" s="73"/>
    </row>
    <row r="444" spans="2:36">
      <c r="B444" s="67"/>
      <c r="C444" s="225"/>
      <c r="D444" s="225"/>
      <c r="E444" s="68"/>
      <c r="F444" s="68"/>
      <c r="G444" s="69"/>
      <c r="H444" s="69"/>
      <c r="I444" s="72"/>
      <c r="J444" s="71"/>
      <c r="K444" s="68"/>
      <c r="L444" s="68"/>
      <c r="M444" s="68"/>
      <c r="N444" s="68"/>
      <c r="O444" s="68"/>
      <c r="P444" s="61">
        <f t="shared" si="60"/>
        <v>0</v>
      </c>
      <c r="Q444" s="61">
        <f t="shared" si="61"/>
        <v>0</v>
      </c>
      <c r="R444" s="61">
        <f t="shared" si="62"/>
        <v>0</v>
      </c>
      <c r="S444" s="61">
        <f t="shared" si="63"/>
        <v>0</v>
      </c>
      <c r="T444" s="61">
        <f t="shared" si="64"/>
        <v>0</v>
      </c>
      <c r="U444" s="61">
        <f t="shared" si="65"/>
        <v>0</v>
      </c>
      <c r="V444" s="61">
        <f t="shared" si="66"/>
        <v>0</v>
      </c>
      <c r="W444" s="61">
        <f t="shared" si="67"/>
        <v>0</v>
      </c>
      <c r="X444" s="61">
        <f t="shared" si="68"/>
        <v>0</v>
      </c>
      <c r="Y444" s="61">
        <f t="shared" si="69"/>
        <v>0</v>
      </c>
      <c r="Z444" s="73"/>
      <c r="AA444" s="73"/>
      <c r="AB444" s="73"/>
      <c r="AC444" s="73"/>
      <c r="AD444" s="73"/>
      <c r="AE444" s="73"/>
      <c r="AF444" s="73"/>
      <c r="AG444" s="73"/>
      <c r="AH444" s="73"/>
      <c r="AI444" s="73"/>
      <c r="AJ444" s="73"/>
    </row>
    <row r="445" spans="2:36">
      <c r="B445" s="67"/>
      <c r="C445" s="225"/>
      <c r="D445" s="225"/>
      <c r="E445" s="68"/>
      <c r="F445" s="68"/>
      <c r="G445" s="69"/>
      <c r="H445" s="69"/>
      <c r="I445" s="72"/>
      <c r="J445" s="71"/>
      <c r="K445" s="68"/>
      <c r="L445" s="68"/>
      <c r="M445" s="68"/>
      <c r="N445" s="68"/>
      <c r="O445" s="68"/>
      <c r="P445" s="61">
        <f t="shared" si="60"/>
        <v>0</v>
      </c>
      <c r="Q445" s="61">
        <f t="shared" si="61"/>
        <v>0</v>
      </c>
      <c r="R445" s="61">
        <f t="shared" si="62"/>
        <v>0</v>
      </c>
      <c r="S445" s="61">
        <f t="shared" si="63"/>
        <v>0</v>
      </c>
      <c r="T445" s="61">
        <f t="shared" si="64"/>
        <v>0</v>
      </c>
      <c r="U445" s="61">
        <f t="shared" si="65"/>
        <v>0</v>
      </c>
      <c r="V445" s="61">
        <f t="shared" si="66"/>
        <v>0</v>
      </c>
      <c r="W445" s="61">
        <f t="shared" si="67"/>
        <v>0</v>
      </c>
      <c r="X445" s="61">
        <f t="shared" si="68"/>
        <v>0</v>
      </c>
      <c r="Y445" s="61">
        <f t="shared" si="69"/>
        <v>0</v>
      </c>
      <c r="Z445" s="73"/>
      <c r="AA445" s="73"/>
      <c r="AB445" s="73"/>
      <c r="AC445" s="73"/>
      <c r="AD445" s="73"/>
      <c r="AE445" s="73"/>
      <c r="AF445" s="73"/>
      <c r="AG445" s="73"/>
      <c r="AH445" s="73"/>
      <c r="AI445" s="73"/>
      <c r="AJ445" s="73"/>
    </row>
    <row r="446" spans="2:36">
      <c r="B446" s="67"/>
      <c r="C446" s="225"/>
      <c r="D446" s="225"/>
      <c r="E446" s="68"/>
      <c r="F446" s="68"/>
      <c r="G446" s="69"/>
      <c r="H446" s="69"/>
      <c r="I446" s="72"/>
      <c r="J446" s="71"/>
      <c r="K446" s="68"/>
      <c r="L446" s="68"/>
      <c r="M446" s="68"/>
      <c r="N446" s="68"/>
      <c r="O446" s="68"/>
      <c r="P446" s="61">
        <f t="shared" si="60"/>
        <v>0</v>
      </c>
      <c r="Q446" s="61">
        <f t="shared" si="61"/>
        <v>0</v>
      </c>
      <c r="R446" s="61">
        <f t="shared" si="62"/>
        <v>0</v>
      </c>
      <c r="S446" s="61">
        <f t="shared" si="63"/>
        <v>0</v>
      </c>
      <c r="T446" s="61">
        <f t="shared" si="64"/>
        <v>0</v>
      </c>
      <c r="U446" s="61">
        <f t="shared" si="65"/>
        <v>0</v>
      </c>
      <c r="V446" s="61">
        <f t="shared" si="66"/>
        <v>0</v>
      </c>
      <c r="W446" s="61">
        <f t="shared" si="67"/>
        <v>0</v>
      </c>
      <c r="X446" s="61">
        <f t="shared" si="68"/>
        <v>0</v>
      </c>
      <c r="Y446" s="61">
        <f t="shared" si="69"/>
        <v>0</v>
      </c>
      <c r="Z446" s="73"/>
      <c r="AA446" s="73"/>
      <c r="AB446" s="73"/>
      <c r="AC446" s="73"/>
      <c r="AD446" s="73"/>
      <c r="AE446" s="73"/>
      <c r="AF446" s="73"/>
      <c r="AG446" s="73"/>
      <c r="AH446" s="73"/>
      <c r="AI446" s="73"/>
      <c r="AJ446" s="73"/>
    </row>
    <row r="447" spans="2:36">
      <c r="B447" s="67"/>
      <c r="C447" s="225"/>
      <c r="D447" s="225"/>
      <c r="E447" s="68"/>
      <c r="F447" s="68"/>
      <c r="G447" s="69"/>
      <c r="H447" s="69"/>
      <c r="I447" s="72"/>
      <c r="J447" s="71"/>
      <c r="K447" s="68"/>
      <c r="L447" s="68"/>
      <c r="M447" s="68"/>
      <c r="N447" s="68"/>
      <c r="O447" s="68"/>
      <c r="P447" s="61">
        <f t="shared" si="60"/>
        <v>0</v>
      </c>
      <c r="Q447" s="61">
        <f t="shared" si="61"/>
        <v>0</v>
      </c>
      <c r="R447" s="61">
        <f t="shared" si="62"/>
        <v>0</v>
      </c>
      <c r="S447" s="61">
        <f t="shared" si="63"/>
        <v>0</v>
      </c>
      <c r="T447" s="61">
        <f t="shared" si="64"/>
        <v>0</v>
      </c>
      <c r="U447" s="61">
        <f t="shared" si="65"/>
        <v>0</v>
      </c>
      <c r="V447" s="61">
        <f t="shared" si="66"/>
        <v>0</v>
      </c>
      <c r="W447" s="61">
        <f t="shared" si="67"/>
        <v>0</v>
      </c>
      <c r="X447" s="61">
        <f t="shared" si="68"/>
        <v>0</v>
      </c>
      <c r="Y447" s="61">
        <f t="shared" si="69"/>
        <v>0</v>
      </c>
      <c r="Z447" s="73"/>
      <c r="AA447" s="73"/>
      <c r="AB447" s="73"/>
      <c r="AC447" s="73"/>
      <c r="AD447" s="73"/>
      <c r="AE447" s="73"/>
      <c r="AF447" s="73"/>
      <c r="AG447" s="73"/>
      <c r="AH447" s="73"/>
      <c r="AI447" s="73"/>
      <c r="AJ447" s="73"/>
    </row>
    <row r="448" spans="2:36">
      <c r="B448" s="67"/>
      <c r="C448" s="225"/>
      <c r="D448" s="225"/>
      <c r="E448" s="68"/>
      <c r="F448" s="68"/>
      <c r="G448" s="69"/>
      <c r="H448" s="69"/>
      <c r="I448" s="72"/>
      <c r="J448" s="71"/>
      <c r="K448" s="68"/>
      <c r="L448" s="68"/>
      <c r="M448" s="68"/>
      <c r="N448" s="68"/>
      <c r="O448" s="68"/>
      <c r="P448" s="61">
        <f t="shared" si="60"/>
        <v>0</v>
      </c>
      <c r="Q448" s="61">
        <f t="shared" si="61"/>
        <v>0</v>
      </c>
      <c r="R448" s="61">
        <f t="shared" si="62"/>
        <v>0</v>
      </c>
      <c r="S448" s="61">
        <f t="shared" si="63"/>
        <v>0</v>
      </c>
      <c r="T448" s="61">
        <f t="shared" si="64"/>
        <v>0</v>
      </c>
      <c r="U448" s="61">
        <f t="shared" si="65"/>
        <v>0</v>
      </c>
      <c r="V448" s="61">
        <f t="shared" si="66"/>
        <v>0</v>
      </c>
      <c r="W448" s="61">
        <f t="shared" si="67"/>
        <v>0</v>
      </c>
      <c r="X448" s="61">
        <f t="shared" si="68"/>
        <v>0</v>
      </c>
      <c r="Y448" s="61">
        <f t="shared" si="69"/>
        <v>0</v>
      </c>
      <c r="Z448" s="73"/>
      <c r="AA448" s="73"/>
      <c r="AB448" s="73"/>
      <c r="AC448" s="73"/>
      <c r="AD448" s="73"/>
      <c r="AE448" s="73"/>
      <c r="AF448" s="73"/>
      <c r="AG448" s="73"/>
      <c r="AH448" s="73"/>
      <c r="AI448" s="73"/>
      <c r="AJ448" s="73"/>
    </row>
    <row r="449" spans="2:36">
      <c r="B449" s="67"/>
      <c r="C449" s="225"/>
      <c r="D449" s="225"/>
      <c r="E449" s="68"/>
      <c r="F449" s="68"/>
      <c r="G449" s="69"/>
      <c r="H449" s="69"/>
      <c r="I449" s="72"/>
      <c r="J449" s="71"/>
      <c r="K449" s="68"/>
      <c r="L449" s="68"/>
      <c r="M449" s="68"/>
      <c r="N449" s="68"/>
      <c r="O449" s="68"/>
      <c r="P449" s="61">
        <f t="shared" si="60"/>
        <v>0</v>
      </c>
      <c r="Q449" s="61">
        <f t="shared" si="61"/>
        <v>0</v>
      </c>
      <c r="R449" s="61">
        <f t="shared" si="62"/>
        <v>0</v>
      </c>
      <c r="S449" s="61">
        <f t="shared" si="63"/>
        <v>0</v>
      </c>
      <c r="T449" s="61">
        <f t="shared" si="64"/>
        <v>0</v>
      </c>
      <c r="U449" s="61">
        <f t="shared" si="65"/>
        <v>0</v>
      </c>
      <c r="V449" s="61">
        <f t="shared" si="66"/>
        <v>0</v>
      </c>
      <c r="W449" s="61">
        <f t="shared" si="67"/>
        <v>0</v>
      </c>
      <c r="X449" s="61">
        <f t="shared" si="68"/>
        <v>0</v>
      </c>
      <c r="Y449" s="61">
        <f t="shared" si="69"/>
        <v>0</v>
      </c>
      <c r="Z449" s="73"/>
      <c r="AA449" s="73"/>
      <c r="AB449" s="73"/>
      <c r="AC449" s="73"/>
      <c r="AD449" s="73"/>
      <c r="AE449" s="73"/>
      <c r="AF449" s="73"/>
      <c r="AG449" s="73"/>
      <c r="AH449" s="73"/>
      <c r="AI449" s="73"/>
      <c r="AJ449" s="73"/>
    </row>
    <row r="450" spans="2:36">
      <c r="B450" s="67"/>
      <c r="C450" s="225"/>
      <c r="D450" s="225"/>
      <c r="E450" s="68"/>
      <c r="F450" s="68"/>
      <c r="G450" s="69"/>
      <c r="H450" s="69"/>
      <c r="I450" s="72"/>
      <c r="J450" s="71"/>
      <c r="K450" s="68"/>
      <c r="L450" s="68"/>
      <c r="M450" s="68"/>
      <c r="N450" s="68"/>
      <c r="O450" s="68"/>
      <c r="P450" s="61">
        <f t="shared" si="60"/>
        <v>0</v>
      </c>
      <c r="Q450" s="61">
        <f t="shared" si="61"/>
        <v>0</v>
      </c>
      <c r="R450" s="61">
        <f t="shared" si="62"/>
        <v>0</v>
      </c>
      <c r="S450" s="61">
        <f t="shared" si="63"/>
        <v>0</v>
      </c>
      <c r="T450" s="61">
        <f t="shared" si="64"/>
        <v>0</v>
      </c>
      <c r="U450" s="61">
        <f t="shared" si="65"/>
        <v>0</v>
      </c>
      <c r="V450" s="61">
        <f t="shared" si="66"/>
        <v>0</v>
      </c>
      <c r="W450" s="61">
        <f t="shared" si="67"/>
        <v>0</v>
      </c>
      <c r="X450" s="61">
        <f t="shared" si="68"/>
        <v>0</v>
      </c>
      <c r="Y450" s="61">
        <f t="shared" si="69"/>
        <v>0</v>
      </c>
      <c r="Z450" s="73"/>
      <c r="AA450" s="73"/>
      <c r="AB450" s="73"/>
      <c r="AC450" s="73"/>
      <c r="AD450" s="73"/>
      <c r="AE450" s="73"/>
      <c r="AF450" s="73"/>
      <c r="AG450" s="73"/>
      <c r="AH450" s="73"/>
      <c r="AI450" s="73"/>
      <c r="AJ450" s="73"/>
    </row>
    <row r="451" spans="2:36">
      <c r="B451" s="67"/>
      <c r="C451" s="225"/>
      <c r="D451" s="225"/>
      <c r="E451" s="68"/>
      <c r="F451" s="68"/>
      <c r="G451" s="69"/>
      <c r="H451" s="69"/>
      <c r="I451" s="72"/>
      <c r="J451" s="71"/>
      <c r="K451" s="68"/>
      <c r="L451" s="68"/>
      <c r="M451" s="68"/>
      <c r="N451" s="68"/>
      <c r="O451" s="68"/>
      <c r="P451" s="61">
        <f t="shared" si="60"/>
        <v>0</v>
      </c>
      <c r="Q451" s="61">
        <f t="shared" si="61"/>
        <v>0</v>
      </c>
      <c r="R451" s="61">
        <f t="shared" si="62"/>
        <v>0</v>
      </c>
      <c r="S451" s="61">
        <f t="shared" si="63"/>
        <v>0</v>
      </c>
      <c r="T451" s="61">
        <f t="shared" si="64"/>
        <v>0</v>
      </c>
      <c r="U451" s="61">
        <f t="shared" si="65"/>
        <v>0</v>
      </c>
      <c r="V451" s="61">
        <f t="shared" si="66"/>
        <v>0</v>
      </c>
      <c r="W451" s="61">
        <f t="shared" si="67"/>
        <v>0</v>
      </c>
      <c r="X451" s="61">
        <f t="shared" si="68"/>
        <v>0</v>
      </c>
      <c r="Y451" s="61">
        <f t="shared" si="69"/>
        <v>0</v>
      </c>
      <c r="Z451" s="73"/>
      <c r="AA451" s="73"/>
      <c r="AB451" s="73"/>
      <c r="AC451" s="73"/>
      <c r="AD451" s="73"/>
      <c r="AE451" s="73"/>
      <c r="AF451" s="73"/>
      <c r="AG451" s="73"/>
      <c r="AH451" s="73"/>
      <c r="AI451" s="73"/>
      <c r="AJ451" s="73"/>
    </row>
    <row r="452" spans="2:36">
      <c r="B452" s="67"/>
      <c r="C452" s="225"/>
      <c r="D452" s="225"/>
      <c r="E452" s="68"/>
      <c r="F452" s="68"/>
      <c r="G452" s="69"/>
      <c r="H452" s="69"/>
      <c r="I452" s="72"/>
      <c r="J452" s="71"/>
      <c r="K452" s="68"/>
      <c r="L452" s="68"/>
      <c r="M452" s="68"/>
      <c r="N452" s="68"/>
      <c r="O452" s="68"/>
      <c r="P452" s="61">
        <f t="shared" si="60"/>
        <v>0</v>
      </c>
      <c r="Q452" s="61">
        <f t="shared" si="61"/>
        <v>0</v>
      </c>
      <c r="R452" s="61">
        <f t="shared" si="62"/>
        <v>0</v>
      </c>
      <c r="S452" s="61">
        <f t="shared" si="63"/>
        <v>0</v>
      </c>
      <c r="T452" s="61">
        <f t="shared" si="64"/>
        <v>0</v>
      </c>
      <c r="U452" s="61">
        <f t="shared" si="65"/>
        <v>0</v>
      </c>
      <c r="V452" s="61">
        <f t="shared" si="66"/>
        <v>0</v>
      </c>
      <c r="W452" s="61">
        <f t="shared" si="67"/>
        <v>0</v>
      </c>
      <c r="X452" s="61">
        <f t="shared" si="68"/>
        <v>0</v>
      </c>
      <c r="Y452" s="61">
        <f t="shared" si="69"/>
        <v>0</v>
      </c>
      <c r="Z452" s="73"/>
      <c r="AA452" s="73"/>
      <c r="AB452" s="73"/>
      <c r="AC452" s="73"/>
      <c r="AD452" s="73"/>
      <c r="AE452" s="73"/>
      <c r="AF452" s="73"/>
      <c r="AG452" s="73"/>
      <c r="AH452" s="73"/>
      <c r="AI452" s="73"/>
      <c r="AJ452" s="73"/>
    </row>
    <row r="453" spans="2:36">
      <c r="B453" s="67"/>
      <c r="C453" s="225"/>
      <c r="D453" s="225"/>
      <c r="E453" s="68"/>
      <c r="F453" s="68"/>
      <c r="G453" s="69"/>
      <c r="H453" s="69"/>
      <c r="I453" s="72"/>
      <c r="J453" s="71"/>
      <c r="K453" s="68"/>
      <c r="L453" s="68"/>
      <c r="M453" s="68"/>
      <c r="N453" s="68"/>
      <c r="O453" s="68"/>
      <c r="P453" s="61">
        <f t="shared" si="60"/>
        <v>0</v>
      </c>
      <c r="Q453" s="61">
        <f t="shared" si="61"/>
        <v>0</v>
      </c>
      <c r="R453" s="61">
        <f t="shared" si="62"/>
        <v>0</v>
      </c>
      <c r="S453" s="61">
        <f t="shared" si="63"/>
        <v>0</v>
      </c>
      <c r="T453" s="61">
        <f t="shared" si="64"/>
        <v>0</v>
      </c>
      <c r="U453" s="61">
        <f t="shared" si="65"/>
        <v>0</v>
      </c>
      <c r="V453" s="61">
        <f t="shared" si="66"/>
        <v>0</v>
      </c>
      <c r="W453" s="61">
        <f t="shared" si="67"/>
        <v>0</v>
      </c>
      <c r="X453" s="61">
        <f t="shared" si="68"/>
        <v>0</v>
      </c>
      <c r="Y453" s="61">
        <f t="shared" si="69"/>
        <v>0</v>
      </c>
      <c r="Z453" s="73"/>
      <c r="AA453" s="73"/>
      <c r="AB453" s="73"/>
      <c r="AC453" s="73"/>
      <c r="AD453" s="73"/>
      <c r="AE453" s="73"/>
      <c r="AF453" s="73"/>
      <c r="AG453" s="73"/>
      <c r="AH453" s="73"/>
      <c r="AI453" s="73"/>
      <c r="AJ453" s="73"/>
    </row>
    <row r="454" spans="2:36">
      <c r="B454" s="67"/>
      <c r="C454" s="225"/>
      <c r="D454" s="225"/>
      <c r="E454" s="68"/>
      <c r="F454" s="68"/>
      <c r="G454" s="69"/>
      <c r="H454" s="69"/>
      <c r="I454" s="72"/>
      <c r="J454" s="71"/>
      <c r="K454" s="68"/>
      <c r="L454" s="68"/>
      <c r="M454" s="68"/>
      <c r="N454" s="68"/>
      <c r="O454" s="68"/>
      <c r="P454" s="61">
        <f t="shared" si="60"/>
        <v>0</v>
      </c>
      <c r="Q454" s="61">
        <f t="shared" si="61"/>
        <v>0</v>
      </c>
      <c r="R454" s="61">
        <f t="shared" si="62"/>
        <v>0</v>
      </c>
      <c r="S454" s="61">
        <f t="shared" si="63"/>
        <v>0</v>
      </c>
      <c r="T454" s="61">
        <f t="shared" si="64"/>
        <v>0</v>
      </c>
      <c r="U454" s="61">
        <f t="shared" si="65"/>
        <v>0</v>
      </c>
      <c r="V454" s="61">
        <f t="shared" si="66"/>
        <v>0</v>
      </c>
      <c r="W454" s="61">
        <f t="shared" si="67"/>
        <v>0</v>
      </c>
      <c r="X454" s="61">
        <f t="shared" si="68"/>
        <v>0</v>
      </c>
      <c r="Y454" s="61">
        <f t="shared" si="69"/>
        <v>0</v>
      </c>
      <c r="Z454" s="73"/>
      <c r="AA454" s="73"/>
      <c r="AB454" s="73"/>
      <c r="AC454" s="73"/>
      <c r="AD454" s="73"/>
      <c r="AE454" s="73"/>
      <c r="AF454" s="73"/>
      <c r="AG454" s="73"/>
      <c r="AH454" s="73"/>
      <c r="AI454" s="73"/>
      <c r="AJ454" s="73"/>
    </row>
    <row r="455" spans="2:36">
      <c r="B455" s="67"/>
      <c r="C455" s="225"/>
      <c r="D455" s="225"/>
      <c r="E455" s="68"/>
      <c r="F455" s="68"/>
      <c r="G455" s="69"/>
      <c r="H455" s="69"/>
      <c r="I455" s="72"/>
      <c r="J455" s="71"/>
      <c r="K455" s="68"/>
      <c r="L455" s="68"/>
      <c r="M455" s="68"/>
      <c r="N455" s="68"/>
      <c r="O455" s="68"/>
      <c r="P455" s="61">
        <f t="shared" si="60"/>
        <v>0</v>
      </c>
      <c r="Q455" s="61">
        <f t="shared" si="61"/>
        <v>0</v>
      </c>
      <c r="R455" s="61">
        <f t="shared" si="62"/>
        <v>0</v>
      </c>
      <c r="S455" s="61">
        <f t="shared" si="63"/>
        <v>0</v>
      </c>
      <c r="T455" s="61">
        <f t="shared" si="64"/>
        <v>0</v>
      </c>
      <c r="U455" s="61">
        <f t="shared" si="65"/>
        <v>0</v>
      </c>
      <c r="V455" s="61">
        <f t="shared" si="66"/>
        <v>0</v>
      </c>
      <c r="W455" s="61">
        <f t="shared" si="67"/>
        <v>0</v>
      </c>
      <c r="X455" s="61">
        <f t="shared" si="68"/>
        <v>0</v>
      </c>
      <c r="Y455" s="61">
        <f t="shared" si="69"/>
        <v>0</v>
      </c>
      <c r="Z455" s="73"/>
      <c r="AA455" s="73"/>
      <c r="AB455" s="73"/>
      <c r="AC455" s="73"/>
      <c r="AD455" s="73"/>
      <c r="AE455" s="73"/>
      <c r="AF455" s="73"/>
      <c r="AG455" s="73"/>
      <c r="AH455" s="73"/>
      <c r="AI455" s="73"/>
      <c r="AJ455" s="73"/>
    </row>
    <row r="456" spans="2:36">
      <c r="B456" s="67"/>
      <c r="C456" s="225"/>
      <c r="D456" s="225"/>
      <c r="E456" s="68"/>
      <c r="F456" s="68"/>
      <c r="G456" s="69"/>
      <c r="H456" s="69"/>
      <c r="I456" s="72"/>
      <c r="J456" s="71"/>
      <c r="K456" s="68"/>
      <c r="L456" s="68"/>
      <c r="M456" s="68"/>
      <c r="N456" s="68"/>
      <c r="O456" s="68"/>
      <c r="P456" s="61">
        <f t="shared" si="60"/>
        <v>0</v>
      </c>
      <c r="Q456" s="61">
        <f t="shared" si="61"/>
        <v>0</v>
      </c>
      <c r="R456" s="61">
        <f t="shared" si="62"/>
        <v>0</v>
      </c>
      <c r="S456" s="61">
        <f t="shared" si="63"/>
        <v>0</v>
      </c>
      <c r="T456" s="61">
        <f t="shared" si="64"/>
        <v>0</v>
      </c>
      <c r="U456" s="61">
        <f t="shared" si="65"/>
        <v>0</v>
      </c>
      <c r="V456" s="61">
        <f t="shared" si="66"/>
        <v>0</v>
      </c>
      <c r="W456" s="61">
        <f t="shared" si="67"/>
        <v>0</v>
      </c>
      <c r="X456" s="61">
        <f t="shared" si="68"/>
        <v>0</v>
      </c>
      <c r="Y456" s="61">
        <f t="shared" si="69"/>
        <v>0</v>
      </c>
      <c r="Z456" s="73"/>
      <c r="AA456" s="73"/>
      <c r="AB456" s="73"/>
      <c r="AC456" s="73"/>
      <c r="AD456" s="73"/>
      <c r="AE456" s="73"/>
      <c r="AF456" s="73"/>
      <c r="AG456" s="73"/>
      <c r="AH456" s="73"/>
      <c r="AI456" s="73"/>
      <c r="AJ456" s="73"/>
    </row>
    <row r="457" spans="2:36">
      <c r="B457" s="67"/>
      <c r="C457" s="225"/>
      <c r="D457" s="225"/>
      <c r="E457" s="68"/>
      <c r="F457" s="68"/>
      <c r="G457" s="69"/>
      <c r="H457" s="69"/>
      <c r="I457" s="72"/>
      <c r="J457" s="71"/>
      <c r="K457" s="68"/>
      <c r="L457" s="68"/>
      <c r="M457" s="68"/>
      <c r="N457" s="68"/>
      <c r="O457" s="68"/>
      <c r="P457" s="61">
        <f t="shared" si="60"/>
        <v>0</v>
      </c>
      <c r="Q457" s="61">
        <f t="shared" si="61"/>
        <v>0</v>
      </c>
      <c r="R457" s="61">
        <f t="shared" si="62"/>
        <v>0</v>
      </c>
      <c r="S457" s="61">
        <f t="shared" si="63"/>
        <v>0</v>
      </c>
      <c r="T457" s="61">
        <f t="shared" si="64"/>
        <v>0</v>
      </c>
      <c r="U457" s="61">
        <f t="shared" si="65"/>
        <v>0</v>
      </c>
      <c r="V457" s="61">
        <f t="shared" si="66"/>
        <v>0</v>
      </c>
      <c r="W457" s="61">
        <f t="shared" si="67"/>
        <v>0</v>
      </c>
      <c r="X457" s="61">
        <f t="shared" si="68"/>
        <v>0</v>
      </c>
      <c r="Y457" s="61">
        <f t="shared" si="69"/>
        <v>0</v>
      </c>
      <c r="Z457" s="73"/>
      <c r="AA457" s="73"/>
      <c r="AB457" s="73"/>
      <c r="AC457" s="73"/>
      <c r="AD457" s="73"/>
      <c r="AE457" s="73"/>
      <c r="AF457" s="73"/>
      <c r="AG457" s="73"/>
      <c r="AH457" s="73"/>
      <c r="AI457" s="73"/>
      <c r="AJ457" s="73"/>
    </row>
    <row r="458" spans="2:36">
      <c r="B458" s="67"/>
      <c r="C458" s="225"/>
      <c r="D458" s="225"/>
      <c r="E458" s="68"/>
      <c r="F458" s="68"/>
      <c r="G458" s="69"/>
      <c r="H458" s="69"/>
      <c r="I458" s="72"/>
      <c r="J458" s="71"/>
      <c r="K458" s="68"/>
      <c r="L458" s="68"/>
      <c r="M458" s="68"/>
      <c r="N458" s="68"/>
      <c r="O458" s="68"/>
      <c r="P458" s="61">
        <f t="shared" si="60"/>
        <v>0</v>
      </c>
      <c r="Q458" s="61">
        <f t="shared" si="61"/>
        <v>0</v>
      </c>
      <c r="R458" s="61">
        <f t="shared" si="62"/>
        <v>0</v>
      </c>
      <c r="S458" s="61">
        <f t="shared" si="63"/>
        <v>0</v>
      </c>
      <c r="T458" s="61">
        <f t="shared" si="64"/>
        <v>0</v>
      </c>
      <c r="U458" s="61">
        <f t="shared" si="65"/>
        <v>0</v>
      </c>
      <c r="V458" s="61">
        <f t="shared" si="66"/>
        <v>0</v>
      </c>
      <c r="W458" s="61">
        <f t="shared" si="67"/>
        <v>0</v>
      </c>
      <c r="X458" s="61">
        <f t="shared" si="68"/>
        <v>0</v>
      </c>
      <c r="Y458" s="61">
        <f t="shared" si="69"/>
        <v>0</v>
      </c>
      <c r="Z458" s="73"/>
      <c r="AA458" s="73"/>
      <c r="AB458" s="73"/>
      <c r="AC458" s="73"/>
      <c r="AD458" s="73"/>
      <c r="AE458" s="73"/>
      <c r="AF458" s="73"/>
      <c r="AG458" s="73"/>
      <c r="AH458" s="73"/>
      <c r="AI458" s="73"/>
      <c r="AJ458" s="73"/>
    </row>
    <row r="459" spans="2:36">
      <c r="B459" s="67"/>
      <c r="C459" s="225"/>
      <c r="D459" s="225"/>
      <c r="E459" s="68"/>
      <c r="F459" s="68"/>
      <c r="G459" s="69"/>
      <c r="H459" s="69"/>
      <c r="I459" s="72"/>
      <c r="J459" s="71"/>
      <c r="K459" s="68"/>
      <c r="L459" s="68"/>
      <c r="M459" s="68"/>
      <c r="N459" s="68"/>
      <c r="O459" s="68"/>
      <c r="P459" s="61">
        <f t="shared" si="60"/>
        <v>0</v>
      </c>
      <c r="Q459" s="61">
        <f t="shared" si="61"/>
        <v>0</v>
      </c>
      <c r="R459" s="61">
        <f t="shared" si="62"/>
        <v>0</v>
      </c>
      <c r="S459" s="61">
        <f t="shared" si="63"/>
        <v>0</v>
      </c>
      <c r="T459" s="61">
        <f t="shared" si="64"/>
        <v>0</v>
      </c>
      <c r="U459" s="61">
        <f t="shared" si="65"/>
        <v>0</v>
      </c>
      <c r="V459" s="61">
        <f t="shared" si="66"/>
        <v>0</v>
      </c>
      <c r="W459" s="61">
        <f t="shared" si="67"/>
        <v>0</v>
      </c>
      <c r="X459" s="61">
        <f t="shared" si="68"/>
        <v>0</v>
      </c>
      <c r="Y459" s="61">
        <f t="shared" si="69"/>
        <v>0</v>
      </c>
      <c r="Z459" s="73"/>
      <c r="AA459" s="73"/>
      <c r="AB459" s="73"/>
      <c r="AC459" s="73"/>
      <c r="AD459" s="73"/>
      <c r="AE459" s="73"/>
      <c r="AF459" s="73"/>
      <c r="AG459" s="73"/>
      <c r="AH459" s="73"/>
      <c r="AI459" s="73"/>
      <c r="AJ459" s="73"/>
    </row>
    <row r="460" spans="2:36">
      <c r="B460" s="67"/>
      <c r="C460" s="225"/>
      <c r="D460" s="225"/>
      <c r="E460" s="68"/>
      <c r="F460" s="68"/>
      <c r="G460" s="69"/>
      <c r="H460" s="69"/>
      <c r="I460" s="72"/>
      <c r="J460" s="71"/>
      <c r="K460" s="68"/>
      <c r="L460" s="68"/>
      <c r="M460" s="68"/>
      <c r="N460" s="68"/>
      <c r="O460" s="68"/>
      <c r="P460" s="61">
        <f t="shared" si="60"/>
        <v>0</v>
      </c>
      <c r="Q460" s="61">
        <f t="shared" si="61"/>
        <v>0</v>
      </c>
      <c r="R460" s="61">
        <f t="shared" si="62"/>
        <v>0</v>
      </c>
      <c r="S460" s="61">
        <f t="shared" si="63"/>
        <v>0</v>
      </c>
      <c r="T460" s="61">
        <f t="shared" si="64"/>
        <v>0</v>
      </c>
      <c r="U460" s="61">
        <f t="shared" si="65"/>
        <v>0</v>
      </c>
      <c r="V460" s="61">
        <f t="shared" si="66"/>
        <v>0</v>
      </c>
      <c r="W460" s="61">
        <f t="shared" si="67"/>
        <v>0</v>
      </c>
      <c r="X460" s="61">
        <f t="shared" si="68"/>
        <v>0</v>
      </c>
      <c r="Y460" s="61">
        <f t="shared" si="69"/>
        <v>0</v>
      </c>
      <c r="Z460" s="73"/>
      <c r="AA460" s="73"/>
      <c r="AB460" s="73"/>
      <c r="AC460" s="73"/>
      <c r="AD460" s="73"/>
      <c r="AE460" s="73"/>
      <c r="AF460" s="73"/>
      <c r="AG460" s="73"/>
      <c r="AH460" s="73"/>
      <c r="AI460" s="73"/>
      <c r="AJ460" s="73"/>
    </row>
    <row r="461" spans="2:36">
      <c r="B461" s="67"/>
      <c r="C461" s="225"/>
      <c r="D461" s="225"/>
      <c r="E461" s="68"/>
      <c r="F461" s="68"/>
      <c r="G461" s="69"/>
      <c r="H461" s="69"/>
      <c r="I461" s="72"/>
      <c r="J461" s="71"/>
      <c r="K461" s="68"/>
      <c r="L461" s="68"/>
      <c r="M461" s="68"/>
      <c r="N461" s="68"/>
      <c r="O461" s="68"/>
      <c r="P461" s="61">
        <f t="shared" si="60"/>
        <v>0</v>
      </c>
      <c r="Q461" s="61">
        <f t="shared" si="61"/>
        <v>0</v>
      </c>
      <c r="R461" s="61">
        <f t="shared" si="62"/>
        <v>0</v>
      </c>
      <c r="S461" s="61">
        <f t="shared" si="63"/>
        <v>0</v>
      </c>
      <c r="T461" s="61">
        <f t="shared" si="64"/>
        <v>0</v>
      </c>
      <c r="U461" s="61">
        <f t="shared" si="65"/>
        <v>0</v>
      </c>
      <c r="V461" s="61">
        <f t="shared" si="66"/>
        <v>0</v>
      </c>
      <c r="W461" s="61">
        <f t="shared" si="67"/>
        <v>0</v>
      </c>
      <c r="X461" s="61">
        <f t="shared" si="68"/>
        <v>0</v>
      </c>
      <c r="Y461" s="61">
        <f t="shared" si="69"/>
        <v>0</v>
      </c>
      <c r="Z461" s="73"/>
      <c r="AA461" s="73"/>
      <c r="AB461" s="73"/>
      <c r="AC461" s="73"/>
      <c r="AD461" s="73"/>
      <c r="AE461" s="73"/>
      <c r="AF461" s="73"/>
      <c r="AG461" s="73"/>
      <c r="AH461" s="73"/>
      <c r="AI461" s="73"/>
      <c r="AJ461" s="73"/>
    </row>
    <row r="462" spans="2:36">
      <c r="B462" s="67"/>
      <c r="C462" s="225"/>
      <c r="D462" s="225"/>
      <c r="E462" s="68"/>
      <c r="F462" s="68"/>
      <c r="G462" s="69"/>
      <c r="H462" s="69"/>
      <c r="I462" s="72"/>
      <c r="J462" s="71"/>
      <c r="K462" s="68"/>
      <c r="L462" s="68"/>
      <c r="M462" s="68"/>
      <c r="N462" s="68"/>
      <c r="O462" s="68"/>
      <c r="P462" s="61">
        <f t="shared" si="60"/>
        <v>0</v>
      </c>
      <c r="Q462" s="61">
        <f t="shared" si="61"/>
        <v>0</v>
      </c>
      <c r="R462" s="61">
        <f t="shared" si="62"/>
        <v>0</v>
      </c>
      <c r="S462" s="61">
        <f t="shared" si="63"/>
        <v>0</v>
      </c>
      <c r="T462" s="61">
        <f t="shared" si="64"/>
        <v>0</v>
      </c>
      <c r="U462" s="61">
        <f t="shared" si="65"/>
        <v>0</v>
      </c>
      <c r="V462" s="61">
        <f t="shared" si="66"/>
        <v>0</v>
      </c>
      <c r="W462" s="61">
        <f t="shared" si="67"/>
        <v>0</v>
      </c>
      <c r="X462" s="61">
        <f t="shared" si="68"/>
        <v>0</v>
      </c>
      <c r="Y462" s="61">
        <f t="shared" si="69"/>
        <v>0</v>
      </c>
      <c r="Z462" s="73"/>
      <c r="AA462" s="73"/>
      <c r="AB462" s="73"/>
      <c r="AC462" s="73"/>
      <c r="AD462" s="73"/>
      <c r="AE462" s="73"/>
      <c r="AF462" s="73"/>
      <c r="AG462" s="73"/>
      <c r="AH462" s="73"/>
      <c r="AI462" s="73"/>
      <c r="AJ462" s="73"/>
    </row>
    <row r="463" spans="2:36">
      <c r="B463" s="67"/>
      <c r="C463" s="225"/>
      <c r="D463" s="225"/>
      <c r="E463" s="68"/>
      <c r="F463" s="68"/>
      <c r="G463" s="69"/>
      <c r="H463" s="69"/>
      <c r="I463" s="72"/>
      <c r="J463" s="71"/>
      <c r="K463" s="68"/>
      <c r="L463" s="68"/>
      <c r="M463" s="68"/>
      <c r="N463" s="68"/>
      <c r="O463" s="68"/>
      <c r="P463" s="61">
        <f t="shared" si="60"/>
        <v>0</v>
      </c>
      <c r="Q463" s="61">
        <f t="shared" si="61"/>
        <v>0</v>
      </c>
      <c r="R463" s="61">
        <f t="shared" si="62"/>
        <v>0</v>
      </c>
      <c r="S463" s="61">
        <f t="shared" si="63"/>
        <v>0</v>
      </c>
      <c r="T463" s="61">
        <f t="shared" si="64"/>
        <v>0</v>
      </c>
      <c r="U463" s="61">
        <f t="shared" si="65"/>
        <v>0</v>
      </c>
      <c r="V463" s="61">
        <f t="shared" si="66"/>
        <v>0</v>
      </c>
      <c r="W463" s="61">
        <f t="shared" si="67"/>
        <v>0</v>
      </c>
      <c r="X463" s="61">
        <f t="shared" si="68"/>
        <v>0</v>
      </c>
      <c r="Y463" s="61">
        <f t="shared" si="69"/>
        <v>0</v>
      </c>
      <c r="Z463" s="73"/>
      <c r="AA463" s="73"/>
      <c r="AB463" s="73"/>
      <c r="AC463" s="73"/>
      <c r="AD463" s="73"/>
      <c r="AE463" s="73"/>
      <c r="AF463" s="73"/>
      <c r="AG463" s="73"/>
      <c r="AH463" s="73"/>
      <c r="AI463" s="73"/>
      <c r="AJ463" s="73"/>
    </row>
    <row r="464" spans="2:36">
      <c r="B464" s="67"/>
      <c r="C464" s="225"/>
      <c r="D464" s="225"/>
      <c r="E464" s="68"/>
      <c r="F464" s="68"/>
      <c r="G464" s="69"/>
      <c r="H464" s="69"/>
      <c r="I464" s="72"/>
      <c r="J464" s="71"/>
      <c r="K464" s="68"/>
      <c r="L464" s="68"/>
      <c r="M464" s="68"/>
      <c r="N464" s="68"/>
      <c r="O464" s="68"/>
      <c r="P464" s="61">
        <f t="shared" si="60"/>
        <v>0</v>
      </c>
      <c r="Q464" s="61">
        <f t="shared" si="61"/>
        <v>0</v>
      </c>
      <c r="R464" s="61">
        <f t="shared" si="62"/>
        <v>0</v>
      </c>
      <c r="S464" s="61">
        <f t="shared" si="63"/>
        <v>0</v>
      </c>
      <c r="T464" s="61">
        <f t="shared" si="64"/>
        <v>0</v>
      </c>
      <c r="U464" s="61">
        <f t="shared" si="65"/>
        <v>0</v>
      </c>
      <c r="V464" s="61">
        <f t="shared" si="66"/>
        <v>0</v>
      </c>
      <c r="W464" s="61">
        <f t="shared" si="67"/>
        <v>0</v>
      </c>
      <c r="X464" s="61">
        <f t="shared" si="68"/>
        <v>0</v>
      </c>
      <c r="Y464" s="61">
        <f t="shared" si="69"/>
        <v>0</v>
      </c>
      <c r="Z464" s="73"/>
      <c r="AA464" s="73"/>
      <c r="AB464" s="73"/>
      <c r="AC464" s="73"/>
      <c r="AD464" s="73"/>
      <c r="AE464" s="73"/>
      <c r="AF464" s="73"/>
      <c r="AG464" s="73"/>
      <c r="AH464" s="73"/>
      <c r="AI464" s="73"/>
      <c r="AJ464" s="73"/>
    </row>
    <row r="465" spans="2:36">
      <c r="B465" s="67"/>
      <c r="C465" s="225"/>
      <c r="D465" s="225"/>
      <c r="E465" s="68"/>
      <c r="F465" s="68"/>
      <c r="G465" s="69"/>
      <c r="H465" s="69"/>
      <c r="I465" s="72"/>
      <c r="J465" s="71"/>
      <c r="K465" s="68"/>
      <c r="L465" s="68"/>
      <c r="M465" s="68"/>
      <c r="N465" s="68"/>
      <c r="O465" s="68"/>
      <c r="P465" s="61">
        <f t="shared" si="60"/>
        <v>0</v>
      </c>
      <c r="Q465" s="61">
        <f t="shared" si="61"/>
        <v>0</v>
      </c>
      <c r="R465" s="61">
        <f t="shared" si="62"/>
        <v>0</v>
      </c>
      <c r="S465" s="61">
        <f t="shared" si="63"/>
        <v>0</v>
      </c>
      <c r="T465" s="61">
        <f t="shared" si="64"/>
        <v>0</v>
      </c>
      <c r="U465" s="61">
        <f t="shared" si="65"/>
        <v>0</v>
      </c>
      <c r="V465" s="61">
        <f t="shared" si="66"/>
        <v>0</v>
      </c>
      <c r="W465" s="61">
        <f t="shared" si="67"/>
        <v>0</v>
      </c>
      <c r="X465" s="61">
        <f t="shared" si="68"/>
        <v>0</v>
      </c>
      <c r="Y465" s="61">
        <f t="shared" si="69"/>
        <v>0</v>
      </c>
      <c r="Z465" s="73"/>
      <c r="AA465" s="73"/>
      <c r="AB465" s="73"/>
      <c r="AC465" s="73"/>
      <c r="AD465" s="73"/>
      <c r="AE465" s="73"/>
      <c r="AF465" s="73"/>
      <c r="AG465" s="73"/>
      <c r="AH465" s="73"/>
      <c r="AI465" s="73"/>
      <c r="AJ465" s="73"/>
    </row>
    <row r="466" spans="2:36">
      <c r="B466" s="67"/>
      <c r="C466" s="225"/>
      <c r="D466" s="225"/>
      <c r="E466" s="68"/>
      <c r="F466" s="68"/>
      <c r="G466" s="69"/>
      <c r="H466" s="69"/>
      <c r="I466" s="72"/>
      <c r="J466" s="71"/>
      <c r="K466" s="68"/>
      <c r="L466" s="68"/>
      <c r="M466" s="68"/>
      <c r="N466" s="68"/>
      <c r="O466" s="68"/>
      <c r="P466" s="61">
        <f t="shared" si="60"/>
        <v>0</v>
      </c>
      <c r="Q466" s="61">
        <f t="shared" si="61"/>
        <v>0</v>
      </c>
      <c r="R466" s="61">
        <f t="shared" si="62"/>
        <v>0</v>
      </c>
      <c r="S466" s="61">
        <f t="shared" si="63"/>
        <v>0</v>
      </c>
      <c r="T466" s="61">
        <f t="shared" si="64"/>
        <v>0</v>
      </c>
      <c r="U466" s="61">
        <f t="shared" si="65"/>
        <v>0</v>
      </c>
      <c r="V466" s="61">
        <f t="shared" si="66"/>
        <v>0</v>
      </c>
      <c r="W466" s="61">
        <f t="shared" si="67"/>
        <v>0</v>
      </c>
      <c r="X466" s="61">
        <f t="shared" si="68"/>
        <v>0</v>
      </c>
      <c r="Y466" s="61">
        <f t="shared" si="69"/>
        <v>0</v>
      </c>
      <c r="Z466" s="73"/>
      <c r="AA466" s="73"/>
      <c r="AB466" s="73"/>
      <c r="AC466" s="73"/>
      <c r="AD466" s="73"/>
      <c r="AE466" s="73"/>
      <c r="AF466" s="73"/>
      <c r="AG466" s="73"/>
      <c r="AH466" s="73"/>
      <c r="AI466" s="73"/>
      <c r="AJ466" s="73"/>
    </row>
    <row r="467" spans="2:36">
      <c r="B467" s="67"/>
      <c r="C467" s="225"/>
      <c r="D467" s="225"/>
      <c r="E467" s="68"/>
      <c r="F467" s="68"/>
      <c r="G467" s="69"/>
      <c r="H467" s="69"/>
      <c r="I467" s="72"/>
      <c r="J467" s="71"/>
      <c r="K467" s="68"/>
      <c r="L467" s="68"/>
      <c r="M467" s="68"/>
      <c r="N467" s="68"/>
      <c r="O467" s="68"/>
      <c r="P467" s="61">
        <f t="shared" si="60"/>
        <v>0</v>
      </c>
      <c r="Q467" s="61">
        <f t="shared" si="61"/>
        <v>0</v>
      </c>
      <c r="R467" s="61">
        <f t="shared" si="62"/>
        <v>0</v>
      </c>
      <c r="S467" s="61">
        <f t="shared" si="63"/>
        <v>0</v>
      </c>
      <c r="T467" s="61">
        <f t="shared" si="64"/>
        <v>0</v>
      </c>
      <c r="U467" s="61">
        <f t="shared" si="65"/>
        <v>0</v>
      </c>
      <c r="V467" s="61">
        <f t="shared" si="66"/>
        <v>0</v>
      </c>
      <c r="W467" s="61">
        <f t="shared" si="67"/>
        <v>0</v>
      </c>
      <c r="X467" s="61">
        <f t="shared" si="68"/>
        <v>0</v>
      </c>
      <c r="Y467" s="61">
        <f t="shared" si="69"/>
        <v>0</v>
      </c>
      <c r="Z467" s="73"/>
      <c r="AA467" s="73"/>
      <c r="AB467" s="73"/>
      <c r="AC467" s="73"/>
      <c r="AD467" s="73"/>
      <c r="AE467" s="73"/>
      <c r="AF467" s="73"/>
      <c r="AG467" s="73"/>
      <c r="AH467" s="73"/>
      <c r="AI467" s="73"/>
      <c r="AJ467" s="73"/>
    </row>
    <row r="468" spans="2:36">
      <c r="B468" s="67"/>
      <c r="C468" s="225"/>
      <c r="D468" s="225"/>
      <c r="E468" s="68"/>
      <c r="F468" s="68"/>
      <c r="G468" s="69"/>
      <c r="H468" s="69"/>
      <c r="I468" s="72"/>
      <c r="J468" s="71"/>
      <c r="K468" s="68"/>
      <c r="L468" s="68"/>
      <c r="M468" s="68"/>
      <c r="N468" s="68"/>
      <c r="O468" s="68"/>
      <c r="P468" s="61">
        <f t="shared" si="60"/>
        <v>0</v>
      </c>
      <c r="Q468" s="61">
        <f t="shared" si="61"/>
        <v>0</v>
      </c>
      <c r="R468" s="61">
        <f t="shared" si="62"/>
        <v>0</v>
      </c>
      <c r="S468" s="61">
        <f t="shared" si="63"/>
        <v>0</v>
      </c>
      <c r="T468" s="61">
        <f t="shared" si="64"/>
        <v>0</v>
      </c>
      <c r="U468" s="61">
        <f t="shared" si="65"/>
        <v>0</v>
      </c>
      <c r="V468" s="61">
        <f t="shared" si="66"/>
        <v>0</v>
      </c>
      <c r="W468" s="61">
        <f t="shared" si="67"/>
        <v>0</v>
      </c>
      <c r="X468" s="61">
        <f t="shared" si="68"/>
        <v>0</v>
      </c>
      <c r="Y468" s="61">
        <f t="shared" si="69"/>
        <v>0</v>
      </c>
      <c r="Z468" s="73"/>
      <c r="AA468" s="73"/>
      <c r="AB468" s="73"/>
      <c r="AC468" s="73"/>
      <c r="AD468" s="73"/>
      <c r="AE468" s="73"/>
      <c r="AF468" s="73"/>
      <c r="AG468" s="73"/>
      <c r="AH468" s="73"/>
      <c r="AI468" s="73"/>
      <c r="AJ468" s="73"/>
    </row>
    <row r="469" spans="2:36">
      <c r="B469" s="67"/>
      <c r="C469" s="225"/>
      <c r="D469" s="225"/>
      <c r="E469" s="68"/>
      <c r="F469" s="68"/>
      <c r="G469" s="69"/>
      <c r="H469" s="69"/>
      <c r="I469" s="72"/>
      <c r="J469" s="71"/>
      <c r="K469" s="68"/>
      <c r="L469" s="68"/>
      <c r="M469" s="68"/>
      <c r="N469" s="68"/>
      <c r="O469" s="68"/>
      <c r="P469" s="61">
        <f t="shared" si="60"/>
        <v>0</v>
      </c>
      <c r="Q469" s="61">
        <f t="shared" si="61"/>
        <v>0</v>
      </c>
      <c r="R469" s="61">
        <f t="shared" si="62"/>
        <v>0</v>
      </c>
      <c r="S469" s="61">
        <f t="shared" si="63"/>
        <v>0</v>
      </c>
      <c r="T469" s="61">
        <f t="shared" si="64"/>
        <v>0</v>
      </c>
      <c r="U469" s="61">
        <f t="shared" si="65"/>
        <v>0</v>
      </c>
      <c r="V469" s="61">
        <f t="shared" si="66"/>
        <v>0</v>
      </c>
      <c r="W469" s="61">
        <f t="shared" si="67"/>
        <v>0</v>
      </c>
      <c r="X469" s="61">
        <f t="shared" si="68"/>
        <v>0</v>
      </c>
      <c r="Y469" s="61">
        <f t="shared" si="69"/>
        <v>0</v>
      </c>
      <c r="Z469" s="73"/>
      <c r="AA469" s="73"/>
      <c r="AB469" s="73"/>
      <c r="AC469" s="73"/>
      <c r="AD469" s="73"/>
      <c r="AE469" s="73"/>
      <c r="AF469" s="73"/>
      <c r="AG469" s="73"/>
      <c r="AH469" s="73"/>
      <c r="AI469" s="73"/>
      <c r="AJ469" s="73"/>
    </row>
    <row r="470" spans="2:36">
      <c r="B470" s="67"/>
      <c r="C470" s="225"/>
      <c r="D470" s="225"/>
      <c r="E470" s="68"/>
      <c r="F470" s="68"/>
      <c r="G470" s="69"/>
      <c r="H470" s="69"/>
      <c r="I470" s="72"/>
      <c r="J470" s="71"/>
      <c r="K470" s="68"/>
      <c r="L470" s="68"/>
      <c r="M470" s="68"/>
      <c r="N470" s="68"/>
      <c r="O470" s="68"/>
      <c r="P470" s="61">
        <f t="shared" si="60"/>
        <v>0</v>
      </c>
      <c r="Q470" s="61">
        <f t="shared" si="61"/>
        <v>0</v>
      </c>
      <c r="R470" s="61">
        <f t="shared" si="62"/>
        <v>0</v>
      </c>
      <c r="S470" s="61">
        <f t="shared" si="63"/>
        <v>0</v>
      </c>
      <c r="T470" s="61">
        <f t="shared" si="64"/>
        <v>0</v>
      </c>
      <c r="U470" s="61">
        <f t="shared" si="65"/>
        <v>0</v>
      </c>
      <c r="V470" s="61">
        <f t="shared" si="66"/>
        <v>0</v>
      </c>
      <c r="W470" s="61">
        <f t="shared" si="67"/>
        <v>0</v>
      </c>
      <c r="X470" s="61">
        <f t="shared" si="68"/>
        <v>0</v>
      </c>
      <c r="Y470" s="61">
        <f t="shared" si="69"/>
        <v>0</v>
      </c>
      <c r="Z470" s="73"/>
      <c r="AA470" s="73"/>
      <c r="AB470" s="73"/>
      <c r="AC470" s="73"/>
      <c r="AD470" s="73"/>
      <c r="AE470" s="73"/>
      <c r="AF470" s="73"/>
      <c r="AG470" s="73"/>
      <c r="AH470" s="73"/>
      <c r="AI470" s="73"/>
      <c r="AJ470" s="73"/>
    </row>
    <row r="471" spans="2:36">
      <c r="B471" s="67"/>
      <c r="C471" s="225"/>
      <c r="D471" s="225"/>
      <c r="E471" s="68"/>
      <c r="F471" s="68"/>
      <c r="G471" s="69"/>
      <c r="H471" s="69"/>
      <c r="I471" s="72"/>
      <c r="J471" s="71"/>
      <c r="K471" s="68"/>
      <c r="L471" s="68"/>
      <c r="M471" s="68"/>
      <c r="N471" s="68"/>
      <c r="O471" s="68"/>
      <c r="P471" s="61">
        <f t="shared" si="60"/>
        <v>0</v>
      </c>
      <c r="Q471" s="61">
        <f t="shared" si="61"/>
        <v>0</v>
      </c>
      <c r="R471" s="61">
        <f t="shared" si="62"/>
        <v>0</v>
      </c>
      <c r="S471" s="61">
        <f t="shared" si="63"/>
        <v>0</v>
      </c>
      <c r="T471" s="61">
        <f t="shared" si="64"/>
        <v>0</v>
      </c>
      <c r="U471" s="61">
        <f t="shared" si="65"/>
        <v>0</v>
      </c>
      <c r="V471" s="61">
        <f t="shared" si="66"/>
        <v>0</v>
      </c>
      <c r="W471" s="61">
        <f t="shared" si="67"/>
        <v>0</v>
      </c>
      <c r="X471" s="61">
        <f t="shared" si="68"/>
        <v>0</v>
      </c>
      <c r="Y471" s="61">
        <f t="shared" si="69"/>
        <v>0</v>
      </c>
      <c r="Z471" s="73"/>
      <c r="AA471" s="73"/>
      <c r="AB471" s="73"/>
      <c r="AC471" s="73"/>
      <c r="AD471" s="73"/>
      <c r="AE471" s="73"/>
      <c r="AF471" s="73"/>
      <c r="AG471" s="73"/>
      <c r="AH471" s="73"/>
      <c r="AI471" s="73"/>
      <c r="AJ471" s="73"/>
    </row>
    <row r="472" spans="2:36">
      <c r="B472" s="67"/>
      <c r="C472" s="225"/>
      <c r="D472" s="225"/>
      <c r="E472" s="68"/>
      <c r="F472" s="68"/>
      <c r="G472" s="69"/>
      <c r="H472" s="69"/>
      <c r="I472" s="72"/>
      <c r="J472" s="71"/>
      <c r="K472" s="68"/>
      <c r="L472" s="68"/>
      <c r="M472" s="68"/>
      <c r="N472" s="68"/>
      <c r="O472" s="68"/>
      <c r="P472" s="61">
        <f t="shared" si="60"/>
        <v>0</v>
      </c>
      <c r="Q472" s="61">
        <f t="shared" si="61"/>
        <v>0</v>
      </c>
      <c r="R472" s="61">
        <f t="shared" si="62"/>
        <v>0</v>
      </c>
      <c r="S472" s="61">
        <f t="shared" si="63"/>
        <v>0</v>
      </c>
      <c r="T472" s="61">
        <f t="shared" si="64"/>
        <v>0</v>
      </c>
      <c r="U472" s="61">
        <f t="shared" si="65"/>
        <v>0</v>
      </c>
      <c r="V472" s="61">
        <f t="shared" si="66"/>
        <v>0</v>
      </c>
      <c r="W472" s="61">
        <f t="shared" si="67"/>
        <v>0</v>
      </c>
      <c r="X472" s="61">
        <f t="shared" si="68"/>
        <v>0</v>
      </c>
      <c r="Y472" s="61">
        <f t="shared" si="69"/>
        <v>0</v>
      </c>
      <c r="Z472" s="73"/>
      <c r="AA472" s="73"/>
      <c r="AB472" s="73"/>
      <c r="AC472" s="73"/>
      <c r="AD472" s="73"/>
      <c r="AE472" s="73"/>
      <c r="AF472" s="73"/>
      <c r="AG472" s="73"/>
      <c r="AH472" s="73"/>
      <c r="AI472" s="73"/>
      <c r="AJ472" s="73"/>
    </row>
    <row r="473" spans="2:36">
      <c r="B473" s="67"/>
      <c r="C473" s="225"/>
      <c r="D473" s="225"/>
      <c r="E473" s="68"/>
      <c r="F473" s="68"/>
      <c r="G473" s="69"/>
      <c r="H473" s="69"/>
      <c r="I473" s="72"/>
      <c r="J473" s="71"/>
      <c r="K473" s="68"/>
      <c r="L473" s="68"/>
      <c r="M473" s="68"/>
      <c r="N473" s="68"/>
      <c r="O473" s="68"/>
      <c r="P473" s="61">
        <f t="shared" si="60"/>
        <v>0</v>
      </c>
      <c r="Q473" s="61">
        <f t="shared" si="61"/>
        <v>0</v>
      </c>
      <c r="R473" s="61">
        <f t="shared" si="62"/>
        <v>0</v>
      </c>
      <c r="S473" s="61">
        <f t="shared" si="63"/>
        <v>0</v>
      </c>
      <c r="T473" s="61">
        <f t="shared" si="64"/>
        <v>0</v>
      </c>
      <c r="U473" s="61">
        <f t="shared" si="65"/>
        <v>0</v>
      </c>
      <c r="V473" s="61">
        <f t="shared" si="66"/>
        <v>0</v>
      </c>
      <c r="W473" s="61">
        <f t="shared" si="67"/>
        <v>0</v>
      </c>
      <c r="X473" s="61">
        <f t="shared" si="68"/>
        <v>0</v>
      </c>
      <c r="Y473" s="61">
        <f t="shared" si="69"/>
        <v>0</v>
      </c>
      <c r="Z473" s="73"/>
      <c r="AA473" s="73"/>
      <c r="AB473" s="73"/>
      <c r="AC473" s="73"/>
      <c r="AD473" s="73"/>
      <c r="AE473" s="73"/>
      <c r="AF473" s="73"/>
      <c r="AG473" s="73"/>
      <c r="AH473" s="73"/>
      <c r="AI473" s="73"/>
      <c r="AJ473" s="73"/>
    </row>
    <row r="474" spans="2:36">
      <c r="B474" s="67"/>
      <c r="C474" s="225"/>
      <c r="D474" s="225"/>
      <c r="E474" s="68"/>
      <c r="F474" s="68"/>
      <c r="G474" s="69"/>
      <c r="H474" s="69"/>
      <c r="I474" s="72"/>
      <c r="J474" s="71"/>
      <c r="K474" s="68"/>
      <c r="L474" s="68"/>
      <c r="M474" s="68"/>
      <c r="N474" s="68"/>
      <c r="O474" s="68"/>
      <c r="P474" s="61">
        <f t="shared" si="60"/>
        <v>0</v>
      </c>
      <c r="Q474" s="61">
        <f t="shared" si="61"/>
        <v>0</v>
      </c>
      <c r="R474" s="61">
        <f t="shared" si="62"/>
        <v>0</v>
      </c>
      <c r="S474" s="61">
        <f t="shared" si="63"/>
        <v>0</v>
      </c>
      <c r="T474" s="61">
        <f t="shared" si="64"/>
        <v>0</v>
      </c>
      <c r="U474" s="61">
        <f t="shared" si="65"/>
        <v>0</v>
      </c>
      <c r="V474" s="61">
        <f t="shared" si="66"/>
        <v>0</v>
      </c>
      <c r="W474" s="61">
        <f t="shared" si="67"/>
        <v>0</v>
      </c>
      <c r="X474" s="61">
        <f t="shared" si="68"/>
        <v>0</v>
      </c>
      <c r="Y474" s="61">
        <f t="shared" si="69"/>
        <v>0</v>
      </c>
      <c r="Z474" s="73"/>
      <c r="AA474" s="73"/>
      <c r="AB474" s="73"/>
      <c r="AC474" s="73"/>
      <c r="AD474" s="73"/>
      <c r="AE474" s="73"/>
      <c r="AF474" s="73"/>
      <c r="AG474" s="73"/>
      <c r="AH474" s="73"/>
      <c r="AI474" s="73"/>
      <c r="AJ474" s="73"/>
    </row>
    <row r="475" spans="2:36">
      <c r="B475" s="67"/>
      <c r="C475" s="225"/>
      <c r="D475" s="225"/>
      <c r="E475" s="68"/>
      <c r="F475" s="68"/>
      <c r="G475" s="69"/>
      <c r="H475" s="69"/>
      <c r="I475" s="72"/>
      <c r="J475" s="71"/>
      <c r="K475" s="68"/>
      <c r="L475" s="68"/>
      <c r="M475" s="68"/>
      <c r="N475" s="68"/>
      <c r="O475" s="68"/>
      <c r="P475" s="61">
        <f t="shared" si="60"/>
        <v>0</v>
      </c>
      <c r="Q475" s="61">
        <f t="shared" si="61"/>
        <v>0</v>
      </c>
      <c r="R475" s="61">
        <f t="shared" si="62"/>
        <v>0</v>
      </c>
      <c r="S475" s="61">
        <f t="shared" si="63"/>
        <v>0</v>
      </c>
      <c r="T475" s="61">
        <f t="shared" si="64"/>
        <v>0</v>
      </c>
      <c r="U475" s="61">
        <f t="shared" si="65"/>
        <v>0</v>
      </c>
      <c r="V475" s="61">
        <f t="shared" si="66"/>
        <v>0</v>
      </c>
      <c r="W475" s="61">
        <f t="shared" si="67"/>
        <v>0</v>
      </c>
      <c r="X475" s="61">
        <f t="shared" si="68"/>
        <v>0</v>
      </c>
      <c r="Y475" s="61">
        <f t="shared" si="69"/>
        <v>0</v>
      </c>
      <c r="Z475" s="73"/>
      <c r="AA475" s="73"/>
      <c r="AB475" s="73"/>
      <c r="AC475" s="73"/>
      <c r="AD475" s="73"/>
      <c r="AE475" s="73"/>
      <c r="AF475" s="73"/>
      <c r="AG475" s="73"/>
      <c r="AH475" s="73"/>
      <c r="AI475" s="73"/>
      <c r="AJ475" s="73"/>
    </row>
    <row r="476" spans="2:36">
      <c r="B476" s="67"/>
      <c r="C476" s="225"/>
      <c r="D476" s="225"/>
      <c r="E476" s="68"/>
      <c r="F476" s="68"/>
      <c r="G476" s="69"/>
      <c r="H476" s="69"/>
      <c r="I476" s="72"/>
      <c r="J476" s="71"/>
      <c r="K476" s="68"/>
      <c r="L476" s="68"/>
      <c r="M476" s="68"/>
      <c r="N476" s="68"/>
      <c r="O476" s="68"/>
      <c r="P476" s="61">
        <f t="shared" si="60"/>
        <v>0</v>
      </c>
      <c r="Q476" s="61">
        <f t="shared" si="61"/>
        <v>0</v>
      </c>
      <c r="R476" s="61">
        <f t="shared" si="62"/>
        <v>0</v>
      </c>
      <c r="S476" s="61">
        <f t="shared" si="63"/>
        <v>0</v>
      </c>
      <c r="T476" s="61">
        <f t="shared" si="64"/>
        <v>0</v>
      </c>
      <c r="U476" s="61">
        <f t="shared" si="65"/>
        <v>0</v>
      </c>
      <c r="V476" s="61">
        <f t="shared" si="66"/>
        <v>0</v>
      </c>
      <c r="W476" s="61">
        <f t="shared" si="67"/>
        <v>0</v>
      </c>
      <c r="X476" s="61">
        <f t="shared" si="68"/>
        <v>0</v>
      </c>
      <c r="Y476" s="61">
        <f t="shared" si="69"/>
        <v>0</v>
      </c>
      <c r="Z476" s="73"/>
      <c r="AA476" s="73"/>
      <c r="AB476" s="73"/>
      <c r="AC476" s="73"/>
      <c r="AD476" s="73"/>
      <c r="AE476" s="73"/>
      <c r="AF476" s="73"/>
      <c r="AG476" s="73"/>
      <c r="AH476" s="73"/>
      <c r="AI476" s="73"/>
      <c r="AJ476" s="73"/>
    </row>
    <row r="477" spans="2:36">
      <c r="B477" s="67"/>
      <c r="C477" s="225"/>
      <c r="D477" s="225"/>
      <c r="E477" s="68"/>
      <c r="F477" s="68"/>
      <c r="G477" s="69"/>
      <c r="H477" s="69"/>
      <c r="I477" s="72"/>
      <c r="J477" s="71"/>
      <c r="K477" s="68"/>
      <c r="L477" s="68"/>
      <c r="M477" s="68"/>
      <c r="N477" s="68"/>
      <c r="O477" s="68"/>
      <c r="P477" s="61">
        <f t="shared" si="60"/>
        <v>0</v>
      </c>
      <c r="Q477" s="61">
        <f t="shared" si="61"/>
        <v>0</v>
      </c>
      <c r="R477" s="61">
        <f t="shared" si="62"/>
        <v>0</v>
      </c>
      <c r="S477" s="61">
        <f t="shared" si="63"/>
        <v>0</v>
      </c>
      <c r="T477" s="61">
        <f t="shared" si="64"/>
        <v>0</v>
      </c>
      <c r="U477" s="61">
        <f t="shared" si="65"/>
        <v>0</v>
      </c>
      <c r="V477" s="61">
        <f t="shared" si="66"/>
        <v>0</v>
      </c>
      <c r="W477" s="61">
        <f t="shared" si="67"/>
        <v>0</v>
      </c>
      <c r="X477" s="61">
        <f t="shared" si="68"/>
        <v>0</v>
      </c>
      <c r="Y477" s="61">
        <f t="shared" si="69"/>
        <v>0</v>
      </c>
      <c r="Z477" s="73"/>
      <c r="AA477" s="73"/>
      <c r="AB477" s="73"/>
      <c r="AC477" s="73"/>
      <c r="AD477" s="73"/>
      <c r="AE477" s="73"/>
      <c r="AF477" s="73"/>
      <c r="AG477" s="73"/>
      <c r="AH477" s="73"/>
      <c r="AI477" s="73"/>
      <c r="AJ477" s="73"/>
    </row>
    <row r="478" spans="2:36">
      <c r="B478" s="67"/>
      <c r="C478" s="225"/>
      <c r="D478" s="225"/>
      <c r="E478" s="68"/>
      <c r="F478" s="68"/>
      <c r="G478" s="69"/>
      <c r="H478" s="69"/>
      <c r="I478" s="72"/>
      <c r="J478" s="71"/>
      <c r="K478" s="68"/>
      <c r="L478" s="68"/>
      <c r="M478" s="68"/>
      <c r="N478" s="68"/>
      <c r="O478" s="68"/>
      <c r="P478" s="61">
        <f t="shared" si="60"/>
        <v>0</v>
      </c>
      <c r="Q478" s="61">
        <f t="shared" si="61"/>
        <v>0</v>
      </c>
      <c r="R478" s="61">
        <f t="shared" si="62"/>
        <v>0</v>
      </c>
      <c r="S478" s="61">
        <f t="shared" si="63"/>
        <v>0</v>
      </c>
      <c r="T478" s="61">
        <f t="shared" si="64"/>
        <v>0</v>
      </c>
      <c r="U478" s="61">
        <f t="shared" si="65"/>
        <v>0</v>
      </c>
      <c r="V478" s="61">
        <f t="shared" si="66"/>
        <v>0</v>
      </c>
      <c r="W478" s="61">
        <f t="shared" si="67"/>
        <v>0</v>
      </c>
      <c r="X478" s="61">
        <f t="shared" si="68"/>
        <v>0</v>
      </c>
      <c r="Y478" s="61">
        <f t="shared" si="69"/>
        <v>0</v>
      </c>
      <c r="Z478" s="73"/>
      <c r="AA478" s="73"/>
      <c r="AB478" s="73"/>
      <c r="AC478" s="73"/>
      <c r="AD478" s="73"/>
      <c r="AE478" s="73"/>
      <c r="AF478" s="73"/>
      <c r="AG478" s="73"/>
      <c r="AH478" s="73"/>
      <c r="AI478" s="73"/>
      <c r="AJ478" s="73"/>
    </row>
    <row r="479" spans="2:36">
      <c r="B479" s="67"/>
      <c r="C479" s="225"/>
      <c r="D479" s="225"/>
      <c r="E479" s="68"/>
      <c r="F479" s="68"/>
      <c r="G479" s="69"/>
      <c r="H479" s="69"/>
      <c r="I479" s="72"/>
      <c r="J479" s="71"/>
      <c r="K479" s="68"/>
      <c r="L479" s="68"/>
      <c r="M479" s="68"/>
      <c r="N479" s="68"/>
      <c r="O479" s="68"/>
      <c r="P479" s="61">
        <f t="shared" si="60"/>
        <v>0</v>
      </c>
      <c r="Q479" s="61">
        <f t="shared" si="61"/>
        <v>0</v>
      </c>
      <c r="R479" s="61">
        <f t="shared" si="62"/>
        <v>0</v>
      </c>
      <c r="S479" s="61">
        <f t="shared" si="63"/>
        <v>0</v>
      </c>
      <c r="T479" s="61">
        <f t="shared" si="64"/>
        <v>0</v>
      </c>
      <c r="U479" s="61">
        <f t="shared" si="65"/>
        <v>0</v>
      </c>
      <c r="V479" s="61">
        <f t="shared" si="66"/>
        <v>0</v>
      </c>
      <c r="W479" s="61">
        <f t="shared" si="67"/>
        <v>0</v>
      </c>
      <c r="X479" s="61">
        <f t="shared" si="68"/>
        <v>0</v>
      </c>
      <c r="Y479" s="61">
        <f t="shared" si="69"/>
        <v>0</v>
      </c>
      <c r="Z479" s="73"/>
      <c r="AA479" s="73"/>
      <c r="AB479" s="73"/>
      <c r="AC479" s="73"/>
      <c r="AD479" s="73"/>
      <c r="AE479" s="73"/>
      <c r="AF479" s="73"/>
      <c r="AG479" s="73"/>
      <c r="AH479" s="73"/>
      <c r="AI479" s="73"/>
      <c r="AJ479" s="73"/>
    </row>
    <row r="480" spans="2:36">
      <c r="B480" s="67"/>
      <c r="C480" s="225"/>
      <c r="D480" s="225"/>
      <c r="E480" s="68"/>
      <c r="F480" s="68"/>
      <c r="G480" s="69"/>
      <c r="H480" s="69"/>
      <c r="I480" s="72"/>
      <c r="J480" s="71"/>
      <c r="K480" s="68"/>
      <c r="L480" s="68"/>
      <c r="M480" s="68"/>
      <c r="N480" s="68"/>
      <c r="O480" s="68"/>
      <c r="P480" s="61">
        <f t="shared" ref="P480:P533" si="70">IF(H480="REJ",1,0)</f>
        <v>0</v>
      </c>
      <c r="Q480" s="61">
        <f t="shared" ref="Q480:Q533" si="71">IF(J480="",0,1)</f>
        <v>0</v>
      </c>
      <c r="R480" s="61">
        <f t="shared" si="62"/>
        <v>0</v>
      </c>
      <c r="S480" s="61">
        <f t="shared" si="63"/>
        <v>0</v>
      </c>
      <c r="T480" s="61">
        <f t="shared" si="64"/>
        <v>0</v>
      </c>
      <c r="U480" s="61">
        <f t="shared" si="65"/>
        <v>0</v>
      </c>
      <c r="V480" s="61">
        <f t="shared" si="66"/>
        <v>0</v>
      </c>
      <c r="W480" s="61">
        <f t="shared" si="67"/>
        <v>0</v>
      </c>
      <c r="X480" s="61">
        <f t="shared" si="68"/>
        <v>0</v>
      </c>
      <c r="Y480" s="61">
        <f t="shared" si="69"/>
        <v>0</v>
      </c>
      <c r="Z480" s="73"/>
      <c r="AA480" s="73"/>
      <c r="AB480" s="73"/>
      <c r="AC480" s="73"/>
      <c r="AD480" s="73"/>
      <c r="AE480" s="73"/>
      <c r="AF480" s="73"/>
      <c r="AG480" s="73"/>
      <c r="AH480" s="73"/>
      <c r="AI480" s="73"/>
      <c r="AJ480" s="73"/>
    </row>
    <row r="481" spans="2:36">
      <c r="B481" s="67"/>
      <c r="C481" s="225"/>
      <c r="D481" s="225"/>
      <c r="E481" s="68"/>
      <c r="F481" s="68"/>
      <c r="G481" s="69"/>
      <c r="H481" s="69"/>
      <c r="I481" s="72"/>
      <c r="J481" s="71"/>
      <c r="K481" s="68"/>
      <c r="L481" s="68"/>
      <c r="M481" s="68"/>
      <c r="N481" s="68"/>
      <c r="O481" s="68"/>
      <c r="P481" s="61">
        <f t="shared" si="70"/>
        <v>0</v>
      </c>
      <c r="Q481" s="61">
        <f t="shared" si="71"/>
        <v>0</v>
      </c>
      <c r="R481" s="61">
        <f t="shared" ref="R481:R533" si="72">IF(OR(H481="REJ"),IF(J481="",1,0),0)</f>
        <v>0</v>
      </c>
      <c r="S481" s="61">
        <f t="shared" ref="S481:S533" si="73">IF(E481="CR",1,0)</f>
        <v>0</v>
      </c>
      <c r="T481" s="61">
        <f t="shared" ref="T481:T533" si="74">IF(J481="",0,1)</f>
        <v>0</v>
      </c>
      <c r="U481" s="61">
        <f t="shared" ref="U481:U544" si="75">IF(OR(E481="CR",E481="MA",E481="E"),IF(J481="",1,0),0)</f>
        <v>0</v>
      </c>
      <c r="V481" s="61">
        <f t="shared" ref="V481:V544" si="76">IF(H481="ACC",1,0)</f>
        <v>0</v>
      </c>
      <c r="W481" s="61">
        <f t="shared" ref="W481:W544" si="77">IF(K481="",0,1)</f>
        <v>0</v>
      </c>
      <c r="X481" s="61">
        <f t="shared" ref="X481:X544" si="78">IF(AND(H481="ACC"),IF(K481="",1,0),0)</f>
        <v>0</v>
      </c>
      <c r="Y481" s="61">
        <f t="shared" ref="Y481:Y544" si="79">IF(AND(H481="ACC"),IF(M481="",1,0),0)</f>
        <v>0</v>
      </c>
      <c r="Z481" s="73"/>
      <c r="AA481" s="73"/>
      <c r="AB481" s="73"/>
      <c r="AC481" s="73"/>
      <c r="AD481" s="73"/>
      <c r="AE481" s="73"/>
      <c r="AF481" s="73"/>
      <c r="AG481" s="73"/>
      <c r="AH481" s="73"/>
      <c r="AI481" s="73"/>
      <c r="AJ481" s="73"/>
    </row>
    <row r="482" spans="2:36">
      <c r="B482" s="67"/>
      <c r="C482" s="225"/>
      <c r="D482" s="225"/>
      <c r="E482" s="68"/>
      <c r="F482" s="68"/>
      <c r="G482" s="69"/>
      <c r="H482" s="69"/>
      <c r="I482" s="72"/>
      <c r="J482" s="71"/>
      <c r="K482" s="68"/>
      <c r="L482" s="68"/>
      <c r="M482" s="68"/>
      <c r="N482" s="68"/>
      <c r="O482" s="68"/>
      <c r="P482" s="61">
        <f t="shared" si="70"/>
        <v>0</v>
      </c>
      <c r="Q482" s="61">
        <f t="shared" si="71"/>
        <v>0</v>
      </c>
      <c r="R482" s="61">
        <f t="shared" si="72"/>
        <v>0</v>
      </c>
      <c r="S482" s="61">
        <f t="shared" si="73"/>
        <v>0</v>
      </c>
      <c r="T482" s="61">
        <f t="shared" si="74"/>
        <v>0</v>
      </c>
      <c r="U482" s="61">
        <f t="shared" si="75"/>
        <v>0</v>
      </c>
      <c r="V482" s="61">
        <f t="shared" si="76"/>
        <v>0</v>
      </c>
      <c r="W482" s="61">
        <f t="shared" si="77"/>
        <v>0</v>
      </c>
      <c r="X482" s="61">
        <f t="shared" si="78"/>
        <v>0</v>
      </c>
      <c r="Y482" s="61">
        <f t="shared" si="79"/>
        <v>0</v>
      </c>
      <c r="Z482" s="73"/>
      <c r="AA482" s="73"/>
      <c r="AB482" s="73"/>
      <c r="AC482" s="73"/>
      <c r="AD482" s="73"/>
      <c r="AE482" s="73"/>
      <c r="AF482" s="73"/>
      <c r="AG482" s="73"/>
      <c r="AH482" s="73"/>
      <c r="AI482" s="73"/>
      <c r="AJ482" s="73"/>
    </row>
    <row r="483" spans="2:36">
      <c r="B483" s="67"/>
      <c r="C483" s="225"/>
      <c r="D483" s="225"/>
      <c r="E483" s="68"/>
      <c r="F483" s="68"/>
      <c r="G483" s="69"/>
      <c r="H483" s="69"/>
      <c r="I483" s="72"/>
      <c r="J483" s="71"/>
      <c r="K483" s="68"/>
      <c r="L483" s="68"/>
      <c r="M483" s="68"/>
      <c r="N483" s="68"/>
      <c r="O483" s="68"/>
      <c r="P483" s="61">
        <f t="shared" si="70"/>
        <v>0</v>
      </c>
      <c r="Q483" s="61">
        <f t="shared" si="71"/>
        <v>0</v>
      </c>
      <c r="R483" s="61">
        <f t="shared" si="72"/>
        <v>0</v>
      </c>
      <c r="S483" s="61">
        <f t="shared" si="73"/>
        <v>0</v>
      </c>
      <c r="T483" s="61">
        <f t="shared" si="74"/>
        <v>0</v>
      </c>
      <c r="U483" s="61">
        <f t="shared" si="75"/>
        <v>0</v>
      </c>
      <c r="V483" s="61">
        <f t="shared" si="76"/>
        <v>0</v>
      </c>
      <c r="W483" s="61">
        <f t="shared" si="77"/>
        <v>0</v>
      </c>
      <c r="X483" s="61">
        <f t="shared" si="78"/>
        <v>0</v>
      </c>
      <c r="Y483" s="61">
        <f t="shared" si="79"/>
        <v>0</v>
      </c>
      <c r="Z483" s="73"/>
      <c r="AA483" s="73"/>
      <c r="AB483" s="73"/>
      <c r="AC483" s="73"/>
      <c r="AD483" s="73"/>
      <c r="AE483" s="73"/>
      <c r="AF483" s="73"/>
      <c r="AG483" s="73"/>
      <c r="AH483" s="73"/>
      <c r="AI483" s="73"/>
      <c r="AJ483" s="73"/>
    </row>
    <row r="484" spans="2:36">
      <c r="B484" s="67"/>
      <c r="C484" s="225"/>
      <c r="D484" s="225"/>
      <c r="E484" s="68"/>
      <c r="F484" s="68"/>
      <c r="G484" s="69"/>
      <c r="H484" s="69"/>
      <c r="I484" s="72"/>
      <c r="J484" s="71"/>
      <c r="K484" s="68"/>
      <c r="L484" s="68"/>
      <c r="M484" s="68"/>
      <c r="N484" s="68"/>
      <c r="O484" s="68"/>
      <c r="P484" s="61">
        <f t="shared" si="70"/>
        <v>0</v>
      </c>
      <c r="Q484" s="61">
        <f t="shared" si="71"/>
        <v>0</v>
      </c>
      <c r="R484" s="61">
        <f t="shared" si="72"/>
        <v>0</v>
      </c>
      <c r="S484" s="61">
        <f t="shared" si="73"/>
        <v>0</v>
      </c>
      <c r="T484" s="61">
        <f t="shared" si="74"/>
        <v>0</v>
      </c>
      <c r="U484" s="61">
        <f t="shared" si="75"/>
        <v>0</v>
      </c>
      <c r="V484" s="61">
        <f t="shared" si="76"/>
        <v>0</v>
      </c>
      <c r="W484" s="61">
        <f t="shared" si="77"/>
        <v>0</v>
      </c>
      <c r="X484" s="61">
        <f t="shared" si="78"/>
        <v>0</v>
      </c>
      <c r="Y484" s="61">
        <f t="shared" si="79"/>
        <v>0</v>
      </c>
      <c r="Z484" s="73"/>
      <c r="AA484" s="73"/>
      <c r="AB484" s="73"/>
      <c r="AC484" s="73"/>
      <c r="AD484" s="73"/>
      <c r="AE484" s="73"/>
      <c r="AF484" s="73"/>
      <c r="AG484" s="73"/>
      <c r="AH484" s="73"/>
      <c r="AI484" s="73"/>
      <c r="AJ484" s="73"/>
    </row>
    <row r="485" spans="2:36">
      <c r="B485" s="67"/>
      <c r="C485" s="225"/>
      <c r="D485" s="225"/>
      <c r="E485" s="68"/>
      <c r="F485" s="68"/>
      <c r="G485" s="69"/>
      <c r="H485" s="69"/>
      <c r="I485" s="72"/>
      <c r="J485" s="71"/>
      <c r="K485" s="68"/>
      <c r="L485" s="68"/>
      <c r="M485" s="68"/>
      <c r="N485" s="68"/>
      <c r="O485" s="68"/>
      <c r="P485" s="61">
        <f t="shared" si="70"/>
        <v>0</v>
      </c>
      <c r="Q485" s="61">
        <f t="shared" si="71"/>
        <v>0</v>
      </c>
      <c r="R485" s="61">
        <f t="shared" si="72"/>
        <v>0</v>
      </c>
      <c r="S485" s="61">
        <f t="shared" si="73"/>
        <v>0</v>
      </c>
      <c r="T485" s="61">
        <f t="shared" si="74"/>
        <v>0</v>
      </c>
      <c r="U485" s="61">
        <f t="shared" si="75"/>
        <v>0</v>
      </c>
      <c r="V485" s="61">
        <f t="shared" si="76"/>
        <v>0</v>
      </c>
      <c r="W485" s="61">
        <f t="shared" si="77"/>
        <v>0</v>
      </c>
      <c r="X485" s="61">
        <f t="shared" si="78"/>
        <v>0</v>
      </c>
      <c r="Y485" s="61">
        <f t="shared" si="79"/>
        <v>0</v>
      </c>
      <c r="Z485" s="73"/>
      <c r="AA485" s="73"/>
      <c r="AB485" s="73"/>
      <c r="AC485" s="73"/>
      <c r="AD485" s="73"/>
      <c r="AE485" s="73"/>
      <c r="AF485" s="73"/>
      <c r="AG485" s="73"/>
      <c r="AH485" s="73"/>
      <c r="AI485" s="73"/>
      <c r="AJ485" s="73"/>
    </row>
    <row r="486" spans="2:36">
      <c r="B486" s="67"/>
      <c r="C486" s="225"/>
      <c r="D486" s="225"/>
      <c r="E486" s="68"/>
      <c r="F486" s="68"/>
      <c r="G486" s="69"/>
      <c r="H486" s="69"/>
      <c r="I486" s="72"/>
      <c r="J486" s="71"/>
      <c r="K486" s="68"/>
      <c r="L486" s="68"/>
      <c r="M486" s="68"/>
      <c r="N486" s="68"/>
      <c r="O486" s="68"/>
      <c r="P486" s="61">
        <f t="shared" si="70"/>
        <v>0</v>
      </c>
      <c r="Q486" s="61">
        <f t="shared" si="71"/>
        <v>0</v>
      </c>
      <c r="R486" s="61">
        <f t="shared" si="72"/>
        <v>0</v>
      </c>
      <c r="S486" s="61">
        <f t="shared" si="73"/>
        <v>0</v>
      </c>
      <c r="T486" s="61">
        <f t="shared" si="74"/>
        <v>0</v>
      </c>
      <c r="U486" s="61">
        <f t="shared" si="75"/>
        <v>0</v>
      </c>
      <c r="V486" s="61">
        <f t="shared" si="76"/>
        <v>0</v>
      </c>
      <c r="W486" s="61">
        <f t="shared" si="77"/>
        <v>0</v>
      </c>
      <c r="X486" s="61">
        <f t="shared" si="78"/>
        <v>0</v>
      </c>
      <c r="Y486" s="61">
        <f t="shared" si="79"/>
        <v>0</v>
      </c>
      <c r="Z486" s="73"/>
      <c r="AA486" s="73"/>
      <c r="AB486" s="73"/>
      <c r="AC486" s="73"/>
      <c r="AD486" s="73"/>
      <c r="AE486" s="73"/>
      <c r="AF486" s="73"/>
      <c r="AG486" s="73"/>
      <c r="AH486" s="73"/>
      <c r="AI486" s="73"/>
      <c r="AJ486" s="73"/>
    </row>
    <row r="487" spans="2:36">
      <c r="B487" s="67"/>
      <c r="C487" s="225"/>
      <c r="D487" s="225"/>
      <c r="E487" s="68"/>
      <c r="F487" s="68"/>
      <c r="G487" s="69"/>
      <c r="H487" s="69"/>
      <c r="I487" s="72"/>
      <c r="J487" s="71"/>
      <c r="K487" s="68"/>
      <c r="L487" s="68"/>
      <c r="M487" s="68"/>
      <c r="N487" s="68"/>
      <c r="O487" s="68"/>
      <c r="P487" s="61">
        <f t="shared" si="70"/>
        <v>0</v>
      </c>
      <c r="Q487" s="61">
        <f t="shared" si="71"/>
        <v>0</v>
      </c>
      <c r="R487" s="61">
        <f t="shared" si="72"/>
        <v>0</v>
      </c>
      <c r="S487" s="61">
        <f t="shared" si="73"/>
        <v>0</v>
      </c>
      <c r="T487" s="61">
        <f t="shared" si="74"/>
        <v>0</v>
      </c>
      <c r="U487" s="61">
        <f t="shared" si="75"/>
        <v>0</v>
      </c>
      <c r="V487" s="61">
        <f t="shared" si="76"/>
        <v>0</v>
      </c>
      <c r="W487" s="61">
        <f t="shared" si="77"/>
        <v>0</v>
      </c>
      <c r="X487" s="61">
        <f t="shared" si="78"/>
        <v>0</v>
      </c>
      <c r="Y487" s="61">
        <f t="shared" si="79"/>
        <v>0</v>
      </c>
      <c r="Z487" s="73"/>
      <c r="AA487" s="73"/>
      <c r="AB487" s="73"/>
      <c r="AC487" s="73"/>
      <c r="AD487" s="73"/>
      <c r="AE487" s="73"/>
      <c r="AF487" s="73"/>
      <c r="AG487" s="73"/>
      <c r="AH487" s="73"/>
      <c r="AI487" s="73"/>
      <c r="AJ487" s="73"/>
    </row>
    <row r="488" spans="2:36">
      <c r="B488" s="67"/>
      <c r="C488" s="225"/>
      <c r="D488" s="225"/>
      <c r="E488" s="68"/>
      <c r="F488" s="68"/>
      <c r="G488" s="69"/>
      <c r="H488" s="69"/>
      <c r="I488" s="72"/>
      <c r="J488" s="71"/>
      <c r="K488" s="68"/>
      <c r="L488" s="68"/>
      <c r="M488" s="68"/>
      <c r="N488" s="68"/>
      <c r="O488" s="68"/>
      <c r="P488" s="61">
        <f t="shared" si="70"/>
        <v>0</v>
      </c>
      <c r="Q488" s="61">
        <f t="shared" si="71"/>
        <v>0</v>
      </c>
      <c r="R488" s="61">
        <f t="shared" si="72"/>
        <v>0</v>
      </c>
      <c r="S488" s="61">
        <f t="shared" si="73"/>
        <v>0</v>
      </c>
      <c r="T488" s="61">
        <f t="shared" si="74"/>
        <v>0</v>
      </c>
      <c r="U488" s="61">
        <f t="shared" si="75"/>
        <v>0</v>
      </c>
      <c r="V488" s="61">
        <f t="shared" si="76"/>
        <v>0</v>
      </c>
      <c r="W488" s="61">
        <f t="shared" si="77"/>
        <v>0</v>
      </c>
      <c r="X488" s="61">
        <f t="shared" si="78"/>
        <v>0</v>
      </c>
      <c r="Y488" s="61">
        <f t="shared" si="79"/>
        <v>0</v>
      </c>
      <c r="Z488" s="73"/>
      <c r="AA488" s="73"/>
      <c r="AB488" s="73"/>
      <c r="AC488" s="73"/>
      <c r="AD488" s="73"/>
      <c r="AE488" s="73"/>
      <c r="AF488" s="73"/>
      <c r="AG488" s="73"/>
      <c r="AH488" s="73"/>
      <c r="AI488" s="73"/>
      <c r="AJ488" s="73"/>
    </row>
    <row r="489" spans="2:36">
      <c r="B489" s="67"/>
      <c r="C489" s="225"/>
      <c r="D489" s="225"/>
      <c r="E489" s="68"/>
      <c r="F489" s="68"/>
      <c r="G489" s="69"/>
      <c r="H489" s="69"/>
      <c r="I489" s="72"/>
      <c r="J489" s="71"/>
      <c r="K489" s="68"/>
      <c r="L489" s="68"/>
      <c r="M489" s="68"/>
      <c r="N489" s="68"/>
      <c r="O489" s="68"/>
      <c r="P489" s="61">
        <f t="shared" si="70"/>
        <v>0</v>
      </c>
      <c r="Q489" s="61">
        <f t="shared" si="71"/>
        <v>0</v>
      </c>
      <c r="R489" s="61">
        <f t="shared" si="72"/>
        <v>0</v>
      </c>
      <c r="S489" s="61">
        <f t="shared" si="73"/>
        <v>0</v>
      </c>
      <c r="T489" s="61">
        <f t="shared" si="74"/>
        <v>0</v>
      </c>
      <c r="U489" s="61">
        <f t="shared" si="75"/>
        <v>0</v>
      </c>
      <c r="V489" s="61">
        <f t="shared" si="76"/>
        <v>0</v>
      </c>
      <c r="W489" s="61">
        <f t="shared" si="77"/>
        <v>0</v>
      </c>
      <c r="X489" s="61">
        <f t="shared" si="78"/>
        <v>0</v>
      </c>
      <c r="Y489" s="61">
        <f t="shared" si="79"/>
        <v>0</v>
      </c>
      <c r="Z489" s="73"/>
      <c r="AA489" s="73"/>
      <c r="AB489" s="73"/>
      <c r="AC489" s="73"/>
      <c r="AD489" s="73"/>
      <c r="AE489" s="73"/>
      <c r="AF489" s="73"/>
      <c r="AG489" s="73"/>
      <c r="AH489" s="73"/>
      <c r="AI489" s="73"/>
      <c r="AJ489" s="73"/>
    </row>
    <row r="490" spans="2:36">
      <c r="B490" s="67"/>
      <c r="C490" s="225"/>
      <c r="D490" s="225"/>
      <c r="E490" s="68"/>
      <c r="F490" s="68"/>
      <c r="G490" s="69"/>
      <c r="H490" s="69"/>
      <c r="I490" s="72"/>
      <c r="J490" s="71"/>
      <c r="K490" s="68"/>
      <c r="L490" s="68"/>
      <c r="M490" s="68"/>
      <c r="N490" s="68"/>
      <c r="O490" s="68"/>
      <c r="P490" s="61">
        <f t="shared" si="70"/>
        <v>0</v>
      </c>
      <c r="Q490" s="61">
        <f t="shared" si="71"/>
        <v>0</v>
      </c>
      <c r="R490" s="61">
        <f t="shared" si="72"/>
        <v>0</v>
      </c>
      <c r="S490" s="61">
        <f t="shared" si="73"/>
        <v>0</v>
      </c>
      <c r="T490" s="61">
        <f t="shared" si="74"/>
        <v>0</v>
      </c>
      <c r="U490" s="61">
        <f t="shared" si="75"/>
        <v>0</v>
      </c>
      <c r="V490" s="61">
        <f t="shared" si="76"/>
        <v>0</v>
      </c>
      <c r="W490" s="61">
        <f t="shared" si="77"/>
        <v>0</v>
      </c>
      <c r="X490" s="61">
        <f t="shared" si="78"/>
        <v>0</v>
      </c>
      <c r="Y490" s="61">
        <f t="shared" si="79"/>
        <v>0</v>
      </c>
      <c r="Z490" s="73"/>
      <c r="AA490" s="73"/>
      <c r="AB490" s="73"/>
      <c r="AC490" s="73"/>
      <c r="AD490" s="73"/>
      <c r="AE490" s="73"/>
      <c r="AF490" s="73"/>
      <c r="AG490" s="73"/>
      <c r="AH490" s="73"/>
      <c r="AI490" s="73"/>
      <c r="AJ490" s="73"/>
    </row>
    <row r="491" spans="2:36">
      <c r="B491" s="67"/>
      <c r="C491" s="225"/>
      <c r="D491" s="225"/>
      <c r="E491" s="68"/>
      <c r="F491" s="68"/>
      <c r="G491" s="69"/>
      <c r="H491" s="69"/>
      <c r="I491" s="72"/>
      <c r="J491" s="71"/>
      <c r="K491" s="68"/>
      <c r="L491" s="68"/>
      <c r="M491" s="68"/>
      <c r="N491" s="68"/>
      <c r="O491" s="68"/>
      <c r="P491" s="61">
        <f t="shared" si="70"/>
        <v>0</v>
      </c>
      <c r="Q491" s="61">
        <f t="shared" si="71"/>
        <v>0</v>
      </c>
      <c r="R491" s="61">
        <f t="shared" si="72"/>
        <v>0</v>
      </c>
      <c r="S491" s="61">
        <f t="shared" si="73"/>
        <v>0</v>
      </c>
      <c r="T491" s="61">
        <f t="shared" si="74"/>
        <v>0</v>
      </c>
      <c r="U491" s="61">
        <f t="shared" si="75"/>
        <v>0</v>
      </c>
      <c r="V491" s="61">
        <f t="shared" si="76"/>
        <v>0</v>
      </c>
      <c r="W491" s="61">
        <f t="shared" si="77"/>
        <v>0</v>
      </c>
      <c r="X491" s="61">
        <f t="shared" si="78"/>
        <v>0</v>
      </c>
      <c r="Y491" s="61">
        <f t="shared" si="79"/>
        <v>0</v>
      </c>
      <c r="Z491" s="73"/>
      <c r="AA491" s="73"/>
      <c r="AB491" s="73"/>
      <c r="AC491" s="73"/>
      <c r="AD491" s="73"/>
      <c r="AE491" s="73"/>
      <c r="AF491" s="73"/>
      <c r="AG491" s="73"/>
      <c r="AH491" s="73"/>
      <c r="AI491" s="73"/>
      <c r="AJ491" s="73"/>
    </row>
    <row r="492" spans="2:36">
      <c r="B492" s="67"/>
      <c r="C492" s="225"/>
      <c r="D492" s="225"/>
      <c r="E492" s="68"/>
      <c r="F492" s="68"/>
      <c r="G492" s="69"/>
      <c r="H492" s="69"/>
      <c r="I492" s="72"/>
      <c r="J492" s="71"/>
      <c r="K492" s="68"/>
      <c r="L492" s="68"/>
      <c r="M492" s="68"/>
      <c r="N492" s="68"/>
      <c r="O492" s="68"/>
      <c r="P492" s="61">
        <f t="shared" si="70"/>
        <v>0</v>
      </c>
      <c r="Q492" s="61">
        <f t="shared" si="71"/>
        <v>0</v>
      </c>
      <c r="R492" s="61">
        <f t="shared" si="72"/>
        <v>0</v>
      </c>
      <c r="S492" s="61">
        <f t="shared" si="73"/>
        <v>0</v>
      </c>
      <c r="T492" s="61">
        <f t="shared" si="74"/>
        <v>0</v>
      </c>
      <c r="U492" s="61">
        <f t="shared" si="75"/>
        <v>0</v>
      </c>
      <c r="V492" s="61">
        <f t="shared" si="76"/>
        <v>0</v>
      </c>
      <c r="W492" s="61">
        <f t="shared" si="77"/>
        <v>0</v>
      </c>
      <c r="X492" s="61">
        <f t="shared" si="78"/>
        <v>0</v>
      </c>
      <c r="Y492" s="61">
        <f t="shared" si="79"/>
        <v>0</v>
      </c>
      <c r="Z492" s="73"/>
      <c r="AA492" s="73"/>
      <c r="AB492" s="73"/>
      <c r="AC492" s="73"/>
      <c r="AD492" s="73"/>
      <c r="AE492" s="73"/>
      <c r="AF492" s="73"/>
      <c r="AG492" s="73"/>
      <c r="AH492" s="73"/>
      <c r="AI492" s="73"/>
      <c r="AJ492" s="73"/>
    </row>
    <row r="493" spans="2:36">
      <c r="B493" s="67"/>
      <c r="C493" s="225"/>
      <c r="D493" s="225"/>
      <c r="E493" s="68"/>
      <c r="F493" s="68"/>
      <c r="G493" s="69"/>
      <c r="H493" s="69"/>
      <c r="I493" s="72"/>
      <c r="J493" s="71"/>
      <c r="K493" s="68"/>
      <c r="L493" s="68"/>
      <c r="M493" s="68"/>
      <c r="N493" s="68"/>
      <c r="O493" s="68"/>
      <c r="P493" s="61">
        <f t="shared" si="70"/>
        <v>0</v>
      </c>
      <c r="Q493" s="61">
        <f t="shared" si="71"/>
        <v>0</v>
      </c>
      <c r="R493" s="61">
        <f t="shared" si="72"/>
        <v>0</v>
      </c>
      <c r="S493" s="61">
        <f t="shared" si="73"/>
        <v>0</v>
      </c>
      <c r="T493" s="61">
        <f t="shared" si="74"/>
        <v>0</v>
      </c>
      <c r="U493" s="61">
        <f t="shared" si="75"/>
        <v>0</v>
      </c>
      <c r="V493" s="61">
        <f t="shared" si="76"/>
        <v>0</v>
      </c>
      <c r="W493" s="61">
        <f t="shared" si="77"/>
        <v>0</v>
      </c>
      <c r="X493" s="61">
        <f t="shared" si="78"/>
        <v>0</v>
      </c>
      <c r="Y493" s="61">
        <f t="shared" si="79"/>
        <v>0</v>
      </c>
      <c r="Z493" s="73"/>
      <c r="AA493" s="73"/>
      <c r="AB493" s="73"/>
      <c r="AC493" s="73"/>
      <c r="AD493" s="73"/>
      <c r="AE493" s="73"/>
      <c r="AF493" s="73"/>
      <c r="AG493" s="73"/>
      <c r="AH493" s="73"/>
      <c r="AI493" s="73"/>
      <c r="AJ493" s="73"/>
    </row>
    <row r="494" spans="2:36">
      <c r="B494" s="67"/>
      <c r="C494" s="225"/>
      <c r="D494" s="225"/>
      <c r="E494" s="68"/>
      <c r="F494" s="68"/>
      <c r="G494" s="69"/>
      <c r="H494" s="69"/>
      <c r="I494" s="72"/>
      <c r="J494" s="71"/>
      <c r="K494" s="68"/>
      <c r="L494" s="68"/>
      <c r="M494" s="68"/>
      <c r="N494" s="68"/>
      <c r="O494" s="68"/>
      <c r="P494" s="61">
        <f t="shared" si="70"/>
        <v>0</v>
      </c>
      <c r="Q494" s="61">
        <f t="shared" si="71"/>
        <v>0</v>
      </c>
      <c r="R494" s="61">
        <f t="shared" si="72"/>
        <v>0</v>
      </c>
      <c r="S494" s="61">
        <f t="shared" si="73"/>
        <v>0</v>
      </c>
      <c r="T494" s="61">
        <f t="shared" si="74"/>
        <v>0</v>
      </c>
      <c r="U494" s="61">
        <f t="shared" si="75"/>
        <v>0</v>
      </c>
      <c r="V494" s="61">
        <f t="shared" si="76"/>
        <v>0</v>
      </c>
      <c r="W494" s="61">
        <f t="shared" si="77"/>
        <v>0</v>
      </c>
      <c r="X494" s="61">
        <f t="shared" si="78"/>
        <v>0</v>
      </c>
      <c r="Y494" s="61">
        <f t="shared" si="79"/>
        <v>0</v>
      </c>
      <c r="Z494" s="73"/>
      <c r="AA494" s="73"/>
      <c r="AB494" s="73"/>
      <c r="AC494" s="73"/>
      <c r="AD494" s="73"/>
      <c r="AE494" s="73"/>
      <c r="AF494" s="73"/>
      <c r="AG494" s="73"/>
      <c r="AH494" s="73"/>
      <c r="AI494" s="73"/>
      <c r="AJ494" s="73"/>
    </row>
    <row r="495" spans="2:36">
      <c r="B495" s="67"/>
      <c r="C495" s="225"/>
      <c r="D495" s="225"/>
      <c r="E495" s="68"/>
      <c r="F495" s="68"/>
      <c r="G495" s="69"/>
      <c r="H495" s="69"/>
      <c r="I495" s="72"/>
      <c r="J495" s="71"/>
      <c r="K495" s="68"/>
      <c r="L495" s="68"/>
      <c r="M495" s="68"/>
      <c r="N495" s="68"/>
      <c r="O495" s="68"/>
      <c r="P495" s="61">
        <f t="shared" si="70"/>
        <v>0</v>
      </c>
      <c r="Q495" s="61">
        <f t="shared" si="71"/>
        <v>0</v>
      </c>
      <c r="R495" s="61">
        <f t="shared" si="72"/>
        <v>0</v>
      </c>
      <c r="S495" s="61">
        <f t="shared" si="73"/>
        <v>0</v>
      </c>
      <c r="T495" s="61">
        <f t="shared" si="74"/>
        <v>0</v>
      </c>
      <c r="U495" s="61">
        <f t="shared" si="75"/>
        <v>0</v>
      </c>
      <c r="V495" s="61">
        <f t="shared" si="76"/>
        <v>0</v>
      </c>
      <c r="W495" s="61">
        <f t="shared" si="77"/>
        <v>0</v>
      </c>
      <c r="X495" s="61">
        <f t="shared" si="78"/>
        <v>0</v>
      </c>
      <c r="Y495" s="61">
        <f t="shared" si="79"/>
        <v>0</v>
      </c>
      <c r="Z495" s="73"/>
      <c r="AA495" s="73"/>
      <c r="AB495" s="73"/>
      <c r="AC495" s="73"/>
      <c r="AD495" s="73"/>
      <c r="AE495" s="73"/>
      <c r="AF495" s="73"/>
      <c r="AG495" s="73"/>
      <c r="AH495" s="73"/>
      <c r="AI495" s="73"/>
      <c r="AJ495" s="73"/>
    </row>
    <row r="496" spans="2:36">
      <c r="B496" s="67"/>
      <c r="C496" s="225"/>
      <c r="D496" s="225"/>
      <c r="E496" s="68"/>
      <c r="F496" s="68"/>
      <c r="G496" s="69"/>
      <c r="H496" s="69"/>
      <c r="I496" s="72"/>
      <c r="J496" s="71"/>
      <c r="K496" s="68"/>
      <c r="L496" s="68"/>
      <c r="M496" s="68"/>
      <c r="N496" s="68"/>
      <c r="O496" s="68"/>
      <c r="P496" s="61">
        <f t="shared" si="70"/>
        <v>0</v>
      </c>
      <c r="Q496" s="61">
        <f t="shared" si="71"/>
        <v>0</v>
      </c>
      <c r="R496" s="61">
        <f t="shared" si="72"/>
        <v>0</v>
      </c>
      <c r="S496" s="61">
        <f t="shared" si="73"/>
        <v>0</v>
      </c>
      <c r="T496" s="61">
        <f t="shared" si="74"/>
        <v>0</v>
      </c>
      <c r="U496" s="61">
        <f t="shared" si="75"/>
        <v>0</v>
      </c>
      <c r="V496" s="61">
        <f t="shared" si="76"/>
        <v>0</v>
      </c>
      <c r="W496" s="61">
        <f t="shared" si="77"/>
        <v>0</v>
      </c>
      <c r="X496" s="61">
        <f t="shared" si="78"/>
        <v>0</v>
      </c>
      <c r="Y496" s="61">
        <f t="shared" si="79"/>
        <v>0</v>
      </c>
      <c r="Z496" s="73"/>
      <c r="AA496" s="73"/>
      <c r="AB496" s="73"/>
      <c r="AC496" s="73"/>
      <c r="AD496" s="73"/>
      <c r="AE496" s="73"/>
      <c r="AF496" s="73"/>
      <c r="AG496" s="73"/>
      <c r="AH496" s="73"/>
      <c r="AI496" s="73"/>
      <c r="AJ496" s="73"/>
    </row>
    <row r="497" spans="2:36">
      <c r="B497" s="67"/>
      <c r="C497" s="225"/>
      <c r="D497" s="225"/>
      <c r="E497" s="68"/>
      <c r="F497" s="68"/>
      <c r="G497" s="69"/>
      <c r="H497" s="69"/>
      <c r="I497" s="72"/>
      <c r="J497" s="71"/>
      <c r="K497" s="68"/>
      <c r="L497" s="68"/>
      <c r="M497" s="68"/>
      <c r="N497" s="68"/>
      <c r="O497" s="68"/>
      <c r="P497" s="61">
        <f t="shared" si="70"/>
        <v>0</v>
      </c>
      <c r="Q497" s="61">
        <f t="shared" si="71"/>
        <v>0</v>
      </c>
      <c r="R497" s="61">
        <f t="shared" si="72"/>
        <v>0</v>
      </c>
      <c r="S497" s="61">
        <f t="shared" si="73"/>
        <v>0</v>
      </c>
      <c r="T497" s="61">
        <f t="shared" si="74"/>
        <v>0</v>
      </c>
      <c r="U497" s="61">
        <f t="shared" si="75"/>
        <v>0</v>
      </c>
      <c r="V497" s="61">
        <f t="shared" si="76"/>
        <v>0</v>
      </c>
      <c r="W497" s="61">
        <f t="shared" si="77"/>
        <v>0</v>
      </c>
      <c r="X497" s="61">
        <f t="shared" si="78"/>
        <v>0</v>
      </c>
      <c r="Y497" s="61">
        <f t="shared" si="79"/>
        <v>0</v>
      </c>
      <c r="Z497" s="73"/>
      <c r="AA497" s="73"/>
      <c r="AB497" s="73"/>
      <c r="AC497" s="73"/>
      <c r="AD497" s="73"/>
      <c r="AE497" s="73"/>
      <c r="AF497" s="73"/>
      <c r="AG497" s="73"/>
      <c r="AH497" s="73"/>
      <c r="AI497" s="73"/>
      <c r="AJ497" s="73"/>
    </row>
    <row r="498" spans="2:36">
      <c r="B498" s="67"/>
      <c r="C498" s="225"/>
      <c r="D498" s="225"/>
      <c r="E498" s="68"/>
      <c r="F498" s="68"/>
      <c r="G498" s="69"/>
      <c r="H498" s="69"/>
      <c r="I498" s="72"/>
      <c r="J498" s="71"/>
      <c r="K498" s="68"/>
      <c r="L498" s="68"/>
      <c r="M498" s="68"/>
      <c r="N498" s="68"/>
      <c r="O498" s="68"/>
      <c r="P498" s="61">
        <f t="shared" si="70"/>
        <v>0</v>
      </c>
      <c r="Q498" s="61">
        <f t="shared" si="71"/>
        <v>0</v>
      </c>
      <c r="R498" s="61">
        <f t="shared" si="72"/>
        <v>0</v>
      </c>
      <c r="S498" s="61">
        <f t="shared" si="73"/>
        <v>0</v>
      </c>
      <c r="T498" s="61">
        <f t="shared" si="74"/>
        <v>0</v>
      </c>
      <c r="U498" s="61">
        <f t="shared" si="75"/>
        <v>0</v>
      </c>
      <c r="V498" s="61">
        <f t="shared" si="76"/>
        <v>0</v>
      </c>
      <c r="W498" s="61">
        <f t="shared" si="77"/>
        <v>0</v>
      </c>
      <c r="X498" s="61">
        <f t="shared" si="78"/>
        <v>0</v>
      </c>
      <c r="Y498" s="61">
        <f t="shared" si="79"/>
        <v>0</v>
      </c>
      <c r="Z498" s="73"/>
      <c r="AA498" s="73"/>
      <c r="AB498" s="73"/>
      <c r="AC498" s="73"/>
      <c r="AD498" s="73"/>
      <c r="AE498" s="73"/>
      <c r="AF498" s="73"/>
      <c r="AG498" s="73"/>
      <c r="AH498" s="73"/>
      <c r="AI498" s="73"/>
      <c r="AJ498" s="73"/>
    </row>
    <row r="499" spans="2:36">
      <c r="B499" s="67"/>
      <c r="C499" s="225"/>
      <c r="D499" s="225"/>
      <c r="E499" s="68"/>
      <c r="F499" s="68"/>
      <c r="G499" s="69"/>
      <c r="H499" s="69"/>
      <c r="I499" s="72"/>
      <c r="J499" s="71"/>
      <c r="K499" s="68"/>
      <c r="L499" s="68"/>
      <c r="M499" s="68"/>
      <c r="N499" s="68"/>
      <c r="O499" s="68"/>
      <c r="P499" s="61">
        <f t="shared" si="70"/>
        <v>0</v>
      </c>
      <c r="Q499" s="61">
        <f t="shared" si="71"/>
        <v>0</v>
      </c>
      <c r="R499" s="61">
        <f t="shared" si="72"/>
        <v>0</v>
      </c>
      <c r="S499" s="61">
        <f t="shared" si="73"/>
        <v>0</v>
      </c>
      <c r="T499" s="61">
        <f t="shared" si="74"/>
        <v>0</v>
      </c>
      <c r="U499" s="61">
        <f t="shared" si="75"/>
        <v>0</v>
      </c>
      <c r="V499" s="61">
        <f t="shared" si="76"/>
        <v>0</v>
      </c>
      <c r="W499" s="61">
        <f t="shared" si="77"/>
        <v>0</v>
      </c>
      <c r="X499" s="61">
        <f t="shared" si="78"/>
        <v>0</v>
      </c>
      <c r="Y499" s="61">
        <f t="shared" si="79"/>
        <v>0</v>
      </c>
      <c r="Z499" s="73"/>
      <c r="AA499" s="73"/>
      <c r="AB499" s="73"/>
      <c r="AC499" s="73"/>
      <c r="AD499" s="73"/>
      <c r="AE499" s="73"/>
      <c r="AF499" s="73"/>
      <c r="AG499" s="73"/>
      <c r="AH499" s="73"/>
      <c r="AI499" s="73"/>
      <c r="AJ499" s="73"/>
    </row>
    <row r="500" spans="2:36">
      <c r="B500" s="67"/>
      <c r="C500" s="225"/>
      <c r="D500" s="225"/>
      <c r="E500" s="68"/>
      <c r="F500" s="68"/>
      <c r="G500" s="69"/>
      <c r="H500" s="69"/>
      <c r="I500" s="72"/>
      <c r="J500" s="71"/>
      <c r="K500" s="68"/>
      <c r="L500" s="68"/>
      <c r="M500" s="68"/>
      <c r="N500" s="68"/>
      <c r="O500" s="68"/>
      <c r="P500" s="61">
        <f t="shared" si="70"/>
        <v>0</v>
      </c>
      <c r="Q500" s="61">
        <f t="shared" si="71"/>
        <v>0</v>
      </c>
      <c r="R500" s="61">
        <f t="shared" si="72"/>
        <v>0</v>
      </c>
      <c r="S500" s="61">
        <f t="shared" si="73"/>
        <v>0</v>
      </c>
      <c r="T500" s="61">
        <f t="shared" si="74"/>
        <v>0</v>
      </c>
      <c r="U500" s="61">
        <f t="shared" si="75"/>
        <v>0</v>
      </c>
      <c r="V500" s="61">
        <f t="shared" si="76"/>
        <v>0</v>
      </c>
      <c r="W500" s="61">
        <f t="shared" si="77"/>
        <v>0</v>
      </c>
      <c r="X500" s="61">
        <f t="shared" si="78"/>
        <v>0</v>
      </c>
      <c r="Y500" s="61">
        <f t="shared" si="79"/>
        <v>0</v>
      </c>
      <c r="Z500" s="73"/>
      <c r="AA500" s="73"/>
      <c r="AB500" s="73"/>
      <c r="AC500" s="73"/>
      <c r="AD500" s="73"/>
      <c r="AE500" s="73"/>
      <c r="AF500" s="73"/>
      <c r="AG500" s="73"/>
      <c r="AH500" s="73"/>
      <c r="AI500" s="73"/>
      <c r="AJ500" s="73"/>
    </row>
    <row r="501" spans="2:36">
      <c r="B501" s="67"/>
      <c r="C501" s="225"/>
      <c r="D501" s="225"/>
      <c r="E501" s="68"/>
      <c r="F501" s="68"/>
      <c r="G501" s="69"/>
      <c r="H501" s="69"/>
      <c r="I501" s="72"/>
      <c r="J501" s="71"/>
      <c r="K501" s="68"/>
      <c r="L501" s="68"/>
      <c r="M501" s="68"/>
      <c r="N501" s="68"/>
      <c r="O501" s="68"/>
      <c r="P501" s="61">
        <f t="shared" si="70"/>
        <v>0</v>
      </c>
      <c r="Q501" s="61">
        <f t="shared" si="71"/>
        <v>0</v>
      </c>
      <c r="R501" s="61">
        <f t="shared" si="72"/>
        <v>0</v>
      </c>
      <c r="S501" s="61">
        <f t="shared" si="73"/>
        <v>0</v>
      </c>
      <c r="T501" s="61">
        <f t="shared" si="74"/>
        <v>0</v>
      </c>
      <c r="U501" s="61">
        <f t="shared" si="75"/>
        <v>0</v>
      </c>
      <c r="V501" s="61">
        <f t="shared" si="76"/>
        <v>0</v>
      </c>
      <c r="W501" s="61">
        <f t="shared" si="77"/>
        <v>0</v>
      </c>
      <c r="X501" s="61">
        <f t="shared" si="78"/>
        <v>0</v>
      </c>
      <c r="Y501" s="61">
        <f t="shared" si="79"/>
        <v>0</v>
      </c>
      <c r="Z501" s="73"/>
      <c r="AA501" s="73"/>
      <c r="AB501" s="73"/>
      <c r="AC501" s="73"/>
      <c r="AD501" s="73"/>
      <c r="AE501" s="73"/>
      <c r="AF501" s="73"/>
      <c r="AG501" s="73"/>
      <c r="AH501" s="73"/>
      <c r="AI501" s="73"/>
      <c r="AJ501" s="73"/>
    </row>
    <row r="502" spans="2:36">
      <c r="B502" s="67"/>
      <c r="C502" s="225"/>
      <c r="D502" s="225"/>
      <c r="E502" s="68"/>
      <c r="F502" s="68"/>
      <c r="G502" s="69"/>
      <c r="H502" s="69"/>
      <c r="I502" s="72"/>
      <c r="J502" s="71"/>
      <c r="K502" s="68"/>
      <c r="L502" s="68"/>
      <c r="M502" s="68"/>
      <c r="N502" s="68"/>
      <c r="O502" s="68"/>
      <c r="P502" s="61">
        <f t="shared" si="70"/>
        <v>0</v>
      </c>
      <c r="Q502" s="61">
        <f t="shared" si="71"/>
        <v>0</v>
      </c>
      <c r="R502" s="61">
        <f t="shared" si="72"/>
        <v>0</v>
      </c>
      <c r="S502" s="61">
        <f t="shared" si="73"/>
        <v>0</v>
      </c>
      <c r="T502" s="61">
        <f t="shared" si="74"/>
        <v>0</v>
      </c>
      <c r="U502" s="61">
        <f t="shared" si="75"/>
        <v>0</v>
      </c>
      <c r="V502" s="61">
        <f t="shared" si="76"/>
        <v>0</v>
      </c>
      <c r="W502" s="61">
        <f t="shared" si="77"/>
        <v>0</v>
      </c>
      <c r="X502" s="61">
        <f t="shared" si="78"/>
        <v>0</v>
      </c>
      <c r="Y502" s="61">
        <f t="shared" si="79"/>
        <v>0</v>
      </c>
      <c r="Z502" s="73"/>
      <c r="AA502" s="73"/>
      <c r="AB502" s="73"/>
      <c r="AC502" s="73"/>
      <c r="AD502" s="73"/>
      <c r="AE502" s="73"/>
      <c r="AF502" s="73"/>
      <c r="AG502" s="73"/>
      <c r="AH502" s="73"/>
      <c r="AI502" s="73"/>
      <c r="AJ502" s="73"/>
    </row>
    <row r="503" spans="2:36">
      <c r="B503" s="67"/>
      <c r="C503" s="225"/>
      <c r="D503" s="225"/>
      <c r="E503" s="68"/>
      <c r="F503" s="68"/>
      <c r="G503" s="69"/>
      <c r="H503" s="69"/>
      <c r="I503" s="72"/>
      <c r="J503" s="71"/>
      <c r="K503" s="68"/>
      <c r="L503" s="68"/>
      <c r="M503" s="68"/>
      <c r="N503" s="68"/>
      <c r="O503" s="68"/>
      <c r="P503" s="61">
        <f t="shared" si="70"/>
        <v>0</v>
      </c>
      <c r="Q503" s="61">
        <f t="shared" si="71"/>
        <v>0</v>
      </c>
      <c r="R503" s="61">
        <f t="shared" si="72"/>
        <v>0</v>
      </c>
      <c r="S503" s="61">
        <f t="shared" si="73"/>
        <v>0</v>
      </c>
      <c r="T503" s="61">
        <f t="shared" si="74"/>
        <v>0</v>
      </c>
      <c r="U503" s="61">
        <f t="shared" si="75"/>
        <v>0</v>
      </c>
      <c r="V503" s="61">
        <f t="shared" si="76"/>
        <v>0</v>
      </c>
      <c r="W503" s="61">
        <f t="shared" si="77"/>
        <v>0</v>
      </c>
      <c r="X503" s="61">
        <f t="shared" si="78"/>
        <v>0</v>
      </c>
      <c r="Y503" s="61">
        <f t="shared" si="79"/>
        <v>0</v>
      </c>
      <c r="Z503" s="73"/>
      <c r="AA503" s="73"/>
      <c r="AB503" s="73"/>
      <c r="AC503" s="73"/>
      <c r="AD503" s="73"/>
      <c r="AE503" s="73"/>
      <c r="AF503" s="73"/>
      <c r="AG503" s="73"/>
      <c r="AH503" s="73"/>
      <c r="AI503" s="73"/>
      <c r="AJ503" s="73"/>
    </row>
    <row r="504" spans="2:36">
      <c r="B504" s="67"/>
      <c r="C504" s="225"/>
      <c r="D504" s="225"/>
      <c r="E504" s="68"/>
      <c r="F504" s="68"/>
      <c r="G504" s="69"/>
      <c r="H504" s="69"/>
      <c r="I504" s="72"/>
      <c r="J504" s="71"/>
      <c r="K504" s="68"/>
      <c r="L504" s="68"/>
      <c r="M504" s="68"/>
      <c r="N504" s="68"/>
      <c r="O504" s="68"/>
      <c r="P504" s="61">
        <f t="shared" si="70"/>
        <v>0</v>
      </c>
      <c r="Q504" s="61">
        <f t="shared" si="71"/>
        <v>0</v>
      </c>
      <c r="R504" s="61">
        <f t="shared" si="72"/>
        <v>0</v>
      </c>
      <c r="S504" s="61">
        <f t="shared" si="73"/>
        <v>0</v>
      </c>
      <c r="T504" s="61">
        <f t="shared" si="74"/>
        <v>0</v>
      </c>
      <c r="U504" s="61">
        <f t="shared" si="75"/>
        <v>0</v>
      </c>
      <c r="V504" s="61">
        <f t="shared" si="76"/>
        <v>0</v>
      </c>
      <c r="W504" s="61">
        <f t="shared" si="77"/>
        <v>0</v>
      </c>
      <c r="X504" s="61">
        <f t="shared" si="78"/>
        <v>0</v>
      </c>
      <c r="Y504" s="61">
        <f t="shared" si="79"/>
        <v>0</v>
      </c>
      <c r="Z504" s="73"/>
      <c r="AA504" s="73"/>
      <c r="AB504" s="73"/>
      <c r="AC504" s="73"/>
      <c r="AD504" s="73"/>
      <c r="AE504" s="73"/>
      <c r="AF504" s="73"/>
      <c r="AG504" s="73"/>
      <c r="AH504" s="73"/>
      <c r="AI504" s="73"/>
      <c r="AJ504" s="73"/>
    </row>
    <row r="505" spans="2:36">
      <c r="B505" s="67"/>
      <c r="C505" s="225"/>
      <c r="D505" s="225"/>
      <c r="E505" s="68"/>
      <c r="F505" s="68"/>
      <c r="G505" s="69"/>
      <c r="H505" s="69"/>
      <c r="I505" s="72"/>
      <c r="J505" s="71"/>
      <c r="K505" s="68"/>
      <c r="L505" s="68"/>
      <c r="M505" s="68"/>
      <c r="N505" s="68"/>
      <c r="O505" s="68"/>
      <c r="P505" s="61">
        <f t="shared" si="70"/>
        <v>0</v>
      </c>
      <c r="Q505" s="61">
        <f t="shared" si="71"/>
        <v>0</v>
      </c>
      <c r="R505" s="61">
        <f t="shared" si="72"/>
        <v>0</v>
      </c>
      <c r="S505" s="61">
        <f t="shared" si="73"/>
        <v>0</v>
      </c>
      <c r="T505" s="61">
        <f t="shared" si="74"/>
        <v>0</v>
      </c>
      <c r="U505" s="61">
        <f t="shared" si="75"/>
        <v>0</v>
      </c>
      <c r="V505" s="61">
        <f t="shared" si="76"/>
        <v>0</v>
      </c>
      <c r="W505" s="61">
        <f t="shared" si="77"/>
        <v>0</v>
      </c>
      <c r="X505" s="61">
        <f t="shared" si="78"/>
        <v>0</v>
      </c>
      <c r="Y505" s="61">
        <f t="shared" si="79"/>
        <v>0</v>
      </c>
      <c r="Z505" s="73"/>
      <c r="AA505" s="73"/>
      <c r="AB505" s="73"/>
      <c r="AC505" s="73"/>
      <c r="AD505" s="73"/>
      <c r="AE505" s="73"/>
      <c r="AF505" s="73"/>
      <c r="AG505" s="73"/>
      <c r="AH505" s="73"/>
      <c r="AI505" s="73"/>
      <c r="AJ505" s="73"/>
    </row>
    <row r="506" spans="2:36">
      <c r="B506" s="67"/>
      <c r="C506" s="225"/>
      <c r="D506" s="225"/>
      <c r="E506" s="68"/>
      <c r="F506" s="68"/>
      <c r="G506" s="69"/>
      <c r="H506" s="69"/>
      <c r="I506" s="72"/>
      <c r="J506" s="71"/>
      <c r="K506" s="68"/>
      <c r="L506" s="68"/>
      <c r="M506" s="68"/>
      <c r="N506" s="68"/>
      <c r="O506" s="68"/>
      <c r="P506" s="61">
        <f t="shared" si="70"/>
        <v>0</v>
      </c>
      <c r="Q506" s="61">
        <f t="shared" si="71"/>
        <v>0</v>
      </c>
      <c r="R506" s="61">
        <f t="shared" si="72"/>
        <v>0</v>
      </c>
      <c r="S506" s="61">
        <f t="shared" si="73"/>
        <v>0</v>
      </c>
      <c r="T506" s="61">
        <f t="shared" si="74"/>
        <v>0</v>
      </c>
      <c r="U506" s="61">
        <f t="shared" si="75"/>
        <v>0</v>
      </c>
      <c r="V506" s="61">
        <f t="shared" si="76"/>
        <v>0</v>
      </c>
      <c r="W506" s="61">
        <f t="shared" si="77"/>
        <v>0</v>
      </c>
      <c r="X506" s="61">
        <f t="shared" si="78"/>
        <v>0</v>
      </c>
      <c r="Y506" s="61">
        <f t="shared" si="79"/>
        <v>0</v>
      </c>
      <c r="Z506" s="73"/>
      <c r="AA506" s="73"/>
      <c r="AB506" s="73"/>
      <c r="AC506" s="73"/>
      <c r="AD506" s="73"/>
      <c r="AE506" s="73"/>
      <c r="AF506" s="73"/>
      <c r="AG506" s="73"/>
      <c r="AH506" s="73"/>
      <c r="AI506" s="73"/>
      <c r="AJ506" s="73"/>
    </row>
    <row r="507" spans="2:36">
      <c r="B507" s="67"/>
      <c r="C507" s="225"/>
      <c r="D507" s="225"/>
      <c r="E507" s="68"/>
      <c r="F507" s="68"/>
      <c r="G507" s="69"/>
      <c r="H507" s="69"/>
      <c r="I507" s="72"/>
      <c r="J507" s="71"/>
      <c r="K507" s="68"/>
      <c r="L507" s="68"/>
      <c r="M507" s="68"/>
      <c r="N507" s="68"/>
      <c r="O507" s="68"/>
      <c r="P507" s="61">
        <f t="shared" si="70"/>
        <v>0</v>
      </c>
      <c r="Q507" s="61">
        <f t="shared" si="71"/>
        <v>0</v>
      </c>
      <c r="R507" s="61">
        <f t="shared" si="72"/>
        <v>0</v>
      </c>
      <c r="S507" s="61">
        <f t="shared" si="73"/>
        <v>0</v>
      </c>
      <c r="T507" s="61">
        <f t="shared" si="74"/>
        <v>0</v>
      </c>
      <c r="U507" s="61">
        <f t="shared" si="75"/>
        <v>0</v>
      </c>
      <c r="V507" s="61">
        <f t="shared" si="76"/>
        <v>0</v>
      </c>
      <c r="W507" s="61">
        <f t="shared" si="77"/>
        <v>0</v>
      </c>
      <c r="X507" s="61">
        <f t="shared" si="78"/>
        <v>0</v>
      </c>
      <c r="Y507" s="61">
        <f t="shared" si="79"/>
        <v>0</v>
      </c>
      <c r="Z507" s="73"/>
      <c r="AA507" s="73"/>
      <c r="AB507" s="73"/>
      <c r="AC507" s="73"/>
      <c r="AD507" s="73"/>
      <c r="AE507" s="73"/>
      <c r="AF507" s="73"/>
      <c r="AG507" s="73"/>
      <c r="AH507" s="73"/>
      <c r="AI507" s="73"/>
      <c r="AJ507" s="73"/>
    </row>
    <row r="508" spans="2:36">
      <c r="B508" s="67"/>
      <c r="C508" s="225"/>
      <c r="D508" s="225"/>
      <c r="E508" s="68"/>
      <c r="F508" s="68"/>
      <c r="G508" s="69"/>
      <c r="H508" s="69"/>
      <c r="I508" s="72"/>
      <c r="J508" s="71"/>
      <c r="K508" s="68"/>
      <c r="L508" s="68"/>
      <c r="M508" s="68"/>
      <c r="N508" s="68"/>
      <c r="O508" s="68"/>
      <c r="P508" s="61">
        <f t="shared" si="70"/>
        <v>0</v>
      </c>
      <c r="Q508" s="61">
        <f t="shared" si="71"/>
        <v>0</v>
      </c>
      <c r="R508" s="61">
        <f t="shared" si="72"/>
        <v>0</v>
      </c>
      <c r="S508" s="61">
        <f t="shared" si="73"/>
        <v>0</v>
      </c>
      <c r="T508" s="61">
        <f t="shared" si="74"/>
        <v>0</v>
      </c>
      <c r="U508" s="61">
        <f t="shared" si="75"/>
        <v>0</v>
      </c>
      <c r="V508" s="61">
        <f t="shared" si="76"/>
        <v>0</v>
      </c>
      <c r="W508" s="61">
        <f t="shared" si="77"/>
        <v>0</v>
      </c>
      <c r="X508" s="61">
        <f t="shared" si="78"/>
        <v>0</v>
      </c>
      <c r="Y508" s="61">
        <f t="shared" si="79"/>
        <v>0</v>
      </c>
      <c r="Z508" s="73"/>
      <c r="AA508" s="73"/>
      <c r="AB508" s="73"/>
      <c r="AC508" s="73"/>
      <c r="AD508" s="73"/>
      <c r="AE508" s="73"/>
      <c r="AF508" s="73"/>
      <c r="AG508" s="73"/>
      <c r="AH508" s="73"/>
      <c r="AI508" s="73"/>
      <c r="AJ508" s="73"/>
    </row>
    <row r="509" spans="2:36">
      <c r="B509" s="67"/>
      <c r="C509" s="225"/>
      <c r="D509" s="225"/>
      <c r="E509" s="68"/>
      <c r="F509" s="68"/>
      <c r="G509" s="69"/>
      <c r="H509" s="69"/>
      <c r="I509" s="72"/>
      <c r="J509" s="71"/>
      <c r="K509" s="68"/>
      <c r="L509" s="68"/>
      <c r="M509" s="68"/>
      <c r="N509" s="68"/>
      <c r="O509" s="68"/>
      <c r="P509" s="61">
        <f t="shared" si="70"/>
        <v>0</v>
      </c>
      <c r="Q509" s="61">
        <f t="shared" si="71"/>
        <v>0</v>
      </c>
      <c r="R509" s="61">
        <f t="shared" si="72"/>
        <v>0</v>
      </c>
      <c r="S509" s="61">
        <f t="shared" si="73"/>
        <v>0</v>
      </c>
      <c r="T509" s="61">
        <f t="shared" si="74"/>
        <v>0</v>
      </c>
      <c r="U509" s="61">
        <f t="shared" si="75"/>
        <v>0</v>
      </c>
      <c r="V509" s="61">
        <f t="shared" si="76"/>
        <v>0</v>
      </c>
      <c r="W509" s="61">
        <f t="shared" si="77"/>
        <v>0</v>
      </c>
      <c r="X509" s="61">
        <f t="shared" si="78"/>
        <v>0</v>
      </c>
      <c r="Y509" s="61">
        <f t="shared" si="79"/>
        <v>0</v>
      </c>
      <c r="Z509" s="73"/>
      <c r="AA509" s="73"/>
      <c r="AB509" s="73"/>
      <c r="AC509" s="73"/>
      <c r="AD509" s="73"/>
      <c r="AE509" s="73"/>
      <c r="AF509" s="73"/>
      <c r="AG509" s="73"/>
      <c r="AH509" s="73"/>
      <c r="AI509" s="73"/>
      <c r="AJ509" s="73"/>
    </row>
    <row r="510" spans="2:36">
      <c r="B510" s="67"/>
      <c r="C510" s="225"/>
      <c r="D510" s="225"/>
      <c r="E510" s="68"/>
      <c r="F510" s="68"/>
      <c r="G510" s="69"/>
      <c r="H510" s="69"/>
      <c r="I510" s="72"/>
      <c r="J510" s="71"/>
      <c r="K510" s="68"/>
      <c r="L510" s="68"/>
      <c r="M510" s="68"/>
      <c r="N510" s="68"/>
      <c r="O510" s="68"/>
      <c r="P510" s="61">
        <f t="shared" si="70"/>
        <v>0</v>
      </c>
      <c r="Q510" s="61">
        <f t="shared" si="71"/>
        <v>0</v>
      </c>
      <c r="R510" s="61">
        <f t="shared" si="72"/>
        <v>0</v>
      </c>
      <c r="S510" s="61">
        <f t="shared" si="73"/>
        <v>0</v>
      </c>
      <c r="T510" s="61">
        <f t="shared" si="74"/>
        <v>0</v>
      </c>
      <c r="U510" s="61">
        <f t="shared" si="75"/>
        <v>0</v>
      </c>
      <c r="V510" s="61">
        <f t="shared" si="76"/>
        <v>0</v>
      </c>
      <c r="W510" s="61">
        <f t="shared" si="77"/>
        <v>0</v>
      </c>
      <c r="X510" s="61">
        <f t="shared" si="78"/>
        <v>0</v>
      </c>
      <c r="Y510" s="61">
        <f t="shared" si="79"/>
        <v>0</v>
      </c>
      <c r="Z510" s="73"/>
      <c r="AA510" s="73"/>
      <c r="AB510" s="73"/>
      <c r="AC510" s="73"/>
      <c r="AD510" s="73"/>
      <c r="AE510" s="73"/>
      <c r="AF510" s="73"/>
      <c r="AG510" s="73"/>
      <c r="AH510" s="73"/>
      <c r="AI510" s="73"/>
      <c r="AJ510" s="73"/>
    </row>
    <row r="511" spans="2:36">
      <c r="B511" s="67"/>
      <c r="C511" s="225"/>
      <c r="D511" s="225"/>
      <c r="E511" s="68"/>
      <c r="F511" s="68"/>
      <c r="G511" s="69"/>
      <c r="H511" s="69"/>
      <c r="I511" s="72"/>
      <c r="J511" s="71"/>
      <c r="K511" s="68"/>
      <c r="L511" s="68"/>
      <c r="M511" s="68"/>
      <c r="N511" s="68"/>
      <c r="O511" s="68"/>
      <c r="P511" s="61">
        <f t="shared" si="70"/>
        <v>0</v>
      </c>
      <c r="Q511" s="61">
        <f t="shared" si="71"/>
        <v>0</v>
      </c>
      <c r="R511" s="61">
        <f t="shared" si="72"/>
        <v>0</v>
      </c>
      <c r="S511" s="61">
        <f t="shared" si="73"/>
        <v>0</v>
      </c>
      <c r="T511" s="61">
        <f t="shared" si="74"/>
        <v>0</v>
      </c>
      <c r="U511" s="61">
        <f t="shared" si="75"/>
        <v>0</v>
      </c>
      <c r="V511" s="61">
        <f t="shared" si="76"/>
        <v>0</v>
      </c>
      <c r="W511" s="61">
        <f t="shared" si="77"/>
        <v>0</v>
      </c>
      <c r="X511" s="61">
        <f t="shared" si="78"/>
        <v>0</v>
      </c>
      <c r="Y511" s="61">
        <f t="shared" si="79"/>
        <v>0</v>
      </c>
      <c r="Z511" s="73"/>
      <c r="AA511" s="73"/>
      <c r="AB511" s="73"/>
      <c r="AC511" s="73"/>
      <c r="AD511" s="73"/>
      <c r="AE511" s="73"/>
      <c r="AF511" s="73"/>
      <c r="AG511" s="73"/>
      <c r="AH511" s="73"/>
      <c r="AI511" s="73"/>
      <c r="AJ511" s="73"/>
    </row>
    <row r="512" spans="2:36">
      <c r="B512" s="67"/>
      <c r="C512" s="225"/>
      <c r="D512" s="225"/>
      <c r="E512" s="68"/>
      <c r="F512" s="68"/>
      <c r="G512" s="69"/>
      <c r="H512" s="69"/>
      <c r="I512" s="72"/>
      <c r="J512" s="71"/>
      <c r="K512" s="68"/>
      <c r="L512" s="68"/>
      <c r="M512" s="68"/>
      <c r="N512" s="68"/>
      <c r="O512" s="68"/>
      <c r="P512" s="61">
        <f t="shared" si="70"/>
        <v>0</v>
      </c>
      <c r="Q512" s="61">
        <f t="shared" si="71"/>
        <v>0</v>
      </c>
      <c r="R512" s="61">
        <f t="shared" si="72"/>
        <v>0</v>
      </c>
      <c r="S512" s="61">
        <f t="shared" si="73"/>
        <v>0</v>
      </c>
      <c r="T512" s="61">
        <f t="shared" si="74"/>
        <v>0</v>
      </c>
      <c r="U512" s="61">
        <f t="shared" si="75"/>
        <v>0</v>
      </c>
      <c r="V512" s="61">
        <f t="shared" si="76"/>
        <v>0</v>
      </c>
      <c r="W512" s="61">
        <f t="shared" si="77"/>
        <v>0</v>
      </c>
      <c r="X512" s="61">
        <f t="shared" si="78"/>
        <v>0</v>
      </c>
      <c r="Y512" s="61">
        <f t="shared" si="79"/>
        <v>0</v>
      </c>
      <c r="Z512" s="73"/>
      <c r="AA512" s="73"/>
      <c r="AB512" s="73"/>
      <c r="AC512" s="73"/>
      <c r="AD512" s="73"/>
      <c r="AE512" s="73"/>
      <c r="AF512" s="73"/>
      <c r="AG512" s="73"/>
      <c r="AH512" s="73"/>
      <c r="AI512" s="73"/>
      <c r="AJ512" s="73"/>
    </row>
    <row r="513" spans="2:36">
      <c r="B513" s="67"/>
      <c r="C513" s="225"/>
      <c r="D513" s="225"/>
      <c r="E513" s="68"/>
      <c r="F513" s="68"/>
      <c r="G513" s="69"/>
      <c r="H513" s="69"/>
      <c r="I513" s="72"/>
      <c r="J513" s="71"/>
      <c r="K513" s="68"/>
      <c r="L513" s="68"/>
      <c r="M513" s="68"/>
      <c r="N513" s="68"/>
      <c r="O513" s="68"/>
      <c r="P513" s="61">
        <f t="shared" si="70"/>
        <v>0</v>
      </c>
      <c r="Q513" s="61">
        <f t="shared" si="71"/>
        <v>0</v>
      </c>
      <c r="R513" s="61">
        <f t="shared" si="72"/>
        <v>0</v>
      </c>
      <c r="S513" s="61">
        <f t="shared" si="73"/>
        <v>0</v>
      </c>
      <c r="T513" s="61">
        <f t="shared" si="74"/>
        <v>0</v>
      </c>
      <c r="U513" s="61">
        <f t="shared" si="75"/>
        <v>0</v>
      </c>
      <c r="V513" s="61">
        <f t="shared" si="76"/>
        <v>0</v>
      </c>
      <c r="W513" s="61">
        <f t="shared" si="77"/>
        <v>0</v>
      </c>
      <c r="X513" s="61">
        <f t="shared" si="78"/>
        <v>0</v>
      </c>
      <c r="Y513" s="61">
        <f t="shared" si="79"/>
        <v>0</v>
      </c>
      <c r="Z513" s="73"/>
      <c r="AA513" s="73"/>
      <c r="AB513" s="73"/>
      <c r="AC513" s="73"/>
      <c r="AD513" s="73"/>
      <c r="AE513" s="73"/>
      <c r="AF513" s="73"/>
      <c r="AG513" s="73"/>
      <c r="AH513" s="73"/>
      <c r="AI513" s="73"/>
      <c r="AJ513" s="73"/>
    </row>
    <row r="514" spans="2:36">
      <c r="B514" s="67"/>
      <c r="C514" s="225"/>
      <c r="D514" s="225"/>
      <c r="E514" s="68"/>
      <c r="F514" s="68"/>
      <c r="G514" s="69"/>
      <c r="H514" s="69"/>
      <c r="I514" s="72"/>
      <c r="J514" s="71"/>
      <c r="K514" s="68"/>
      <c r="L514" s="68"/>
      <c r="M514" s="68"/>
      <c r="N514" s="68"/>
      <c r="O514" s="68"/>
      <c r="P514" s="61">
        <f t="shared" si="70"/>
        <v>0</v>
      </c>
      <c r="Q514" s="61">
        <f t="shared" si="71"/>
        <v>0</v>
      </c>
      <c r="R514" s="61">
        <f t="shared" si="72"/>
        <v>0</v>
      </c>
      <c r="S514" s="61">
        <f t="shared" si="73"/>
        <v>0</v>
      </c>
      <c r="T514" s="61">
        <f t="shared" si="74"/>
        <v>0</v>
      </c>
      <c r="U514" s="61">
        <f t="shared" si="75"/>
        <v>0</v>
      </c>
      <c r="V514" s="61">
        <f t="shared" si="76"/>
        <v>0</v>
      </c>
      <c r="W514" s="61">
        <f t="shared" si="77"/>
        <v>0</v>
      </c>
      <c r="X514" s="61">
        <f t="shared" si="78"/>
        <v>0</v>
      </c>
      <c r="Y514" s="61">
        <f t="shared" si="79"/>
        <v>0</v>
      </c>
      <c r="Z514" s="73"/>
      <c r="AA514" s="73"/>
      <c r="AB514" s="73"/>
      <c r="AC514" s="73"/>
      <c r="AD514" s="73"/>
      <c r="AE514" s="73"/>
      <c r="AF514" s="73"/>
      <c r="AG514" s="73"/>
      <c r="AH514" s="73"/>
      <c r="AI514" s="73"/>
      <c r="AJ514" s="73"/>
    </row>
    <row r="515" spans="2:36">
      <c r="B515" s="67"/>
      <c r="C515" s="225"/>
      <c r="D515" s="225"/>
      <c r="E515" s="68"/>
      <c r="F515" s="68"/>
      <c r="G515" s="69"/>
      <c r="H515" s="69"/>
      <c r="I515" s="72"/>
      <c r="J515" s="71"/>
      <c r="K515" s="68"/>
      <c r="L515" s="68"/>
      <c r="M515" s="68"/>
      <c r="N515" s="68"/>
      <c r="O515" s="68"/>
      <c r="P515" s="61">
        <f t="shared" si="70"/>
        <v>0</v>
      </c>
      <c r="Q515" s="61">
        <f t="shared" si="71"/>
        <v>0</v>
      </c>
      <c r="R515" s="61">
        <f t="shared" si="72"/>
        <v>0</v>
      </c>
      <c r="S515" s="61">
        <f t="shared" si="73"/>
        <v>0</v>
      </c>
      <c r="T515" s="61">
        <f t="shared" si="74"/>
        <v>0</v>
      </c>
      <c r="U515" s="61">
        <f t="shared" si="75"/>
        <v>0</v>
      </c>
      <c r="V515" s="61">
        <f t="shared" si="76"/>
        <v>0</v>
      </c>
      <c r="W515" s="61">
        <f t="shared" si="77"/>
        <v>0</v>
      </c>
      <c r="X515" s="61">
        <f t="shared" si="78"/>
        <v>0</v>
      </c>
      <c r="Y515" s="61">
        <f t="shared" si="79"/>
        <v>0</v>
      </c>
      <c r="Z515" s="73"/>
      <c r="AA515" s="73"/>
      <c r="AB515" s="73"/>
      <c r="AC515" s="73"/>
      <c r="AD515" s="73"/>
      <c r="AE515" s="73"/>
      <c r="AF515" s="73"/>
      <c r="AG515" s="73"/>
      <c r="AH515" s="73"/>
      <c r="AI515" s="73"/>
      <c r="AJ515" s="73"/>
    </row>
    <row r="516" spans="2:36">
      <c r="B516" s="67"/>
      <c r="C516" s="225"/>
      <c r="D516" s="225"/>
      <c r="E516" s="68"/>
      <c r="F516" s="68"/>
      <c r="G516" s="69"/>
      <c r="H516" s="69"/>
      <c r="I516" s="72"/>
      <c r="J516" s="71"/>
      <c r="K516" s="68"/>
      <c r="L516" s="68"/>
      <c r="M516" s="68"/>
      <c r="N516" s="68"/>
      <c r="O516" s="68"/>
      <c r="P516" s="61">
        <f t="shared" si="70"/>
        <v>0</v>
      </c>
      <c r="Q516" s="61">
        <f t="shared" si="71"/>
        <v>0</v>
      </c>
      <c r="R516" s="61">
        <f t="shared" si="72"/>
        <v>0</v>
      </c>
      <c r="S516" s="61">
        <f t="shared" si="73"/>
        <v>0</v>
      </c>
      <c r="T516" s="61">
        <f t="shared" si="74"/>
        <v>0</v>
      </c>
      <c r="U516" s="61">
        <f t="shared" si="75"/>
        <v>0</v>
      </c>
      <c r="V516" s="61">
        <f t="shared" si="76"/>
        <v>0</v>
      </c>
      <c r="W516" s="61">
        <f t="shared" si="77"/>
        <v>0</v>
      </c>
      <c r="X516" s="61">
        <f t="shared" si="78"/>
        <v>0</v>
      </c>
      <c r="Y516" s="61">
        <f t="shared" si="79"/>
        <v>0</v>
      </c>
      <c r="Z516" s="73"/>
      <c r="AA516" s="73"/>
      <c r="AB516" s="73"/>
      <c r="AC516" s="73"/>
      <c r="AD516" s="73"/>
      <c r="AE516" s="73"/>
      <c r="AF516" s="73"/>
      <c r="AG516" s="73"/>
      <c r="AH516" s="73"/>
      <c r="AI516" s="73"/>
      <c r="AJ516" s="73"/>
    </row>
    <row r="517" spans="2:36">
      <c r="B517" s="67"/>
      <c r="C517" s="225"/>
      <c r="D517" s="225"/>
      <c r="E517" s="68"/>
      <c r="F517" s="68"/>
      <c r="G517" s="69"/>
      <c r="H517" s="69"/>
      <c r="I517" s="72"/>
      <c r="J517" s="71"/>
      <c r="K517" s="68"/>
      <c r="L517" s="68"/>
      <c r="M517" s="68"/>
      <c r="N517" s="68"/>
      <c r="O517" s="68"/>
      <c r="P517" s="61">
        <f t="shared" si="70"/>
        <v>0</v>
      </c>
      <c r="Q517" s="61">
        <f t="shared" si="71"/>
        <v>0</v>
      </c>
      <c r="R517" s="61">
        <f t="shared" si="72"/>
        <v>0</v>
      </c>
      <c r="S517" s="61">
        <f t="shared" si="73"/>
        <v>0</v>
      </c>
      <c r="T517" s="61">
        <f t="shared" si="74"/>
        <v>0</v>
      </c>
      <c r="U517" s="61">
        <f t="shared" si="75"/>
        <v>0</v>
      </c>
      <c r="V517" s="61">
        <f t="shared" si="76"/>
        <v>0</v>
      </c>
      <c r="W517" s="61">
        <f t="shared" si="77"/>
        <v>0</v>
      </c>
      <c r="X517" s="61">
        <f t="shared" si="78"/>
        <v>0</v>
      </c>
      <c r="Y517" s="61">
        <f t="shared" si="79"/>
        <v>0</v>
      </c>
      <c r="Z517" s="73"/>
      <c r="AA517" s="73"/>
      <c r="AB517" s="73"/>
      <c r="AC517" s="73"/>
      <c r="AD517" s="73"/>
      <c r="AE517" s="73"/>
      <c r="AF517" s="73"/>
      <c r="AG517" s="73"/>
      <c r="AH517" s="73"/>
      <c r="AI517" s="73"/>
      <c r="AJ517" s="73"/>
    </row>
    <row r="518" spans="2:36">
      <c r="B518" s="67"/>
      <c r="C518" s="225"/>
      <c r="D518" s="225"/>
      <c r="E518" s="68"/>
      <c r="F518" s="68"/>
      <c r="G518" s="69"/>
      <c r="H518" s="69"/>
      <c r="I518" s="72"/>
      <c r="J518" s="71"/>
      <c r="K518" s="68"/>
      <c r="L518" s="68"/>
      <c r="M518" s="68"/>
      <c r="N518" s="68"/>
      <c r="O518" s="68"/>
      <c r="P518" s="61">
        <f t="shared" si="70"/>
        <v>0</v>
      </c>
      <c r="Q518" s="61">
        <f t="shared" si="71"/>
        <v>0</v>
      </c>
      <c r="R518" s="61">
        <f t="shared" si="72"/>
        <v>0</v>
      </c>
      <c r="S518" s="61">
        <f t="shared" si="73"/>
        <v>0</v>
      </c>
      <c r="T518" s="61">
        <f t="shared" si="74"/>
        <v>0</v>
      </c>
      <c r="U518" s="61">
        <f t="shared" si="75"/>
        <v>0</v>
      </c>
      <c r="V518" s="61">
        <f t="shared" si="76"/>
        <v>0</v>
      </c>
      <c r="W518" s="61">
        <f t="shared" si="77"/>
        <v>0</v>
      </c>
      <c r="X518" s="61">
        <f t="shared" si="78"/>
        <v>0</v>
      </c>
      <c r="Y518" s="61">
        <f t="shared" si="79"/>
        <v>0</v>
      </c>
      <c r="Z518" s="73"/>
      <c r="AA518" s="73"/>
      <c r="AB518" s="73"/>
      <c r="AC518" s="73"/>
      <c r="AD518" s="73"/>
      <c r="AE518" s="73"/>
      <c r="AF518" s="73"/>
      <c r="AG518" s="73"/>
      <c r="AH518" s="73"/>
      <c r="AI518" s="73"/>
      <c r="AJ518" s="73"/>
    </row>
    <row r="519" spans="2:36">
      <c r="B519" s="67"/>
      <c r="C519" s="225"/>
      <c r="D519" s="225"/>
      <c r="E519" s="68"/>
      <c r="F519" s="68"/>
      <c r="G519" s="69"/>
      <c r="H519" s="69"/>
      <c r="I519" s="72"/>
      <c r="J519" s="71"/>
      <c r="K519" s="68"/>
      <c r="L519" s="68"/>
      <c r="M519" s="68"/>
      <c r="N519" s="68"/>
      <c r="O519" s="68"/>
      <c r="P519" s="61">
        <f t="shared" si="70"/>
        <v>0</v>
      </c>
      <c r="Q519" s="61">
        <f t="shared" si="71"/>
        <v>0</v>
      </c>
      <c r="R519" s="61">
        <f t="shared" si="72"/>
        <v>0</v>
      </c>
      <c r="S519" s="61">
        <f t="shared" si="73"/>
        <v>0</v>
      </c>
      <c r="T519" s="61">
        <f t="shared" si="74"/>
        <v>0</v>
      </c>
      <c r="U519" s="61">
        <f t="shared" si="75"/>
        <v>0</v>
      </c>
      <c r="V519" s="61">
        <f t="shared" si="76"/>
        <v>0</v>
      </c>
      <c r="W519" s="61">
        <f t="shared" si="77"/>
        <v>0</v>
      </c>
      <c r="X519" s="61">
        <f t="shared" si="78"/>
        <v>0</v>
      </c>
      <c r="Y519" s="61">
        <f t="shared" si="79"/>
        <v>0</v>
      </c>
      <c r="Z519" s="73"/>
      <c r="AA519" s="73"/>
      <c r="AB519" s="73"/>
      <c r="AC519" s="73"/>
      <c r="AD519" s="73"/>
      <c r="AE519" s="73"/>
      <c r="AF519" s="73"/>
      <c r="AG519" s="73"/>
      <c r="AH519" s="73"/>
      <c r="AI519" s="73"/>
      <c r="AJ519" s="73"/>
    </row>
    <row r="520" spans="2:36">
      <c r="B520" s="67"/>
      <c r="C520" s="225"/>
      <c r="D520" s="225"/>
      <c r="E520" s="68"/>
      <c r="F520" s="68"/>
      <c r="G520" s="69"/>
      <c r="H520" s="69"/>
      <c r="I520" s="72"/>
      <c r="J520" s="71"/>
      <c r="K520" s="68"/>
      <c r="L520" s="68"/>
      <c r="M520" s="68"/>
      <c r="N520" s="68"/>
      <c r="O520" s="68"/>
      <c r="P520" s="61">
        <f t="shared" si="70"/>
        <v>0</v>
      </c>
      <c r="Q520" s="61">
        <f t="shared" si="71"/>
        <v>0</v>
      </c>
      <c r="R520" s="61">
        <f t="shared" si="72"/>
        <v>0</v>
      </c>
      <c r="S520" s="61">
        <f t="shared" si="73"/>
        <v>0</v>
      </c>
      <c r="T520" s="61">
        <f t="shared" si="74"/>
        <v>0</v>
      </c>
      <c r="U520" s="61">
        <f t="shared" si="75"/>
        <v>0</v>
      </c>
      <c r="V520" s="61">
        <f t="shared" si="76"/>
        <v>0</v>
      </c>
      <c r="W520" s="61">
        <f t="shared" si="77"/>
        <v>0</v>
      </c>
      <c r="X520" s="61">
        <f t="shared" si="78"/>
        <v>0</v>
      </c>
      <c r="Y520" s="61">
        <f t="shared" si="79"/>
        <v>0</v>
      </c>
      <c r="Z520" s="73"/>
      <c r="AA520" s="73"/>
      <c r="AB520" s="73"/>
      <c r="AC520" s="73"/>
      <c r="AD520" s="73"/>
      <c r="AE520" s="73"/>
      <c r="AF520" s="73"/>
      <c r="AG520" s="73"/>
      <c r="AH520" s="73"/>
      <c r="AI520" s="73"/>
      <c r="AJ520" s="73"/>
    </row>
    <row r="521" spans="2:36">
      <c r="B521" s="67"/>
      <c r="C521" s="225"/>
      <c r="D521" s="225"/>
      <c r="E521" s="68"/>
      <c r="F521" s="68"/>
      <c r="G521" s="69"/>
      <c r="H521" s="69"/>
      <c r="I521" s="72"/>
      <c r="J521" s="71"/>
      <c r="K521" s="68"/>
      <c r="L521" s="68"/>
      <c r="M521" s="68"/>
      <c r="N521" s="68"/>
      <c r="O521" s="68"/>
      <c r="P521" s="61">
        <f t="shared" si="70"/>
        <v>0</v>
      </c>
      <c r="Q521" s="61">
        <f t="shared" si="71"/>
        <v>0</v>
      </c>
      <c r="R521" s="61">
        <f t="shared" si="72"/>
        <v>0</v>
      </c>
      <c r="S521" s="61">
        <f t="shared" si="73"/>
        <v>0</v>
      </c>
      <c r="T521" s="61">
        <f t="shared" si="74"/>
        <v>0</v>
      </c>
      <c r="U521" s="61">
        <f t="shared" si="75"/>
        <v>0</v>
      </c>
      <c r="V521" s="61">
        <f t="shared" si="76"/>
        <v>0</v>
      </c>
      <c r="W521" s="61">
        <f t="shared" si="77"/>
        <v>0</v>
      </c>
      <c r="X521" s="61">
        <f t="shared" si="78"/>
        <v>0</v>
      </c>
      <c r="Y521" s="61">
        <f t="shared" si="79"/>
        <v>0</v>
      </c>
      <c r="Z521" s="73"/>
      <c r="AA521" s="73"/>
      <c r="AB521" s="73"/>
      <c r="AC521" s="73"/>
      <c r="AD521" s="73"/>
      <c r="AE521" s="73"/>
      <c r="AF521" s="73"/>
      <c r="AG521" s="73"/>
      <c r="AH521" s="73"/>
      <c r="AI521" s="73"/>
      <c r="AJ521" s="73"/>
    </row>
    <row r="522" spans="2:36">
      <c r="B522" s="67"/>
      <c r="C522" s="225"/>
      <c r="D522" s="225"/>
      <c r="E522" s="68"/>
      <c r="F522" s="68"/>
      <c r="G522" s="69"/>
      <c r="H522" s="69"/>
      <c r="I522" s="72"/>
      <c r="J522" s="71"/>
      <c r="K522" s="68"/>
      <c r="L522" s="68"/>
      <c r="M522" s="68"/>
      <c r="N522" s="68"/>
      <c r="O522" s="68"/>
      <c r="P522" s="61">
        <f t="shared" si="70"/>
        <v>0</v>
      </c>
      <c r="Q522" s="61">
        <f t="shared" si="71"/>
        <v>0</v>
      </c>
      <c r="R522" s="61">
        <f t="shared" si="72"/>
        <v>0</v>
      </c>
      <c r="S522" s="61">
        <f t="shared" si="73"/>
        <v>0</v>
      </c>
      <c r="T522" s="61">
        <f t="shared" si="74"/>
        <v>0</v>
      </c>
      <c r="U522" s="61">
        <f t="shared" si="75"/>
        <v>0</v>
      </c>
      <c r="V522" s="61">
        <f t="shared" si="76"/>
        <v>0</v>
      </c>
      <c r="W522" s="61">
        <f t="shared" si="77"/>
        <v>0</v>
      </c>
      <c r="X522" s="61">
        <f t="shared" si="78"/>
        <v>0</v>
      </c>
      <c r="Y522" s="61">
        <f t="shared" si="79"/>
        <v>0</v>
      </c>
      <c r="Z522" s="73"/>
      <c r="AA522" s="73"/>
      <c r="AB522" s="73"/>
      <c r="AC522" s="73"/>
      <c r="AD522" s="73"/>
      <c r="AE522" s="73"/>
      <c r="AF522" s="73"/>
      <c r="AG522" s="73"/>
      <c r="AH522" s="73"/>
      <c r="AI522" s="73"/>
      <c r="AJ522" s="73"/>
    </row>
    <row r="523" spans="2:36">
      <c r="B523" s="67"/>
      <c r="C523" s="225"/>
      <c r="D523" s="225"/>
      <c r="E523" s="68"/>
      <c r="F523" s="68"/>
      <c r="G523" s="69"/>
      <c r="H523" s="69"/>
      <c r="I523" s="72"/>
      <c r="J523" s="71"/>
      <c r="K523" s="68"/>
      <c r="L523" s="68"/>
      <c r="M523" s="68"/>
      <c r="N523" s="68"/>
      <c r="O523" s="68"/>
      <c r="P523" s="61">
        <f t="shared" si="70"/>
        <v>0</v>
      </c>
      <c r="Q523" s="61">
        <f t="shared" si="71"/>
        <v>0</v>
      </c>
      <c r="R523" s="61">
        <f t="shared" si="72"/>
        <v>0</v>
      </c>
      <c r="S523" s="61">
        <f t="shared" si="73"/>
        <v>0</v>
      </c>
      <c r="T523" s="61">
        <f t="shared" si="74"/>
        <v>0</v>
      </c>
      <c r="U523" s="61">
        <f t="shared" si="75"/>
        <v>0</v>
      </c>
      <c r="V523" s="61">
        <f t="shared" si="76"/>
        <v>0</v>
      </c>
      <c r="W523" s="61">
        <f t="shared" si="77"/>
        <v>0</v>
      </c>
      <c r="X523" s="61">
        <f t="shared" si="78"/>
        <v>0</v>
      </c>
      <c r="Y523" s="61">
        <f t="shared" si="79"/>
        <v>0</v>
      </c>
      <c r="Z523" s="73"/>
      <c r="AA523" s="73"/>
      <c r="AB523" s="73"/>
      <c r="AC523" s="73"/>
      <c r="AD523" s="73"/>
      <c r="AE523" s="73"/>
      <c r="AF523" s="73"/>
      <c r="AG523" s="73"/>
      <c r="AH523" s="73"/>
      <c r="AI523" s="73"/>
      <c r="AJ523" s="73"/>
    </row>
    <row r="524" spans="2:36">
      <c r="B524" s="67"/>
      <c r="C524" s="225"/>
      <c r="D524" s="225"/>
      <c r="E524" s="68"/>
      <c r="F524" s="68"/>
      <c r="G524" s="69"/>
      <c r="H524" s="69"/>
      <c r="I524" s="72"/>
      <c r="J524" s="71"/>
      <c r="K524" s="68"/>
      <c r="L524" s="68"/>
      <c r="M524" s="68"/>
      <c r="N524" s="68"/>
      <c r="O524" s="68"/>
      <c r="P524" s="61">
        <f t="shared" si="70"/>
        <v>0</v>
      </c>
      <c r="Q524" s="61">
        <f t="shared" si="71"/>
        <v>0</v>
      </c>
      <c r="R524" s="61">
        <f t="shared" si="72"/>
        <v>0</v>
      </c>
      <c r="S524" s="61">
        <f t="shared" si="73"/>
        <v>0</v>
      </c>
      <c r="T524" s="61">
        <f t="shared" si="74"/>
        <v>0</v>
      </c>
      <c r="U524" s="61">
        <f t="shared" si="75"/>
        <v>0</v>
      </c>
      <c r="V524" s="61">
        <f t="shared" si="76"/>
        <v>0</v>
      </c>
      <c r="W524" s="61">
        <f t="shared" si="77"/>
        <v>0</v>
      </c>
      <c r="X524" s="61">
        <f t="shared" si="78"/>
        <v>0</v>
      </c>
      <c r="Y524" s="61">
        <f t="shared" si="79"/>
        <v>0</v>
      </c>
      <c r="Z524" s="73"/>
      <c r="AA524" s="73"/>
      <c r="AB524" s="73"/>
      <c r="AC524" s="73"/>
      <c r="AD524" s="73"/>
      <c r="AE524" s="73"/>
      <c r="AF524" s="73"/>
      <c r="AG524" s="73"/>
      <c r="AH524" s="73"/>
      <c r="AI524" s="73"/>
      <c r="AJ524" s="73"/>
    </row>
    <row r="525" spans="2:36">
      <c r="B525" s="67"/>
      <c r="C525" s="225"/>
      <c r="D525" s="225"/>
      <c r="E525" s="68"/>
      <c r="F525" s="68"/>
      <c r="G525" s="69"/>
      <c r="H525" s="69"/>
      <c r="I525" s="72"/>
      <c r="J525" s="71"/>
      <c r="K525" s="68"/>
      <c r="L525" s="68"/>
      <c r="M525" s="68"/>
      <c r="N525" s="68"/>
      <c r="O525" s="68"/>
      <c r="P525" s="61">
        <f t="shared" si="70"/>
        <v>0</v>
      </c>
      <c r="Q525" s="61">
        <f t="shared" si="71"/>
        <v>0</v>
      </c>
      <c r="R525" s="61">
        <f t="shared" si="72"/>
        <v>0</v>
      </c>
      <c r="S525" s="61">
        <f t="shared" si="73"/>
        <v>0</v>
      </c>
      <c r="T525" s="61">
        <f t="shared" si="74"/>
        <v>0</v>
      </c>
      <c r="U525" s="61">
        <f t="shared" si="75"/>
        <v>0</v>
      </c>
      <c r="V525" s="61">
        <f t="shared" si="76"/>
        <v>0</v>
      </c>
      <c r="W525" s="61">
        <f t="shared" si="77"/>
        <v>0</v>
      </c>
      <c r="X525" s="61">
        <f t="shared" si="78"/>
        <v>0</v>
      </c>
      <c r="Y525" s="61">
        <f t="shared" si="79"/>
        <v>0</v>
      </c>
      <c r="Z525" s="73"/>
      <c r="AA525" s="73"/>
      <c r="AB525" s="73"/>
      <c r="AC525" s="73"/>
      <c r="AD525" s="73"/>
      <c r="AE525" s="73"/>
      <c r="AF525" s="73"/>
      <c r="AG525" s="73"/>
      <c r="AH525" s="73"/>
      <c r="AI525" s="73"/>
      <c r="AJ525" s="73"/>
    </row>
    <row r="526" spans="2:36">
      <c r="B526" s="67"/>
      <c r="C526" s="225"/>
      <c r="D526" s="225"/>
      <c r="E526" s="68"/>
      <c r="F526" s="68"/>
      <c r="G526" s="69"/>
      <c r="H526" s="69"/>
      <c r="I526" s="72"/>
      <c r="J526" s="71"/>
      <c r="K526" s="68"/>
      <c r="L526" s="68"/>
      <c r="M526" s="68"/>
      <c r="N526" s="68"/>
      <c r="O526" s="68"/>
      <c r="P526" s="61">
        <f t="shared" si="70"/>
        <v>0</v>
      </c>
      <c r="Q526" s="61">
        <f t="shared" si="71"/>
        <v>0</v>
      </c>
      <c r="R526" s="61">
        <f t="shared" si="72"/>
        <v>0</v>
      </c>
      <c r="S526" s="61">
        <f t="shared" si="73"/>
        <v>0</v>
      </c>
      <c r="T526" s="61">
        <f t="shared" si="74"/>
        <v>0</v>
      </c>
      <c r="U526" s="61">
        <f t="shared" si="75"/>
        <v>0</v>
      </c>
      <c r="V526" s="61">
        <f t="shared" si="76"/>
        <v>0</v>
      </c>
      <c r="W526" s="61">
        <f t="shared" si="77"/>
        <v>0</v>
      </c>
      <c r="X526" s="61">
        <f t="shared" si="78"/>
        <v>0</v>
      </c>
      <c r="Y526" s="61">
        <f t="shared" si="79"/>
        <v>0</v>
      </c>
      <c r="Z526" s="73"/>
      <c r="AA526" s="73"/>
      <c r="AB526" s="73"/>
      <c r="AC526" s="73"/>
      <c r="AD526" s="73"/>
      <c r="AE526" s="73"/>
      <c r="AF526" s="73"/>
      <c r="AG526" s="73"/>
      <c r="AH526" s="73"/>
      <c r="AI526" s="73"/>
      <c r="AJ526" s="73"/>
    </row>
    <row r="527" spans="2:36">
      <c r="B527" s="67"/>
      <c r="C527" s="225"/>
      <c r="D527" s="225"/>
      <c r="E527" s="68"/>
      <c r="F527" s="68"/>
      <c r="G527" s="69"/>
      <c r="H527" s="69"/>
      <c r="I527" s="72"/>
      <c r="J527" s="71"/>
      <c r="K527" s="68"/>
      <c r="L527" s="68"/>
      <c r="M527" s="68"/>
      <c r="N527" s="68"/>
      <c r="O527" s="68"/>
      <c r="P527" s="61">
        <f t="shared" si="70"/>
        <v>0</v>
      </c>
      <c r="Q527" s="61">
        <f t="shared" si="71"/>
        <v>0</v>
      </c>
      <c r="R527" s="61">
        <f t="shared" si="72"/>
        <v>0</v>
      </c>
      <c r="S527" s="61">
        <f t="shared" si="73"/>
        <v>0</v>
      </c>
      <c r="T527" s="61">
        <f t="shared" si="74"/>
        <v>0</v>
      </c>
      <c r="U527" s="61">
        <f t="shared" si="75"/>
        <v>0</v>
      </c>
      <c r="V527" s="61">
        <f t="shared" si="76"/>
        <v>0</v>
      </c>
      <c r="W527" s="61">
        <f t="shared" si="77"/>
        <v>0</v>
      </c>
      <c r="X527" s="61">
        <f t="shared" si="78"/>
        <v>0</v>
      </c>
      <c r="Y527" s="61">
        <f t="shared" si="79"/>
        <v>0</v>
      </c>
      <c r="Z527" s="73"/>
      <c r="AA527" s="73"/>
      <c r="AB527" s="73"/>
      <c r="AC527" s="73"/>
      <c r="AD527" s="73"/>
      <c r="AE527" s="73"/>
      <c r="AF527" s="73"/>
      <c r="AG527" s="73"/>
      <c r="AH527" s="73"/>
      <c r="AI527" s="73"/>
      <c r="AJ527" s="73"/>
    </row>
    <row r="528" spans="2:36">
      <c r="B528" s="67"/>
      <c r="C528" s="225"/>
      <c r="D528" s="225"/>
      <c r="E528" s="68"/>
      <c r="F528" s="68"/>
      <c r="G528" s="69"/>
      <c r="H528" s="69"/>
      <c r="I528" s="72"/>
      <c r="J528" s="71"/>
      <c r="K528" s="68"/>
      <c r="L528" s="68"/>
      <c r="M528" s="68"/>
      <c r="N528" s="68"/>
      <c r="O528" s="68"/>
      <c r="P528" s="61">
        <f t="shared" si="70"/>
        <v>0</v>
      </c>
      <c r="Q528" s="61">
        <f t="shared" si="71"/>
        <v>0</v>
      </c>
      <c r="R528" s="61">
        <f t="shared" si="72"/>
        <v>0</v>
      </c>
      <c r="S528" s="61">
        <f t="shared" si="73"/>
        <v>0</v>
      </c>
      <c r="T528" s="61">
        <f t="shared" si="74"/>
        <v>0</v>
      </c>
      <c r="U528" s="61">
        <f t="shared" si="75"/>
        <v>0</v>
      </c>
      <c r="V528" s="61">
        <f t="shared" si="76"/>
        <v>0</v>
      </c>
      <c r="W528" s="61">
        <f t="shared" si="77"/>
        <v>0</v>
      </c>
      <c r="X528" s="61">
        <f t="shared" si="78"/>
        <v>0</v>
      </c>
      <c r="Y528" s="61">
        <f t="shared" si="79"/>
        <v>0</v>
      </c>
      <c r="Z528" s="73"/>
      <c r="AA528" s="73"/>
      <c r="AB528" s="73"/>
      <c r="AC528" s="73"/>
      <c r="AD528" s="73"/>
      <c r="AE528" s="73"/>
      <c r="AF528" s="73"/>
      <c r="AG528" s="73"/>
      <c r="AH528" s="73"/>
      <c r="AI528" s="73"/>
      <c r="AJ528" s="73"/>
    </row>
    <row r="529" spans="2:36">
      <c r="B529" s="67"/>
      <c r="C529" s="225"/>
      <c r="D529" s="225"/>
      <c r="E529" s="68"/>
      <c r="F529" s="68"/>
      <c r="G529" s="69"/>
      <c r="H529" s="69"/>
      <c r="I529" s="72"/>
      <c r="J529" s="71"/>
      <c r="K529" s="68"/>
      <c r="L529" s="68"/>
      <c r="M529" s="68"/>
      <c r="N529" s="68"/>
      <c r="O529" s="68"/>
      <c r="P529" s="61">
        <f t="shared" si="70"/>
        <v>0</v>
      </c>
      <c r="Q529" s="61">
        <f t="shared" si="71"/>
        <v>0</v>
      </c>
      <c r="R529" s="61">
        <f t="shared" si="72"/>
        <v>0</v>
      </c>
      <c r="S529" s="61">
        <f t="shared" si="73"/>
        <v>0</v>
      </c>
      <c r="T529" s="61">
        <f t="shared" si="74"/>
        <v>0</v>
      </c>
      <c r="U529" s="61">
        <f t="shared" si="75"/>
        <v>0</v>
      </c>
      <c r="V529" s="61">
        <f t="shared" si="76"/>
        <v>0</v>
      </c>
      <c r="W529" s="61">
        <f t="shared" si="77"/>
        <v>0</v>
      </c>
      <c r="X529" s="61">
        <f t="shared" si="78"/>
        <v>0</v>
      </c>
      <c r="Y529" s="61">
        <f t="shared" si="79"/>
        <v>0</v>
      </c>
      <c r="Z529" s="73"/>
      <c r="AA529" s="73"/>
      <c r="AB529" s="73"/>
      <c r="AC529" s="73"/>
      <c r="AD529" s="73"/>
      <c r="AE529" s="73"/>
      <c r="AF529" s="73"/>
      <c r="AG529" s="73"/>
      <c r="AH529" s="73"/>
      <c r="AI529" s="73"/>
      <c r="AJ529" s="73"/>
    </row>
    <row r="530" spans="2:36">
      <c r="B530" s="67"/>
      <c r="C530" s="225"/>
      <c r="D530" s="225"/>
      <c r="E530" s="68"/>
      <c r="F530" s="68"/>
      <c r="G530" s="69"/>
      <c r="H530" s="69"/>
      <c r="I530" s="72"/>
      <c r="J530" s="71"/>
      <c r="K530" s="68"/>
      <c r="L530" s="68"/>
      <c r="M530" s="68"/>
      <c r="N530" s="68"/>
      <c r="O530" s="68"/>
      <c r="P530" s="61">
        <f t="shared" si="70"/>
        <v>0</v>
      </c>
      <c r="Q530" s="61">
        <f t="shared" si="71"/>
        <v>0</v>
      </c>
      <c r="R530" s="61">
        <f t="shared" si="72"/>
        <v>0</v>
      </c>
      <c r="S530" s="61">
        <f t="shared" si="73"/>
        <v>0</v>
      </c>
      <c r="T530" s="61">
        <f t="shared" si="74"/>
        <v>0</v>
      </c>
      <c r="U530" s="61">
        <f t="shared" si="75"/>
        <v>0</v>
      </c>
      <c r="V530" s="61">
        <f t="shared" si="76"/>
        <v>0</v>
      </c>
      <c r="W530" s="61">
        <f t="shared" si="77"/>
        <v>0</v>
      </c>
      <c r="X530" s="61">
        <f t="shared" si="78"/>
        <v>0</v>
      </c>
      <c r="Y530" s="61">
        <f t="shared" si="79"/>
        <v>0</v>
      </c>
      <c r="Z530" s="73"/>
      <c r="AA530" s="73"/>
      <c r="AB530" s="73"/>
      <c r="AC530" s="73"/>
      <c r="AD530" s="73"/>
      <c r="AE530" s="73"/>
      <c r="AF530" s="73"/>
      <c r="AG530" s="73"/>
      <c r="AH530" s="73"/>
      <c r="AI530" s="73"/>
      <c r="AJ530" s="73"/>
    </row>
    <row r="531" spans="2:36">
      <c r="B531" s="67"/>
      <c r="C531" s="225"/>
      <c r="D531" s="225"/>
      <c r="E531" s="68"/>
      <c r="F531" s="68"/>
      <c r="G531" s="69"/>
      <c r="H531" s="69"/>
      <c r="I531" s="72"/>
      <c r="J531" s="71"/>
      <c r="K531" s="68"/>
      <c r="L531" s="68"/>
      <c r="M531" s="68"/>
      <c r="N531" s="68"/>
      <c r="O531" s="68"/>
      <c r="P531" s="61">
        <f t="shared" si="70"/>
        <v>0</v>
      </c>
      <c r="Q531" s="61">
        <f t="shared" si="71"/>
        <v>0</v>
      </c>
      <c r="R531" s="61">
        <f t="shared" si="72"/>
        <v>0</v>
      </c>
      <c r="S531" s="61">
        <f t="shared" si="73"/>
        <v>0</v>
      </c>
      <c r="T531" s="61">
        <f t="shared" si="74"/>
        <v>0</v>
      </c>
      <c r="U531" s="61">
        <f t="shared" si="75"/>
        <v>0</v>
      </c>
      <c r="V531" s="61">
        <f t="shared" si="76"/>
        <v>0</v>
      </c>
      <c r="W531" s="61">
        <f t="shared" si="77"/>
        <v>0</v>
      </c>
      <c r="X531" s="61">
        <f t="shared" si="78"/>
        <v>0</v>
      </c>
      <c r="Y531" s="61">
        <f t="shared" si="79"/>
        <v>0</v>
      </c>
      <c r="Z531" s="73"/>
      <c r="AA531" s="73"/>
      <c r="AB531" s="73"/>
      <c r="AC531" s="73"/>
      <c r="AD531" s="73"/>
      <c r="AE531" s="73"/>
      <c r="AF531" s="73"/>
      <c r="AG531" s="73"/>
      <c r="AH531" s="73"/>
      <c r="AI531" s="73"/>
      <c r="AJ531" s="73"/>
    </row>
    <row r="532" spans="2:36">
      <c r="B532" s="67"/>
      <c r="C532" s="225"/>
      <c r="D532" s="225"/>
      <c r="E532" s="68"/>
      <c r="F532" s="68"/>
      <c r="G532" s="69"/>
      <c r="H532" s="69"/>
      <c r="I532" s="72"/>
      <c r="J532" s="71"/>
      <c r="K532" s="68"/>
      <c r="L532" s="68"/>
      <c r="M532" s="68"/>
      <c r="N532" s="68"/>
      <c r="O532" s="68"/>
      <c r="P532" s="61">
        <f t="shared" si="70"/>
        <v>0</v>
      </c>
      <c r="Q532" s="61">
        <f t="shared" si="71"/>
        <v>0</v>
      </c>
      <c r="R532" s="61">
        <f t="shared" si="72"/>
        <v>0</v>
      </c>
      <c r="S532" s="61">
        <f t="shared" si="73"/>
        <v>0</v>
      </c>
      <c r="T532" s="61">
        <f t="shared" si="74"/>
        <v>0</v>
      </c>
      <c r="U532" s="61">
        <f t="shared" si="75"/>
        <v>0</v>
      </c>
      <c r="V532" s="61">
        <f t="shared" si="76"/>
        <v>0</v>
      </c>
      <c r="W532" s="61">
        <f t="shared" si="77"/>
        <v>0</v>
      </c>
      <c r="X532" s="61">
        <f t="shared" si="78"/>
        <v>0</v>
      </c>
      <c r="Y532" s="61">
        <f t="shared" si="79"/>
        <v>0</v>
      </c>
      <c r="Z532" s="73"/>
      <c r="AA532" s="73"/>
      <c r="AB532" s="73"/>
      <c r="AC532" s="73"/>
      <c r="AD532" s="73"/>
      <c r="AE532" s="73"/>
      <c r="AF532" s="73"/>
      <c r="AG532" s="73"/>
      <c r="AH532" s="73"/>
      <c r="AI532" s="73"/>
      <c r="AJ532" s="73"/>
    </row>
    <row r="533" spans="2:36">
      <c r="B533" s="67"/>
      <c r="C533" s="225"/>
      <c r="D533" s="225"/>
      <c r="E533" s="68"/>
      <c r="F533" s="68"/>
      <c r="G533" s="69"/>
      <c r="H533" s="69"/>
      <c r="I533" s="72"/>
      <c r="J533" s="71"/>
      <c r="K533" s="68"/>
      <c r="L533" s="68"/>
      <c r="M533" s="68"/>
      <c r="N533" s="68"/>
      <c r="O533" s="68"/>
      <c r="P533" s="61">
        <f t="shared" si="70"/>
        <v>0</v>
      </c>
      <c r="Q533" s="61">
        <f t="shared" si="71"/>
        <v>0</v>
      </c>
      <c r="R533" s="61">
        <f t="shared" si="72"/>
        <v>0</v>
      </c>
      <c r="S533" s="61">
        <f t="shared" si="73"/>
        <v>0</v>
      </c>
      <c r="T533" s="61">
        <f t="shared" si="74"/>
        <v>0</v>
      </c>
      <c r="U533" s="61">
        <f t="shared" si="75"/>
        <v>0</v>
      </c>
      <c r="V533" s="61">
        <f t="shared" si="76"/>
        <v>0</v>
      </c>
      <c r="W533" s="61">
        <f t="shared" si="77"/>
        <v>0</v>
      </c>
      <c r="X533" s="61">
        <f t="shared" si="78"/>
        <v>0</v>
      </c>
      <c r="Y533" s="61">
        <f t="shared" si="79"/>
        <v>0</v>
      </c>
      <c r="Z533" s="73"/>
      <c r="AA533" s="73"/>
      <c r="AB533" s="73"/>
      <c r="AC533" s="73"/>
      <c r="AD533" s="73"/>
      <c r="AE533" s="73"/>
      <c r="AF533" s="73"/>
      <c r="AG533" s="73"/>
      <c r="AH533" s="73"/>
      <c r="AI533" s="73"/>
      <c r="AJ533" s="73"/>
    </row>
    <row r="534" spans="2:36">
      <c r="B534"/>
      <c r="C534"/>
      <c r="D534"/>
      <c r="E534"/>
      <c r="F534"/>
      <c r="G534" s="74"/>
      <c r="H534" s="74"/>
      <c r="I534"/>
      <c r="J534"/>
      <c r="K534"/>
      <c r="L534"/>
      <c r="M534"/>
      <c r="N534"/>
      <c r="U534" s="61">
        <f t="shared" si="75"/>
        <v>0</v>
      </c>
      <c r="V534" s="61">
        <f t="shared" si="76"/>
        <v>0</v>
      </c>
      <c r="W534" s="61">
        <f t="shared" si="77"/>
        <v>0</v>
      </c>
      <c r="X534" s="61">
        <f t="shared" si="78"/>
        <v>0</v>
      </c>
      <c r="Y534" s="61">
        <f t="shared" si="79"/>
        <v>0</v>
      </c>
      <c r="Z534" s="73"/>
      <c r="AA534" s="73"/>
      <c r="AB534" s="73"/>
      <c r="AC534" s="73"/>
      <c r="AD534" s="73"/>
      <c r="AE534" s="73"/>
      <c r="AF534" s="73"/>
      <c r="AG534" s="73"/>
      <c r="AH534" s="73"/>
      <c r="AI534" s="73"/>
      <c r="AJ534" s="73"/>
    </row>
    <row r="535" spans="2:36">
      <c r="B535"/>
      <c r="C535"/>
      <c r="D535"/>
      <c r="E535"/>
      <c r="F535"/>
      <c r="G535" s="74"/>
      <c r="H535" s="74"/>
      <c r="I535"/>
      <c r="J535"/>
      <c r="K535"/>
      <c r="L535"/>
      <c r="M535"/>
      <c r="N535"/>
      <c r="U535" s="61">
        <f t="shared" si="75"/>
        <v>0</v>
      </c>
      <c r="V535" s="61">
        <f t="shared" si="76"/>
        <v>0</v>
      </c>
      <c r="W535" s="61">
        <f t="shared" si="77"/>
        <v>0</v>
      </c>
      <c r="X535" s="61">
        <f t="shared" si="78"/>
        <v>0</v>
      </c>
      <c r="Y535" s="61">
        <f t="shared" si="79"/>
        <v>0</v>
      </c>
      <c r="Z535" s="73"/>
      <c r="AA535" s="73"/>
      <c r="AB535" s="73"/>
      <c r="AC535" s="73"/>
      <c r="AD535" s="73"/>
      <c r="AE535" s="73"/>
      <c r="AF535" s="73"/>
      <c r="AG535" s="73"/>
      <c r="AH535" s="73"/>
      <c r="AI535" s="73"/>
      <c r="AJ535" s="73"/>
    </row>
    <row r="536" spans="2:36">
      <c r="B536"/>
      <c r="C536"/>
      <c r="D536"/>
      <c r="E536"/>
      <c r="F536"/>
      <c r="G536" s="74"/>
      <c r="H536" s="74"/>
      <c r="I536"/>
      <c r="J536"/>
      <c r="K536"/>
      <c r="L536"/>
      <c r="M536"/>
      <c r="N536"/>
      <c r="U536" s="61">
        <f t="shared" si="75"/>
        <v>0</v>
      </c>
      <c r="V536" s="61">
        <f t="shared" si="76"/>
        <v>0</v>
      </c>
      <c r="W536" s="61">
        <f t="shared" si="77"/>
        <v>0</v>
      </c>
      <c r="X536" s="61">
        <f t="shared" si="78"/>
        <v>0</v>
      </c>
      <c r="Y536" s="61">
        <f t="shared" si="79"/>
        <v>0</v>
      </c>
      <c r="Z536" s="73"/>
      <c r="AA536" s="73"/>
      <c r="AB536" s="73"/>
      <c r="AC536" s="73"/>
      <c r="AD536" s="73"/>
      <c r="AE536" s="73"/>
      <c r="AF536" s="73"/>
      <c r="AG536" s="73"/>
      <c r="AH536" s="73"/>
      <c r="AI536" s="73"/>
      <c r="AJ536" s="73"/>
    </row>
    <row r="537" spans="2:36">
      <c r="B537"/>
      <c r="C537"/>
      <c r="D537"/>
      <c r="E537"/>
      <c r="F537"/>
      <c r="G537"/>
      <c r="H537"/>
      <c r="I537"/>
      <c r="J537"/>
      <c r="K537"/>
      <c r="L537"/>
      <c r="M537"/>
      <c r="N537"/>
      <c r="U537" s="61">
        <f t="shared" si="75"/>
        <v>0</v>
      </c>
      <c r="V537" s="61">
        <f t="shared" si="76"/>
        <v>0</v>
      </c>
      <c r="W537" s="61">
        <f t="shared" si="77"/>
        <v>0</v>
      </c>
      <c r="X537" s="61">
        <f t="shared" si="78"/>
        <v>0</v>
      </c>
      <c r="Y537" s="61">
        <f t="shared" si="79"/>
        <v>0</v>
      </c>
      <c r="Z537" s="73"/>
      <c r="AA537" s="73"/>
      <c r="AB537" s="73"/>
      <c r="AC537" s="73"/>
      <c r="AD537" s="73"/>
      <c r="AE537" s="73"/>
      <c r="AF537" s="73"/>
      <c r="AG537" s="73"/>
      <c r="AH537" s="73"/>
      <c r="AI537" s="73"/>
      <c r="AJ537" s="73"/>
    </row>
    <row r="538" spans="2:36">
      <c r="B538"/>
      <c r="C538"/>
      <c r="D538"/>
      <c r="E538"/>
      <c r="F538"/>
      <c r="G538"/>
      <c r="H538"/>
      <c r="I538"/>
      <c r="J538"/>
      <c r="K538"/>
      <c r="L538"/>
      <c r="M538"/>
      <c r="N538"/>
      <c r="U538" s="61">
        <f t="shared" si="75"/>
        <v>0</v>
      </c>
      <c r="V538" s="61">
        <f t="shared" si="76"/>
        <v>0</v>
      </c>
      <c r="W538" s="61">
        <f t="shared" si="77"/>
        <v>0</v>
      </c>
      <c r="X538" s="61">
        <f t="shared" si="78"/>
        <v>0</v>
      </c>
      <c r="Y538" s="61">
        <f t="shared" si="79"/>
        <v>0</v>
      </c>
      <c r="Z538" s="73"/>
      <c r="AA538" s="73"/>
      <c r="AB538" s="73"/>
      <c r="AC538" s="73"/>
      <c r="AD538" s="73"/>
      <c r="AE538" s="73"/>
      <c r="AF538" s="73"/>
      <c r="AG538" s="73"/>
      <c r="AH538" s="73"/>
      <c r="AI538" s="73"/>
      <c r="AJ538" s="73"/>
    </row>
    <row r="539" spans="2:36">
      <c r="B539"/>
      <c r="C539"/>
      <c r="D539"/>
      <c r="E539"/>
      <c r="F539"/>
      <c r="G539"/>
      <c r="H539"/>
      <c r="I539"/>
      <c r="J539"/>
      <c r="K539"/>
      <c r="L539"/>
      <c r="M539"/>
      <c r="N539"/>
      <c r="U539" s="61">
        <f t="shared" si="75"/>
        <v>0</v>
      </c>
      <c r="V539" s="61">
        <f t="shared" si="76"/>
        <v>0</v>
      </c>
      <c r="W539" s="61">
        <f t="shared" si="77"/>
        <v>0</v>
      </c>
      <c r="X539" s="61">
        <f t="shared" si="78"/>
        <v>0</v>
      </c>
      <c r="Y539" s="61">
        <f t="shared" si="79"/>
        <v>0</v>
      </c>
      <c r="Z539" s="73"/>
      <c r="AA539" s="73"/>
      <c r="AB539" s="73"/>
      <c r="AC539" s="73"/>
      <c r="AD539" s="73"/>
      <c r="AE539" s="73"/>
      <c r="AF539" s="73"/>
      <c r="AG539" s="73"/>
      <c r="AH539" s="73"/>
      <c r="AI539" s="73"/>
      <c r="AJ539" s="73"/>
    </row>
    <row r="540" spans="2:36">
      <c r="B540"/>
      <c r="C540"/>
      <c r="D540"/>
      <c r="E540"/>
      <c r="F540"/>
      <c r="G540"/>
      <c r="H540"/>
      <c r="I540"/>
      <c r="J540"/>
      <c r="K540"/>
      <c r="L540"/>
      <c r="M540"/>
      <c r="U540" s="61">
        <f t="shared" si="75"/>
        <v>0</v>
      </c>
      <c r="V540" s="61">
        <f t="shared" si="76"/>
        <v>0</v>
      </c>
      <c r="W540" s="61">
        <f t="shared" si="77"/>
        <v>0</v>
      </c>
      <c r="X540" s="61">
        <f t="shared" si="78"/>
        <v>0</v>
      </c>
      <c r="Y540" s="61">
        <f t="shared" si="79"/>
        <v>0</v>
      </c>
      <c r="Z540" s="73"/>
      <c r="AA540" s="73"/>
      <c r="AB540" s="73"/>
      <c r="AC540" s="73"/>
      <c r="AD540" s="73"/>
      <c r="AE540" s="73"/>
      <c r="AF540" s="73"/>
      <c r="AG540" s="73"/>
      <c r="AH540" s="73"/>
      <c r="AI540" s="73"/>
      <c r="AJ540" s="73"/>
    </row>
    <row r="541" spans="2:36">
      <c r="B541"/>
      <c r="C541"/>
      <c r="D541"/>
      <c r="E541"/>
      <c r="F541"/>
      <c r="G541"/>
      <c r="H541"/>
      <c r="I541"/>
      <c r="J541"/>
      <c r="K541"/>
      <c r="L541"/>
      <c r="M541"/>
      <c r="U541" s="61">
        <f t="shared" si="75"/>
        <v>0</v>
      </c>
      <c r="V541" s="61">
        <f t="shared" si="76"/>
        <v>0</v>
      </c>
      <c r="W541" s="61">
        <f t="shared" si="77"/>
        <v>0</v>
      </c>
      <c r="X541" s="61">
        <f t="shared" si="78"/>
        <v>0</v>
      </c>
      <c r="Y541" s="61">
        <f t="shared" si="79"/>
        <v>0</v>
      </c>
      <c r="Z541" s="73"/>
      <c r="AA541" s="73"/>
      <c r="AB541" s="73"/>
      <c r="AC541" s="73"/>
      <c r="AD541" s="73"/>
      <c r="AE541" s="73"/>
      <c r="AF541" s="73"/>
      <c r="AG541" s="73"/>
      <c r="AH541" s="73"/>
      <c r="AI541" s="73"/>
      <c r="AJ541" s="73"/>
    </row>
    <row r="542" spans="2:36">
      <c r="B542"/>
      <c r="C542"/>
      <c r="D542"/>
      <c r="E542"/>
      <c r="F542"/>
      <c r="G542"/>
      <c r="H542"/>
      <c r="I542"/>
      <c r="J542"/>
      <c r="K542" s="75"/>
      <c r="L542" s="75"/>
      <c r="M542" s="75"/>
      <c r="U542" s="61">
        <f t="shared" si="75"/>
        <v>0</v>
      </c>
      <c r="V542" s="61">
        <f t="shared" si="76"/>
        <v>0</v>
      </c>
      <c r="W542" s="61">
        <f t="shared" si="77"/>
        <v>0</v>
      </c>
      <c r="X542" s="61">
        <f t="shared" si="78"/>
        <v>0</v>
      </c>
      <c r="Y542" s="61">
        <f t="shared" si="79"/>
        <v>0</v>
      </c>
    </row>
    <row r="543" spans="2:36">
      <c r="B543"/>
      <c r="C543"/>
      <c r="D543"/>
      <c r="E543"/>
      <c r="F543"/>
      <c r="G543"/>
      <c r="H543"/>
      <c r="I543"/>
      <c r="J543"/>
      <c r="K543" s="75"/>
      <c r="L543" s="75"/>
      <c r="M543" s="75"/>
      <c r="U543" s="61">
        <f t="shared" si="75"/>
        <v>0</v>
      </c>
      <c r="V543" s="61">
        <f t="shared" si="76"/>
        <v>0</v>
      </c>
      <c r="W543" s="61">
        <f t="shared" si="77"/>
        <v>0</v>
      </c>
      <c r="X543" s="61">
        <f t="shared" si="78"/>
        <v>0</v>
      </c>
      <c r="Y543" s="61">
        <f t="shared" si="79"/>
        <v>0</v>
      </c>
    </row>
    <row r="544" spans="2:36">
      <c r="B544"/>
      <c r="C544"/>
      <c r="D544"/>
      <c r="E544"/>
      <c r="F544"/>
      <c r="G544"/>
      <c r="H544"/>
      <c r="I544"/>
      <c r="J544"/>
      <c r="K544" s="75"/>
      <c r="L544" s="75"/>
      <c r="M544" s="75"/>
      <c r="U544" s="61">
        <f t="shared" si="75"/>
        <v>0</v>
      </c>
      <c r="V544" s="61">
        <f t="shared" si="76"/>
        <v>0</v>
      </c>
      <c r="W544" s="61">
        <f t="shared" si="77"/>
        <v>0</v>
      </c>
      <c r="X544" s="61">
        <f t="shared" si="78"/>
        <v>0</v>
      </c>
      <c r="Y544" s="61">
        <f t="shared" si="79"/>
        <v>0</v>
      </c>
    </row>
    <row r="545" spans="2:25">
      <c r="B545"/>
      <c r="C545"/>
      <c r="D545"/>
      <c r="E545"/>
      <c r="F545"/>
      <c r="G545"/>
      <c r="H545"/>
      <c r="I545"/>
      <c r="J545"/>
      <c r="K545" s="75"/>
      <c r="L545" s="75"/>
      <c r="M545" s="75"/>
      <c r="U545" s="61">
        <f t="shared" ref="U545:U580" si="80">IF(OR(E545="CR",E545="MA",E545="E"),IF(J545="",1,0),0)</f>
        <v>0</v>
      </c>
      <c r="V545" s="61">
        <f t="shared" ref="V545:V580" si="81">IF(H545="ACC",1,0)</f>
        <v>0</v>
      </c>
      <c r="W545" s="61">
        <f t="shared" ref="W545:W580" si="82">IF(K545="",0,1)</f>
        <v>0</v>
      </c>
      <c r="X545" s="61">
        <f t="shared" ref="X545:X580" si="83">IF(AND(H545="ACC"),IF(K545="",1,0),0)</f>
        <v>0</v>
      </c>
      <c r="Y545" s="61">
        <f t="shared" ref="Y545:Y580" si="84">IF(AND(H545="ACC"),IF(M545="",1,0),0)</f>
        <v>0</v>
      </c>
    </row>
    <row r="546" spans="2:25">
      <c r="B546"/>
      <c r="C546"/>
      <c r="D546"/>
      <c r="E546"/>
      <c r="F546"/>
      <c r="G546"/>
      <c r="H546"/>
      <c r="I546"/>
      <c r="J546"/>
      <c r="K546" s="75"/>
      <c r="L546" s="75"/>
      <c r="M546" s="75"/>
      <c r="U546" s="61">
        <f t="shared" si="80"/>
        <v>0</v>
      </c>
      <c r="V546" s="61">
        <f t="shared" si="81"/>
        <v>0</v>
      </c>
      <c r="W546" s="61">
        <f t="shared" si="82"/>
        <v>0</v>
      </c>
      <c r="X546" s="61">
        <f t="shared" si="83"/>
        <v>0</v>
      </c>
      <c r="Y546" s="61">
        <f t="shared" si="84"/>
        <v>0</v>
      </c>
    </row>
    <row r="547" spans="2:25">
      <c r="B547"/>
      <c r="C547"/>
      <c r="D547"/>
      <c r="E547"/>
      <c r="F547"/>
      <c r="G547"/>
      <c r="H547"/>
      <c r="I547"/>
      <c r="J547"/>
      <c r="K547" s="75"/>
      <c r="L547" s="75"/>
      <c r="M547" s="75"/>
      <c r="U547" s="61">
        <f t="shared" si="80"/>
        <v>0</v>
      </c>
      <c r="V547" s="61">
        <f t="shared" si="81"/>
        <v>0</v>
      </c>
      <c r="W547" s="61">
        <f t="shared" si="82"/>
        <v>0</v>
      </c>
      <c r="X547" s="61">
        <f t="shared" si="83"/>
        <v>0</v>
      </c>
      <c r="Y547" s="61">
        <f t="shared" si="84"/>
        <v>0</v>
      </c>
    </row>
    <row r="548" spans="2:25">
      <c r="B548"/>
      <c r="C548"/>
      <c r="D548"/>
      <c r="E548"/>
      <c r="F548"/>
      <c r="G548"/>
      <c r="H548"/>
      <c r="I548"/>
      <c r="J548"/>
      <c r="K548" s="75"/>
      <c r="L548" s="75"/>
      <c r="M548" s="75"/>
      <c r="U548" s="61">
        <f t="shared" si="80"/>
        <v>0</v>
      </c>
      <c r="V548" s="61">
        <f t="shared" si="81"/>
        <v>0</v>
      </c>
      <c r="W548" s="61">
        <f t="shared" si="82"/>
        <v>0</v>
      </c>
      <c r="X548" s="61">
        <f t="shared" si="83"/>
        <v>0</v>
      </c>
      <c r="Y548" s="61">
        <f t="shared" si="84"/>
        <v>0</v>
      </c>
    </row>
    <row r="549" spans="2:25">
      <c r="B549"/>
      <c r="C549"/>
      <c r="D549"/>
      <c r="E549"/>
      <c r="F549"/>
      <c r="G549"/>
      <c r="H549"/>
      <c r="I549"/>
      <c r="J549"/>
      <c r="K549" s="75"/>
      <c r="L549" s="75"/>
      <c r="M549" s="75"/>
      <c r="U549" s="61">
        <f t="shared" si="80"/>
        <v>0</v>
      </c>
      <c r="V549" s="61">
        <f t="shared" si="81"/>
        <v>0</v>
      </c>
      <c r="W549" s="61">
        <f t="shared" si="82"/>
        <v>0</v>
      </c>
      <c r="X549" s="61">
        <f t="shared" si="83"/>
        <v>0</v>
      </c>
      <c r="Y549" s="61">
        <f t="shared" si="84"/>
        <v>0</v>
      </c>
    </row>
    <row r="550" spans="2:25">
      <c r="B550"/>
      <c r="C550"/>
      <c r="D550"/>
      <c r="E550"/>
      <c r="F550"/>
      <c r="G550"/>
      <c r="H550"/>
      <c r="I550"/>
      <c r="J550"/>
      <c r="K550" s="75"/>
      <c r="L550" s="75"/>
      <c r="M550" s="75"/>
      <c r="U550" s="61">
        <f t="shared" si="80"/>
        <v>0</v>
      </c>
      <c r="V550" s="61">
        <f t="shared" si="81"/>
        <v>0</v>
      </c>
      <c r="W550" s="61">
        <f t="shared" si="82"/>
        <v>0</v>
      </c>
      <c r="X550" s="61">
        <f t="shared" si="83"/>
        <v>0</v>
      </c>
      <c r="Y550" s="61">
        <f t="shared" si="84"/>
        <v>0</v>
      </c>
    </row>
    <row r="551" spans="2:25">
      <c r="B551"/>
      <c r="C551"/>
      <c r="D551"/>
      <c r="E551"/>
      <c r="F551"/>
      <c r="G551"/>
      <c r="H551"/>
      <c r="I551"/>
      <c r="J551"/>
      <c r="K551" s="75"/>
      <c r="L551" s="75"/>
      <c r="M551" s="75"/>
      <c r="U551" s="61">
        <f t="shared" si="80"/>
        <v>0</v>
      </c>
      <c r="V551" s="61">
        <f t="shared" si="81"/>
        <v>0</v>
      </c>
      <c r="W551" s="61">
        <f t="shared" si="82"/>
        <v>0</v>
      </c>
      <c r="X551" s="61">
        <f t="shared" si="83"/>
        <v>0</v>
      </c>
      <c r="Y551" s="61">
        <f t="shared" si="84"/>
        <v>0</v>
      </c>
    </row>
    <row r="552" spans="2:25">
      <c r="B552"/>
      <c r="C552"/>
      <c r="D552"/>
      <c r="E552"/>
      <c r="F552"/>
      <c r="G552"/>
      <c r="H552"/>
      <c r="I552"/>
      <c r="J552"/>
      <c r="K552" s="75"/>
      <c r="L552" s="75"/>
      <c r="M552" s="75"/>
      <c r="U552" s="61">
        <f t="shared" si="80"/>
        <v>0</v>
      </c>
      <c r="V552" s="61">
        <f t="shared" si="81"/>
        <v>0</v>
      </c>
      <c r="W552" s="61">
        <f t="shared" si="82"/>
        <v>0</v>
      </c>
      <c r="X552" s="61">
        <f t="shared" si="83"/>
        <v>0</v>
      </c>
      <c r="Y552" s="61">
        <f t="shared" si="84"/>
        <v>0</v>
      </c>
    </row>
    <row r="553" spans="2:25">
      <c r="B553"/>
      <c r="C553"/>
      <c r="D553"/>
      <c r="E553"/>
      <c r="F553"/>
      <c r="G553"/>
      <c r="H553"/>
      <c r="I553"/>
      <c r="J553"/>
      <c r="K553" s="75"/>
      <c r="L553" s="75"/>
      <c r="M553" s="75"/>
      <c r="U553" s="61">
        <f t="shared" si="80"/>
        <v>0</v>
      </c>
      <c r="V553" s="61">
        <f t="shared" si="81"/>
        <v>0</v>
      </c>
      <c r="W553" s="61">
        <f t="shared" si="82"/>
        <v>0</v>
      </c>
      <c r="X553" s="61">
        <f t="shared" si="83"/>
        <v>0</v>
      </c>
      <c r="Y553" s="61">
        <f t="shared" si="84"/>
        <v>0</v>
      </c>
    </row>
    <row r="554" spans="2:25">
      <c r="B554"/>
      <c r="C554"/>
      <c r="D554"/>
      <c r="E554"/>
      <c r="F554"/>
      <c r="G554"/>
      <c r="H554"/>
      <c r="I554"/>
      <c r="J554"/>
      <c r="K554" s="75"/>
      <c r="L554" s="75"/>
      <c r="M554" s="75"/>
      <c r="U554" s="61">
        <f t="shared" si="80"/>
        <v>0</v>
      </c>
      <c r="V554" s="61">
        <f t="shared" si="81"/>
        <v>0</v>
      </c>
      <c r="W554" s="61">
        <f t="shared" si="82"/>
        <v>0</v>
      </c>
      <c r="X554" s="61">
        <f t="shared" si="83"/>
        <v>0</v>
      </c>
      <c r="Y554" s="61">
        <f t="shared" si="84"/>
        <v>0</v>
      </c>
    </row>
    <row r="555" spans="2:25">
      <c r="B555"/>
      <c r="C555"/>
      <c r="D555"/>
      <c r="E555"/>
      <c r="F555"/>
      <c r="G555"/>
      <c r="H555"/>
      <c r="I555"/>
      <c r="J555"/>
      <c r="K555" s="75"/>
      <c r="L555" s="75"/>
      <c r="M555" s="75"/>
      <c r="U555" s="61">
        <f t="shared" si="80"/>
        <v>0</v>
      </c>
      <c r="V555" s="61">
        <f t="shared" si="81"/>
        <v>0</v>
      </c>
      <c r="W555" s="61">
        <f t="shared" si="82"/>
        <v>0</v>
      </c>
      <c r="X555" s="61">
        <f t="shared" si="83"/>
        <v>0</v>
      </c>
      <c r="Y555" s="61">
        <f t="shared" si="84"/>
        <v>0</v>
      </c>
    </row>
    <row r="556" spans="2:25">
      <c r="B556"/>
      <c r="C556"/>
      <c r="D556"/>
      <c r="E556"/>
      <c r="F556"/>
      <c r="G556"/>
      <c r="H556"/>
      <c r="I556"/>
      <c r="J556"/>
      <c r="K556" s="75"/>
      <c r="L556" s="75"/>
      <c r="M556" s="75"/>
      <c r="U556" s="61">
        <f t="shared" si="80"/>
        <v>0</v>
      </c>
      <c r="V556" s="61">
        <f t="shared" si="81"/>
        <v>0</v>
      </c>
      <c r="W556" s="61">
        <f t="shared" si="82"/>
        <v>0</v>
      </c>
      <c r="X556" s="61">
        <f t="shared" si="83"/>
        <v>0</v>
      </c>
      <c r="Y556" s="61">
        <f t="shared" si="84"/>
        <v>0</v>
      </c>
    </row>
    <row r="557" spans="2:25">
      <c r="B557"/>
      <c r="C557"/>
      <c r="D557"/>
      <c r="E557"/>
      <c r="F557"/>
      <c r="G557"/>
      <c r="H557"/>
      <c r="I557"/>
      <c r="J557"/>
      <c r="K557" s="75"/>
      <c r="L557" s="75"/>
      <c r="M557" s="75"/>
      <c r="U557" s="61">
        <f t="shared" si="80"/>
        <v>0</v>
      </c>
      <c r="V557" s="61">
        <f t="shared" si="81"/>
        <v>0</v>
      </c>
      <c r="W557" s="61">
        <f t="shared" si="82"/>
        <v>0</v>
      </c>
      <c r="X557" s="61">
        <f t="shared" si="83"/>
        <v>0</v>
      </c>
      <c r="Y557" s="61">
        <f t="shared" si="84"/>
        <v>0</v>
      </c>
    </row>
    <row r="558" spans="2:25">
      <c r="B558"/>
      <c r="C558"/>
      <c r="D558"/>
      <c r="E558"/>
      <c r="F558"/>
      <c r="G558"/>
      <c r="H558"/>
      <c r="I558"/>
      <c r="J558"/>
      <c r="K558" s="75"/>
      <c r="L558" s="75"/>
      <c r="M558" s="75"/>
      <c r="U558" s="61">
        <f t="shared" si="80"/>
        <v>0</v>
      </c>
      <c r="V558" s="61">
        <f t="shared" si="81"/>
        <v>0</v>
      </c>
      <c r="W558" s="61">
        <f t="shared" si="82"/>
        <v>0</v>
      </c>
      <c r="X558" s="61">
        <f t="shared" si="83"/>
        <v>0</v>
      </c>
      <c r="Y558" s="61">
        <f t="shared" si="84"/>
        <v>0</v>
      </c>
    </row>
    <row r="559" spans="2:25">
      <c r="B559"/>
      <c r="C559"/>
      <c r="D559"/>
      <c r="E559"/>
      <c r="F559"/>
      <c r="G559"/>
      <c r="H559"/>
      <c r="I559"/>
      <c r="J559"/>
      <c r="K559" s="75"/>
      <c r="L559" s="75"/>
      <c r="M559" s="75"/>
      <c r="U559" s="61">
        <f t="shared" si="80"/>
        <v>0</v>
      </c>
      <c r="V559" s="61">
        <f t="shared" si="81"/>
        <v>0</v>
      </c>
      <c r="W559" s="61">
        <f t="shared" si="82"/>
        <v>0</v>
      </c>
      <c r="X559" s="61">
        <f t="shared" si="83"/>
        <v>0</v>
      </c>
      <c r="Y559" s="61">
        <f t="shared" si="84"/>
        <v>0</v>
      </c>
    </row>
    <row r="560" spans="2:25">
      <c r="B560"/>
      <c r="C560"/>
      <c r="D560"/>
      <c r="E560"/>
      <c r="F560"/>
      <c r="G560"/>
      <c r="H560"/>
      <c r="I560"/>
      <c r="J560"/>
      <c r="K560" s="75"/>
      <c r="L560" s="75"/>
      <c r="M560" s="75"/>
      <c r="U560" s="61">
        <f t="shared" si="80"/>
        <v>0</v>
      </c>
      <c r="V560" s="61">
        <f t="shared" si="81"/>
        <v>0</v>
      </c>
      <c r="W560" s="61">
        <f t="shared" si="82"/>
        <v>0</v>
      </c>
      <c r="X560" s="61">
        <f t="shared" si="83"/>
        <v>0</v>
      </c>
      <c r="Y560" s="61">
        <f t="shared" si="84"/>
        <v>0</v>
      </c>
    </row>
    <row r="561" spans="2:25">
      <c r="B561"/>
      <c r="C561"/>
      <c r="D561"/>
      <c r="E561"/>
      <c r="F561"/>
      <c r="G561"/>
      <c r="H561"/>
      <c r="I561"/>
      <c r="J561"/>
      <c r="K561" s="75"/>
      <c r="L561" s="75"/>
      <c r="M561" s="75"/>
      <c r="U561" s="61">
        <f t="shared" si="80"/>
        <v>0</v>
      </c>
      <c r="V561" s="61">
        <f t="shared" si="81"/>
        <v>0</v>
      </c>
      <c r="W561" s="61">
        <f t="shared" si="82"/>
        <v>0</v>
      </c>
      <c r="X561" s="61">
        <f t="shared" si="83"/>
        <v>0</v>
      </c>
      <c r="Y561" s="61">
        <f t="shared" si="84"/>
        <v>0</v>
      </c>
    </row>
    <row r="562" spans="2:25">
      <c r="B562"/>
      <c r="C562"/>
      <c r="D562"/>
      <c r="E562"/>
      <c r="F562"/>
      <c r="G562"/>
      <c r="H562"/>
      <c r="I562"/>
      <c r="J562"/>
      <c r="K562" s="75"/>
      <c r="L562" s="75"/>
      <c r="M562" s="75"/>
      <c r="U562" s="61">
        <f t="shared" si="80"/>
        <v>0</v>
      </c>
      <c r="V562" s="61">
        <f t="shared" si="81"/>
        <v>0</v>
      </c>
      <c r="W562" s="61">
        <f t="shared" si="82"/>
        <v>0</v>
      </c>
      <c r="X562" s="61">
        <f t="shared" si="83"/>
        <v>0</v>
      </c>
      <c r="Y562" s="61">
        <f t="shared" si="84"/>
        <v>0</v>
      </c>
    </row>
    <row r="563" spans="2:25">
      <c r="B563"/>
      <c r="C563"/>
      <c r="D563"/>
      <c r="E563"/>
      <c r="F563"/>
      <c r="G563"/>
      <c r="H563"/>
      <c r="I563"/>
      <c r="J563"/>
      <c r="K563" s="75"/>
      <c r="L563" s="75"/>
      <c r="M563" s="75"/>
      <c r="U563" s="61">
        <f t="shared" si="80"/>
        <v>0</v>
      </c>
      <c r="V563" s="61">
        <f t="shared" si="81"/>
        <v>0</v>
      </c>
      <c r="W563" s="61">
        <f t="shared" si="82"/>
        <v>0</v>
      </c>
      <c r="X563" s="61">
        <f t="shared" si="83"/>
        <v>0</v>
      </c>
      <c r="Y563" s="61">
        <f t="shared" si="84"/>
        <v>0</v>
      </c>
    </row>
    <row r="564" spans="2:25">
      <c r="B564"/>
      <c r="C564"/>
      <c r="D564"/>
      <c r="E564"/>
      <c r="F564"/>
      <c r="G564"/>
      <c r="H564"/>
      <c r="I564"/>
      <c r="J564"/>
      <c r="K564" s="75"/>
      <c r="L564" s="75"/>
      <c r="M564" s="75"/>
      <c r="U564" s="61">
        <f t="shared" si="80"/>
        <v>0</v>
      </c>
      <c r="V564" s="61">
        <f t="shared" si="81"/>
        <v>0</v>
      </c>
      <c r="W564" s="61">
        <f t="shared" si="82"/>
        <v>0</v>
      </c>
      <c r="X564" s="61">
        <f t="shared" si="83"/>
        <v>0</v>
      </c>
      <c r="Y564" s="61">
        <f t="shared" si="84"/>
        <v>0</v>
      </c>
    </row>
    <row r="565" spans="2:25">
      <c r="B565"/>
      <c r="C565"/>
      <c r="D565"/>
      <c r="E565"/>
      <c r="F565"/>
      <c r="G565"/>
      <c r="H565"/>
      <c r="I565"/>
      <c r="J565"/>
      <c r="K565" s="75"/>
      <c r="L565" s="75"/>
      <c r="M565" s="75"/>
      <c r="U565" s="61">
        <f t="shared" si="80"/>
        <v>0</v>
      </c>
      <c r="V565" s="61">
        <f t="shared" si="81"/>
        <v>0</v>
      </c>
      <c r="W565" s="61">
        <f t="shared" si="82"/>
        <v>0</v>
      </c>
      <c r="X565" s="61">
        <f t="shared" si="83"/>
        <v>0</v>
      </c>
      <c r="Y565" s="61">
        <f t="shared" si="84"/>
        <v>0</v>
      </c>
    </row>
    <row r="566" spans="2:25">
      <c r="B566"/>
      <c r="C566"/>
      <c r="D566"/>
      <c r="E566"/>
      <c r="F566"/>
      <c r="G566"/>
      <c r="H566"/>
      <c r="I566"/>
      <c r="J566"/>
      <c r="K566" s="75"/>
      <c r="L566" s="75"/>
      <c r="M566" s="75"/>
      <c r="U566" s="61">
        <f t="shared" si="80"/>
        <v>0</v>
      </c>
      <c r="V566" s="61">
        <f t="shared" si="81"/>
        <v>0</v>
      </c>
      <c r="W566" s="61">
        <f t="shared" si="82"/>
        <v>0</v>
      </c>
      <c r="X566" s="61">
        <f t="shared" si="83"/>
        <v>0</v>
      </c>
      <c r="Y566" s="61">
        <f t="shared" si="84"/>
        <v>0</v>
      </c>
    </row>
    <row r="567" spans="2:25">
      <c r="B567"/>
      <c r="C567"/>
      <c r="D567"/>
      <c r="E567"/>
      <c r="F567"/>
      <c r="G567"/>
      <c r="H567"/>
      <c r="I567"/>
      <c r="J567"/>
      <c r="K567" s="75"/>
      <c r="L567" s="75"/>
      <c r="M567" s="75"/>
      <c r="U567" s="61">
        <f t="shared" si="80"/>
        <v>0</v>
      </c>
      <c r="V567" s="61">
        <f t="shared" si="81"/>
        <v>0</v>
      </c>
      <c r="W567" s="61">
        <f t="shared" si="82"/>
        <v>0</v>
      </c>
      <c r="X567" s="61">
        <f t="shared" si="83"/>
        <v>0</v>
      </c>
      <c r="Y567" s="61">
        <f t="shared" si="84"/>
        <v>0</v>
      </c>
    </row>
    <row r="568" spans="2:25">
      <c r="B568"/>
      <c r="C568"/>
      <c r="D568"/>
      <c r="E568"/>
      <c r="F568"/>
      <c r="G568"/>
      <c r="H568"/>
      <c r="I568"/>
      <c r="J568"/>
      <c r="K568" s="75"/>
      <c r="L568" s="75"/>
      <c r="M568" s="75"/>
      <c r="U568" s="61">
        <f t="shared" si="80"/>
        <v>0</v>
      </c>
      <c r="V568" s="61">
        <f t="shared" si="81"/>
        <v>0</v>
      </c>
      <c r="W568" s="61">
        <f t="shared" si="82"/>
        <v>0</v>
      </c>
      <c r="X568" s="61">
        <f t="shared" si="83"/>
        <v>0</v>
      </c>
      <c r="Y568" s="61">
        <f t="shared" si="84"/>
        <v>0</v>
      </c>
    </row>
    <row r="569" spans="2:25">
      <c r="B569"/>
      <c r="C569"/>
      <c r="D569"/>
      <c r="E569"/>
      <c r="F569"/>
      <c r="G569"/>
      <c r="H569"/>
      <c r="I569"/>
      <c r="J569"/>
      <c r="K569" s="75"/>
      <c r="L569" s="75"/>
      <c r="M569" s="75"/>
      <c r="U569" s="61">
        <f t="shared" si="80"/>
        <v>0</v>
      </c>
      <c r="V569" s="61">
        <f t="shared" si="81"/>
        <v>0</v>
      </c>
      <c r="W569" s="61">
        <f t="shared" si="82"/>
        <v>0</v>
      </c>
      <c r="X569" s="61">
        <f t="shared" si="83"/>
        <v>0</v>
      </c>
      <c r="Y569" s="61">
        <f t="shared" si="84"/>
        <v>0</v>
      </c>
    </row>
    <row r="570" spans="2:25">
      <c r="B570"/>
      <c r="C570"/>
      <c r="D570"/>
      <c r="E570"/>
      <c r="F570"/>
      <c r="G570"/>
      <c r="H570"/>
      <c r="I570"/>
      <c r="J570"/>
      <c r="K570" s="75"/>
      <c r="L570" s="75"/>
      <c r="M570" s="75"/>
      <c r="U570" s="61">
        <f t="shared" si="80"/>
        <v>0</v>
      </c>
      <c r="V570" s="61">
        <f t="shared" si="81"/>
        <v>0</v>
      </c>
      <c r="W570" s="61">
        <f t="shared" si="82"/>
        <v>0</v>
      </c>
      <c r="X570" s="61">
        <f t="shared" si="83"/>
        <v>0</v>
      </c>
      <c r="Y570" s="61">
        <f t="shared" si="84"/>
        <v>0</v>
      </c>
    </row>
    <row r="571" spans="2:25">
      <c r="B571"/>
      <c r="C571"/>
      <c r="D571"/>
      <c r="E571"/>
      <c r="F571"/>
      <c r="G571"/>
      <c r="H571"/>
      <c r="I571"/>
      <c r="J571"/>
      <c r="K571" s="75"/>
      <c r="L571" s="75"/>
      <c r="M571" s="75"/>
      <c r="U571" s="61">
        <f t="shared" si="80"/>
        <v>0</v>
      </c>
      <c r="V571" s="61">
        <f t="shared" si="81"/>
        <v>0</v>
      </c>
      <c r="W571" s="61">
        <f t="shared" si="82"/>
        <v>0</v>
      </c>
      <c r="X571" s="61">
        <f t="shared" si="83"/>
        <v>0</v>
      </c>
      <c r="Y571" s="61">
        <f t="shared" si="84"/>
        <v>0</v>
      </c>
    </row>
    <row r="572" spans="2:25">
      <c r="B572"/>
      <c r="C572"/>
      <c r="D572"/>
      <c r="E572"/>
      <c r="F572"/>
      <c r="G572"/>
      <c r="H572"/>
      <c r="I572"/>
      <c r="J572"/>
      <c r="K572" s="75"/>
      <c r="L572" s="75"/>
      <c r="M572" s="75"/>
      <c r="U572" s="61">
        <f t="shared" si="80"/>
        <v>0</v>
      </c>
      <c r="V572" s="61">
        <f t="shared" si="81"/>
        <v>0</v>
      </c>
      <c r="W572" s="61">
        <f t="shared" si="82"/>
        <v>0</v>
      </c>
      <c r="X572" s="61">
        <f t="shared" si="83"/>
        <v>0</v>
      </c>
      <c r="Y572" s="61">
        <f t="shared" si="84"/>
        <v>0</v>
      </c>
    </row>
    <row r="573" spans="2:25">
      <c r="B573"/>
      <c r="C573"/>
      <c r="D573"/>
      <c r="E573"/>
      <c r="F573"/>
      <c r="G573"/>
      <c r="H573"/>
      <c r="I573"/>
      <c r="J573"/>
      <c r="K573" s="75"/>
      <c r="L573" s="75"/>
      <c r="M573" s="75"/>
      <c r="U573" s="61">
        <f t="shared" si="80"/>
        <v>0</v>
      </c>
      <c r="V573" s="61">
        <f t="shared" si="81"/>
        <v>0</v>
      </c>
      <c r="W573" s="61">
        <f t="shared" si="82"/>
        <v>0</v>
      </c>
      <c r="X573" s="61">
        <f t="shared" si="83"/>
        <v>0</v>
      </c>
      <c r="Y573" s="61">
        <f t="shared" si="84"/>
        <v>0</v>
      </c>
    </row>
    <row r="574" spans="2:25">
      <c r="B574"/>
      <c r="C574"/>
      <c r="D574"/>
      <c r="E574"/>
      <c r="F574"/>
      <c r="G574"/>
      <c r="H574"/>
      <c r="I574"/>
      <c r="J574"/>
      <c r="K574" s="75"/>
      <c r="L574" s="75"/>
      <c r="M574" s="75"/>
      <c r="U574" s="61">
        <f t="shared" si="80"/>
        <v>0</v>
      </c>
      <c r="V574" s="61">
        <f t="shared" si="81"/>
        <v>0</v>
      </c>
      <c r="W574" s="61">
        <f t="shared" si="82"/>
        <v>0</v>
      </c>
      <c r="X574" s="61">
        <f t="shared" si="83"/>
        <v>0</v>
      </c>
      <c r="Y574" s="61">
        <f t="shared" si="84"/>
        <v>0</v>
      </c>
    </row>
    <row r="575" spans="2:25">
      <c r="B575"/>
      <c r="C575"/>
      <c r="D575"/>
      <c r="E575"/>
      <c r="F575"/>
      <c r="G575"/>
      <c r="H575"/>
      <c r="I575"/>
      <c r="J575"/>
      <c r="K575" s="75"/>
      <c r="L575" s="75"/>
      <c r="M575" s="75"/>
      <c r="U575" s="61">
        <f t="shared" si="80"/>
        <v>0</v>
      </c>
      <c r="V575" s="61">
        <f t="shared" si="81"/>
        <v>0</v>
      </c>
      <c r="W575" s="61">
        <f t="shared" si="82"/>
        <v>0</v>
      </c>
      <c r="X575" s="61">
        <f t="shared" si="83"/>
        <v>0</v>
      </c>
      <c r="Y575" s="61">
        <f t="shared" si="84"/>
        <v>0</v>
      </c>
    </row>
    <row r="576" spans="2:25">
      <c r="B576"/>
      <c r="C576"/>
      <c r="D576"/>
      <c r="E576"/>
      <c r="F576"/>
      <c r="G576"/>
      <c r="H576"/>
      <c r="I576"/>
      <c r="J576"/>
      <c r="K576" s="75"/>
      <c r="L576" s="75"/>
      <c r="M576" s="75"/>
      <c r="U576" s="61">
        <f t="shared" si="80"/>
        <v>0</v>
      </c>
      <c r="V576" s="61">
        <f t="shared" si="81"/>
        <v>0</v>
      </c>
      <c r="W576" s="61">
        <f t="shared" si="82"/>
        <v>0</v>
      </c>
      <c r="X576" s="61">
        <f t="shared" si="83"/>
        <v>0</v>
      </c>
      <c r="Y576" s="61">
        <f t="shared" si="84"/>
        <v>0</v>
      </c>
    </row>
    <row r="577" spans="2:25">
      <c r="B577"/>
      <c r="C577"/>
      <c r="D577"/>
      <c r="E577"/>
      <c r="F577"/>
      <c r="G577"/>
      <c r="H577"/>
      <c r="I577"/>
      <c r="J577"/>
      <c r="K577" s="75"/>
      <c r="L577" s="75"/>
      <c r="M577" s="75"/>
      <c r="U577" s="61">
        <f t="shared" si="80"/>
        <v>0</v>
      </c>
      <c r="V577" s="61">
        <f t="shared" si="81"/>
        <v>0</v>
      </c>
      <c r="W577" s="61">
        <f t="shared" si="82"/>
        <v>0</v>
      </c>
      <c r="X577" s="61">
        <f t="shared" si="83"/>
        <v>0</v>
      </c>
      <c r="Y577" s="61">
        <f t="shared" si="84"/>
        <v>0</v>
      </c>
    </row>
    <row r="578" spans="2:25">
      <c r="B578"/>
      <c r="C578"/>
      <c r="D578"/>
      <c r="E578"/>
      <c r="F578"/>
      <c r="G578"/>
      <c r="H578"/>
      <c r="I578"/>
      <c r="J578"/>
      <c r="K578" s="75"/>
      <c r="L578" s="75"/>
      <c r="M578" s="75"/>
      <c r="U578" s="61">
        <f t="shared" si="80"/>
        <v>0</v>
      </c>
      <c r="V578" s="61">
        <f t="shared" si="81"/>
        <v>0</v>
      </c>
      <c r="W578" s="61">
        <f t="shared" si="82"/>
        <v>0</v>
      </c>
      <c r="X578" s="61">
        <f t="shared" si="83"/>
        <v>0</v>
      </c>
      <c r="Y578" s="61">
        <f t="shared" si="84"/>
        <v>0</v>
      </c>
    </row>
    <row r="579" spans="2:25">
      <c r="B579"/>
      <c r="C579"/>
      <c r="D579"/>
      <c r="E579"/>
      <c r="F579"/>
      <c r="G579"/>
      <c r="H579"/>
      <c r="I579"/>
      <c r="J579"/>
      <c r="K579" s="75"/>
      <c r="L579" s="75"/>
      <c r="M579" s="75"/>
      <c r="U579" s="61">
        <f t="shared" si="80"/>
        <v>0</v>
      </c>
      <c r="V579" s="61">
        <f t="shared" si="81"/>
        <v>0</v>
      </c>
      <c r="W579" s="61">
        <f t="shared" si="82"/>
        <v>0</v>
      </c>
      <c r="X579" s="61">
        <f t="shared" si="83"/>
        <v>0</v>
      </c>
      <c r="Y579" s="61">
        <f t="shared" si="84"/>
        <v>0</v>
      </c>
    </row>
    <row r="580" spans="2:25">
      <c r="B580"/>
      <c r="C580"/>
      <c r="D580"/>
      <c r="E580"/>
      <c r="F580"/>
      <c r="G580"/>
      <c r="H580"/>
      <c r="I580"/>
      <c r="J580"/>
      <c r="K580" s="75"/>
      <c r="L580" s="75"/>
      <c r="M580" s="75"/>
      <c r="U580" s="61">
        <f t="shared" si="80"/>
        <v>0</v>
      </c>
      <c r="V580" s="61">
        <f t="shared" si="81"/>
        <v>0</v>
      </c>
      <c r="W580" s="61">
        <f t="shared" si="82"/>
        <v>0</v>
      </c>
      <c r="X580" s="61">
        <f t="shared" si="83"/>
        <v>0</v>
      </c>
      <c r="Y580" s="61">
        <f t="shared" si="84"/>
        <v>0</v>
      </c>
    </row>
    <row r="581" spans="2:25">
      <c r="B581"/>
      <c r="C581"/>
      <c r="D581"/>
      <c r="E581"/>
      <c r="F581"/>
      <c r="G581"/>
      <c r="H581"/>
      <c r="I581"/>
      <c r="J581"/>
      <c r="K581" s="75"/>
      <c r="L581" s="75"/>
      <c r="M581" s="75"/>
    </row>
    <row r="582" spans="2:25">
      <c r="B582"/>
      <c r="C582"/>
      <c r="D582"/>
      <c r="E582"/>
      <c r="F582"/>
      <c r="G582"/>
      <c r="H582"/>
      <c r="I582"/>
      <c r="J582"/>
      <c r="K582" s="75"/>
      <c r="L582" s="75"/>
      <c r="M582" s="75"/>
    </row>
    <row r="583" spans="2:25">
      <c r="B583"/>
      <c r="C583"/>
      <c r="D583"/>
      <c r="E583"/>
      <c r="F583"/>
      <c r="G583"/>
      <c r="H583"/>
      <c r="I583"/>
      <c r="J583"/>
      <c r="K583" s="75"/>
      <c r="L583" s="75"/>
      <c r="M583" s="75"/>
    </row>
    <row r="584" spans="2:25">
      <c r="B584"/>
      <c r="C584"/>
      <c r="D584"/>
      <c r="E584"/>
      <c r="F584"/>
      <c r="G584"/>
      <c r="H584"/>
      <c r="I584"/>
      <c r="J584"/>
      <c r="K584" s="75"/>
      <c r="L584" s="75"/>
      <c r="M584" s="75"/>
    </row>
    <row r="585" spans="2:25">
      <c r="B585"/>
      <c r="C585"/>
      <c r="D585"/>
      <c r="E585"/>
      <c r="F585"/>
      <c r="G585"/>
      <c r="H585"/>
      <c r="I585"/>
      <c r="J585"/>
      <c r="K585" s="75"/>
      <c r="L585" s="75"/>
      <c r="M585" s="75"/>
    </row>
    <row r="586" spans="2:25">
      <c r="B586"/>
      <c r="C586"/>
      <c r="D586"/>
      <c r="E586"/>
      <c r="F586"/>
      <c r="G586"/>
      <c r="H586"/>
      <c r="I586"/>
      <c r="J586"/>
      <c r="K586" s="75"/>
      <c r="L586" s="75"/>
      <c r="M586" s="75"/>
    </row>
    <row r="587" spans="2:25">
      <c r="B587"/>
      <c r="C587"/>
      <c r="D587"/>
      <c r="E587"/>
      <c r="F587"/>
      <c r="G587"/>
      <c r="H587"/>
      <c r="I587"/>
      <c r="J587"/>
      <c r="K587" s="75"/>
      <c r="L587" s="75"/>
      <c r="M587" s="75"/>
    </row>
    <row r="588" spans="2:25">
      <c r="B588"/>
      <c r="C588"/>
      <c r="D588"/>
      <c r="E588"/>
      <c r="F588"/>
      <c r="G588"/>
      <c r="H588"/>
      <c r="I588"/>
      <c r="J588"/>
      <c r="K588" s="75"/>
      <c r="L588" s="75"/>
      <c r="M588" s="75"/>
    </row>
    <row r="589" spans="2:25">
      <c r="B589"/>
      <c r="C589"/>
      <c r="D589"/>
      <c r="E589"/>
      <c r="F589"/>
      <c r="G589"/>
      <c r="H589"/>
      <c r="I589"/>
      <c r="J589"/>
      <c r="K589" s="75"/>
      <c r="L589" s="75"/>
      <c r="M589" s="75"/>
    </row>
    <row r="590" spans="2:25">
      <c r="B590"/>
      <c r="C590"/>
      <c r="D590"/>
      <c r="E590"/>
      <c r="F590"/>
      <c r="G590"/>
      <c r="H590"/>
      <c r="I590"/>
      <c r="J590"/>
      <c r="K590" s="75"/>
      <c r="L590" s="75"/>
      <c r="M590" s="75"/>
    </row>
    <row r="591" spans="2:25">
      <c r="B591"/>
      <c r="C591"/>
      <c r="D591"/>
      <c r="E591"/>
      <c r="F591"/>
      <c r="G591"/>
      <c r="H591"/>
      <c r="I591"/>
      <c r="J591"/>
      <c r="K591" s="75"/>
      <c r="L591" s="75"/>
      <c r="M591" s="75"/>
    </row>
    <row r="592" spans="2:25">
      <c r="B592" s="76"/>
      <c r="C592" s="77"/>
      <c r="D592" s="77"/>
      <c r="E592" s="77"/>
      <c r="F592" s="77"/>
      <c r="G592" s="77"/>
      <c r="H592" s="77"/>
      <c r="I592" s="77"/>
      <c r="J592" s="78"/>
      <c r="K592" s="75"/>
      <c r="L592" s="75"/>
      <c r="M592" s="75"/>
    </row>
    <row r="593" spans="2:13">
      <c r="B593" s="76"/>
      <c r="C593" s="77"/>
      <c r="D593" s="77"/>
      <c r="E593" s="77"/>
      <c r="F593" s="77"/>
      <c r="G593" s="77"/>
      <c r="H593" s="77"/>
      <c r="I593" s="77"/>
      <c r="J593" s="78"/>
      <c r="K593" s="75"/>
      <c r="L593" s="75"/>
      <c r="M593" s="75"/>
    </row>
    <row r="594" spans="2:13">
      <c r="B594" s="76"/>
      <c r="C594" s="77"/>
      <c r="D594" s="77"/>
      <c r="E594" s="77"/>
      <c r="F594" s="77"/>
      <c r="G594" s="77"/>
      <c r="H594" s="77"/>
      <c r="I594" s="77"/>
      <c r="J594" s="78"/>
      <c r="K594" s="75"/>
      <c r="L594" s="75"/>
      <c r="M594" s="75"/>
    </row>
    <row r="595" spans="2:13">
      <c r="B595" s="76"/>
      <c r="C595" s="77"/>
      <c r="D595" s="77"/>
      <c r="E595" s="77"/>
      <c r="F595" s="77"/>
      <c r="G595" s="77"/>
      <c r="H595" s="77"/>
      <c r="I595" s="77"/>
      <c r="J595" s="78"/>
      <c r="K595" s="75"/>
      <c r="L595" s="75"/>
      <c r="M595" s="75"/>
    </row>
    <row r="596" spans="2:13">
      <c r="B596" s="76"/>
      <c r="C596" s="77"/>
      <c r="D596" s="77"/>
      <c r="E596" s="77"/>
      <c r="F596" s="77"/>
      <c r="G596" s="77"/>
      <c r="H596" s="77"/>
      <c r="I596" s="77"/>
      <c r="J596" s="78"/>
      <c r="K596" s="75"/>
      <c r="L596" s="75"/>
      <c r="M596" s="75"/>
    </row>
    <row r="597" spans="2:13">
      <c r="B597" s="76"/>
      <c r="C597" s="77"/>
      <c r="D597" s="77"/>
      <c r="E597" s="77"/>
      <c r="F597" s="77"/>
      <c r="G597" s="77"/>
      <c r="H597" s="77"/>
      <c r="I597" s="77"/>
      <c r="J597" s="78"/>
      <c r="K597" s="75"/>
      <c r="L597" s="75"/>
      <c r="M597" s="75"/>
    </row>
    <row r="598" spans="2:13">
      <c r="B598" s="76"/>
      <c r="C598" s="77"/>
      <c r="D598" s="77"/>
      <c r="E598" s="77"/>
      <c r="F598" s="77"/>
      <c r="G598" s="77"/>
      <c r="H598" s="77"/>
      <c r="I598" s="77"/>
      <c r="J598" s="78"/>
      <c r="K598" s="75"/>
      <c r="L598" s="75"/>
      <c r="M598" s="75"/>
    </row>
    <row r="599" spans="2:13">
      <c r="B599" s="76"/>
      <c r="C599" s="77"/>
      <c r="D599" s="77"/>
      <c r="E599" s="77"/>
      <c r="F599" s="77"/>
      <c r="G599" s="77"/>
      <c r="H599" s="77"/>
      <c r="I599" s="77"/>
      <c r="J599" s="78"/>
      <c r="K599" s="75"/>
      <c r="L599" s="75"/>
      <c r="M599" s="75"/>
    </row>
    <row r="600" spans="2:13">
      <c r="B600" s="76"/>
      <c r="C600" s="77"/>
      <c r="D600" s="77"/>
      <c r="E600" s="77"/>
      <c r="F600" s="77"/>
      <c r="G600" s="77"/>
      <c r="H600" s="77"/>
      <c r="I600" s="77"/>
      <c r="J600" s="78"/>
      <c r="K600" s="75"/>
      <c r="L600" s="75"/>
      <c r="M600" s="75"/>
    </row>
    <row r="601" spans="2:13">
      <c r="B601" s="76"/>
      <c r="C601" s="77"/>
      <c r="D601" s="77"/>
      <c r="E601" s="77"/>
      <c r="F601" s="77"/>
      <c r="G601" s="77"/>
      <c r="H601" s="77"/>
      <c r="I601" s="77"/>
      <c r="J601" s="78"/>
      <c r="K601" s="75"/>
      <c r="L601" s="75"/>
      <c r="M601" s="75"/>
    </row>
    <row r="602" spans="2:13">
      <c r="B602" s="76"/>
      <c r="C602" s="77"/>
      <c r="D602" s="77"/>
      <c r="E602" s="77"/>
      <c r="F602" s="77"/>
      <c r="G602" s="77"/>
      <c r="H602" s="77"/>
      <c r="I602" s="77"/>
      <c r="J602" s="78"/>
      <c r="K602" s="75"/>
      <c r="L602" s="75"/>
      <c r="M602" s="75"/>
    </row>
    <row r="603" spans="2:13">
      <c r="B603" s="76"/>
      <c r="C603" s="77"/>
      <c r="D603" s="77"/>
      <c r="E603" s="77"/>
      <c r="F603" s="77"/>
      <c r="G603" s="77"/>
      <c r="H603" s="77"/>
      <c r="I603" s="77"/>
      <c r="J603" s="78"/>
      <c r="K603" s="75"/>
      <c r="L603" s="75"/>
      <c r="M603" s="75"/>
    </row>
    <row r="604" spans="2:13">
      <c r="B604" s="76"/>
      <c r="C604" s="77"/>
      <c r="D604" s="77"/>
      <c r="E604" s="77"/>
      <c r="F604" s="77"/>
      <c r="G604" s="77"/>
      <c r="H604" s="77"/>
      <c r="I604" s="77"/>
      <c r="J604" s="78"/>
      <c r="K604" s="75"/>
      <c r="L604" s="75"/>
      <c r="M604" s="75"/>
    </row>
    <row r="605" spans="2:13">
      <c r="B605" s="76"/>
      <c r="C605" s="77"/>
      <c r="D605" s="77"/>
      <c r="E605" s="77"/>
      <c r="F605" s="77"/>
      <c r="G605" s="77"/>
      <c r="H605" s="77"/>
      <c r="I605" s="77"/>
      <c r="J605" s="78"/>
      <c r="K605" s="75"/>
      <c r="L605" s="75"/>
      <c r="M605" s="75"/>
    </row>
    <row r="606" spans="2:13">
      <c r="B606" s="76"/>
      <c r="C606" s="77"/>
      <c r="D606" s="77"/>
      <c r="E606" s="77"/>
      <c r="F606" s="77"/>
      <c r="G606" s="77"/>
      <c r="H606" s="77"/>
      <c r="I606" s="77"/>
      <c r="J606" s="78"/>
      <c r="K606" s="75"/>
      <c r="L606" s="75"/>
      <c r="M606" s="75"/>
    </row>
    <row r="607" spans="2:13">
      <c r="B607" s="76"/>
      <c r="C607" s="77"/>
      <c r="D607" s="77"/>
      <c r="E607" s="77"/>
      <c r="F607" s="77"/>
      <c r="G607" s="77"/>
      <c r="H607" s="77"/>
      <c r="I607" s="77"/>
      <c r="J607" s="78"/>
      <c r="K607" s="75"/>
      <c r="L607" s="75"/>
      <c r="M607" s="75"/>
    </row>
    <row r="608" spans="2:13">
      <c r="B608" s="76"/>
      <c r="C608" s="77"/>
      <c r="D608" s="77"/>
      <c r="E608" s="77"/>
      <c r="F608" s="77"/>
      <c r="G608" s="77"/>
      <c r="H608" s="77"/>
      <c r="I608" s="77"/>
      <c r="J608" s="78"/>
      <c r="K608" s="75"/>
      <c r="L608" s="75"/>
      <c r="M608" s="75"/>
    </row>
    <row r="609" spans="2:13">
      <c r="B609" s="76"/>
      <c r="C609" s="77"/>
      <c r="D609" s="77"/>
      <c r="E609" s="77"/>
      <c r="F609" s="77"/>
      <c r="G609" s="77"/>
      <c r="H609" s="77"/>
      <c r="I609" s="77"/>
      <c r="J609" s="78"/>
      <c r="K609" s="75"/>
      <c r="L609" s="75"/>
      <c r="M609" s="75"/>
    </row>
    <row r="610" spans="2:13">
      <c r="B610" s="76"/>
      <c r="C610" s="77"/>
      <c r="D610" s="77"/>
      <c r="E610" s="77"/>
      <c r="F610" s="77"/>
      <c r="G610" s="77"/>
      <c r="H610" s="77"/>
      <c r="I610" s="77"/>
      <c r="J610" s="78"/>
      <c r="K610" s="75"/>
      <c r="L610" s="75"/>
      <c r="M610" s="75"/>
    </row>
    <row r="611" spans="2:13">
      <c r="B611" s="76"/>
      <c r="C611" s="77"/>
      <c r="D611" s="77"/>
      <c r="E611" s="77"/>
      <c r="F611" s="77"/>
      <c r="G611" s="77"/>
      <c r="H611" s="77"/>
      <c r="I611" s="77"/>
      <c r="J611" s="78"/>
      <c r="K611" s="75"/>
      <c r="L611" s="75"/>
      <c r="M611" s="75"/>
    </row>
    <row r="612" spans="2:13">
      <c r="B612" s="76"/>
      <c r="C612" s="77"/>
      <c r="D612" s="77"/>
      <c r="E612" s="77"/>
      <c r="F612" s="77"/>
      <c r="G612" s="77"/>
      <c r="H612" s="77"/>
      <c r="I612" s="77"/>
      <c r="J612" s="78"/>
      <c r="K612" s="75"/>
      <c r="L612" s="75"/>
      <c r="M612" s="75"/>
    </row>
    <row r="613" spans="2:13">
      <c r="B613" s="76"/>
      <c r="C613" s="77"/>
      <c r="D613" s="77"/>
      <c r="E613" s="77"/>
      <c r="F613" s="77"/>
      <c r="G613" s="77"/>
      <c r="H613" s="77"/>
      <c r="I613" s="77"/>
      <c r="J613" s="78"/>
      <c r="K613" s="75"/>
      <c r="L613" s="75"/>
      <c r="M613" s="75"/>
    </row>
    <row r="614" spans="2:13">
      <c r="B614" s="76"/>
      <c r="C614" s="77"/>
      <c r="D614" s="77"/>
      <c r="E614" s="77"/>
      <c r="F614" s="77"/>
      <c r="G614" s="77"/>
      <c r="H614" s="77"/>
      <c r="I614" s="77"/>
      <c r="J614" s="78"/>
      <c r="K614" s="75"/>
      <c r="L614" s="75"/>
      <c r="M614" s="75"/>
    </row>
    <row r="615" spans="2:13">
      <c r="B615" s="76"/>
      <c r="C615" s="77"/>
      <c r="D615" s="77"/>
      <c r="E615" s="77"/>
      <c r="F615" s="77"/>
      <c r="G615" s="77"/>
      <c r="H615" s="77"/>
      <c r="I615" s="77"/>
      <c r="J615" s="78"/>
      <c r="K615" s="75"/>
      <c r="L615" s="75"/>
      <c r="M615" s="75"/>
    </row>
    <row r="616" spans="2:13">
      <c r="B616" s="76"/>
      <c r="C616" s="77"/>
      <c r="D616" s="77"/>
      <c r="E616" s="77"/>
      <c r="F616" s="77"/>
      <c r="G616" s="77"/>
      <c r="H616" s="77"/>
      <c r="I616" s="77"/>
      <c r="J616" s="78"/>
      <c r="K616" s="75"/>
      <c r="L616" s="75"/>
      <c r="M616" s="75"/>
    </row>
    <row r="617" spans="2:13">
      <c r="B617" s="76"/>
      <c r="C617" s="77"/>
      <c r="D617" s="77"/>
      <c r="E617" s="77"/>
      <c r="F617" s="77"/>
      <c r="G617" s="77"/>
      <c r="H617" s="77"/>
      <c r="I617" s="77"/>
      <c r="J617" s="78"/>
      <c r="K617" s="75"/>
      <c r="L617" s="75"/>
      <c r="M617" s="75"/>
    </row>
    <row r="618" spans="2:13">
      <c r="B618" s="76"/>
      <c r="C618" s="77"/>
      <c r="D618" s="77"/>
      <c r="E618" s="77"/>
      <c r="F618" s="77"/>
      <c r="G618" s="77"/>
      <c r="H618" s="77"/>
      <c r="I618" s="77"/>
      <c r="J618" s="78"/>
      <c r="K618" s="75"/>
      <c r="L618" s="75"/>
      <c r="M618" s="75"/>
    </row>
    <row r="619" spans="2:13">
      <c r="B619" s="76"/>
      <c r="C619" s="77"/>
      <c r="D619" s="77"/>
      <c r="E619" s="77"/>
      <c r="F619" s="77"/>
      <c r="G619" s="77"/>
      <c r="H619" s="77"/>
      <c r="I619" s="77"/>
      <c r="J619" s="78"/>
      <c r="K619" s="75"/>
      <c r="L619" s="75"/>
      <c r="M619" s="75"/>
    </row>
    <row r="620" spans="2:13">
      <c r="B620" s="76"/>
      <c r="C620" s="77"/>
      <c r="D620" s="77"/>
      <c r="E620" s="77"/>
      <c r="F620" s="77"/>
      <c r="G620" s="77"/>
      <c r="H620" s="77"/>
      <c r="I620" s="77"/>
      <c r="J620" s="78"/>
      <c r="K620" s="75"/>
      <c r="L620" s="75"/>
      <c r="M620" s="75"/>
    </row>
    <row r="621" spans="2:13">
      <c r="B621" s="76"/>
      <c r="C621" s="77"/>
      <c r="D621" s="77"/>
      <c r="E621" s="77"/>
      <c r="F621" s="77"/>
      <c r="G621" s="77"/>
      <c r="H621" s="77"/>
      <c r="I621" s="77"/>
      <c r="J621" s="78"/>
      <c r="K621" s="75"/>
      <c r="L621" s="75"/>
      <c r="M621" s="75"/>
    </row>
    <row r="622" spans="2:13">
      <c r="B622" s="76"/>
      <c r="C622" s="77"/>
      <c r="D622" s="77"/>
      <c r="E622" s="77"/>
      <c r="F622" s="77"/>
      <c r="G622" s="77"/>
      <c r="H622" s="77"/>
      <c r="I622" s="77"/>
      <c r="J622" s="78"/>
      <c r="K622" s="75"/>
      <c r="L622" s="75"/>
      <c r="M622" s="75"/>
    </row>
    <row r="623" spans="2:13">
      <c r="B623" s="76"/>
      <c r="C623" s="77"/>
      <c r="D623" s="77"/>
      <c r="E623" s="77"/>
      <c r="F623" s="77"/>
      <c r="G623" s="77"/>
      <c r="H623" s="77"/>
      <c r="I623" s="77"/>
      <c r="J623" s="78"/>
      <c r="K623" s="75"/>
      <c r="L623" s="75"/>
      <c r="M623" s="75"/>
    </row>
    <row r="624" spans="2:13">
      <c r="B624" s="76"/>
      <c r="C624" s="77"/>
      <c r="D624" s="77"/>
      <c r="E624" s="77"/>
      <c r="F624" s="77"/>
      <c r="G624" s="77"/>
      <c r="H624" s="77"/>
      <c r="I624" s="77"/>
      <c r="J624" s="78"/>
      <c r="K624" s="75"/>
      <c r="L624" s="75"/>
      <c r="M624" s="75"/>
    </row>
    <row r="625" spans="2:13">
      <c r="B625" s="76"/>
      <c r="C625" s="77"/>
      <c r="D625" s="77"/>
      <c r="E625" s="77"/>
      <c r="F625" s="77"/>
      <c r="G625" s="77"/>
      <c r="H625" s="77"/>
      <c r="I625" s="77"/>
      <c r="J625" s="78"/>
      <c r="K625" s="75"/>
      <c r="L625" s="75"/>
      <c r="M625" s="75"/>
    </row>
    <row r="626" spans="2:13">
      <c r="B626" s="76"/>
      <c r="C626" s="77"/>
      <c r="D626" s="77"/>
      <c r="E626" s="77"/>
      <c r="F626" s="77"/>
      <c r="G626" s="77"/>
      <c r="H626" s="77"/>
      <c r="I626" s="77"/>
      <c r="J626" s="78"/>
      <c r="K626" s="75"/>
      <c r="L626" s="75"/>
      <c r="M626" s="75"/>
    </row>
    <row r="627" spans="2:13">
      <c r="B627" s="76"/>
      <c r="C627" s="77"/>
      <c r="D627" s="77"/>
      <c r="E627" s="77"/>
      <c r="F627" s="77"/>
      <c r="G627" s="77"/>
      <c r="H627" s="77"/>
      <c r="I627" s="77"/>
      <c r="J627" s="78"/>
      <c r="K627" s="75"/>
      <c r="L627" s="75"/>
      <c r="M627" s="75"/>
    </row>
    <row r="628" spans="2:13">
      <c r="B628" s="76"/>
      <c r="C628" s="77"/>
      <c r="D628" s="77"/>
      <c r="E628" s="77"/>
      <c r="F628" s="77"/>
      <c r="G628" s="77"/>
      <c r="H628" s="77"/>
      <c r="I628" s="77"/>
      <c r="J628" s="78"/>
      <c r="K628" s="75"/>
      <c r="L628" s="75"/>
      <c r="M628" s="75"/>
    </row>
    <row r="629" spans="2:13">
      <c r="B629" s="76"/>
      <c r="C629" s="77"/>
      <c r="D629" s="77"/>
      <c r="E629" s="77"/>
      <c r="F629" s="77"/>
      <c r="G629" s="77"/>
      <c r="H629" s="77"/>
      <c r="I629" s="77"/>
      <c r="J629" s="78"/>
      <c r="K629" s="75"/>
      <c r="L629" s="75"/>
      <c r="M629" s="75"/>
    </row>
    <row r="630" spans="2:13">
      <c r="B630" s="76"/>
      <c r="C630" s="77"/>
      <c r="D630" s="77"/>
      <c r="E630" s="77"/>
      <c r="F630" s="77"/>
      <c r="G630" s="77"/>
      <c r="H630" s="77"/>
      <c r="I630" s="77"/>
      <c r="J630" s="78"/>
      <c r="K630" s="75"/>
      <c r="L630" s="75"/>
      <c r="M630" s="75"/>
    </row>
    <row r="631" spans="2:13">
      <c r="B631" s="76"/>
      <c r="C631" s="77"/>
      <c r="D631" s="77"/>
      <c r="E631" s="77"/>
      <c r="F631" s="77"/>
      <c r="G631" s="77"/>
      <c r="H631" s="77"/>
      <c r="I631" s="77"/>
      <c r="J631" s="78"/>
      <c r="K631" s="75"/>
      <c r="L631" s="75"/>
      <c r="M631" s="75"/>
    </row>
    <row r="632" spans="2:13">
      <c r="B632" s="76"/>
      <c r="C632" s="77"/>
      <c r="D632" s="77"/>
      <c r="E632" s="77"/>
      <c r="F632" s="77"/>
      <c r="G632" s="77"/>
      <c r="H632" s="77"/>
      <c r="I632" s="77"/>
      <c r="J632" s="78"/>
      <c r="K632" s="75"/>
      <c r="L632" s="75"/>
      <c r="M632" s="75"/>
    </row>
    <row r="633" spans="2:13">
      <c r="B633" s="76"/>
      <c r="C633" s="77"/>
      <c r="D633" s="77"/>
      <c r="E633" s="77"/>
      <c r="F633" s="77"/>
      <c r="G633" s="77"/>
      <c r="H633" s="77"/>
      <c r="I633" s="77"/>
      <c r="J633" s="78"/>
      <c r="K633" s="75"/>
      <c r="L633" s="75"/>
      <c r="M633" s="75"/>
    </row>
    <row r="634" spans="2:13">
      <c r="B634" s="76"/>
      <c r="C634" s="77"/>
      <c r="D634" s="77"/>
      <c r="E634" s="77"/>
      <c r="F634" s="77"/>
      <c r="G634" s="77"/>
      <c r="H634" s="77"/>
      <c r="I634" s="77"/>
      <c r="J634" s="78"/>
      <c r="K634" s="75"/>
      <c r="L634" s="75"/>
      <c r="M634" s="75"/>
    </row>
    <row r="635" spans="2:13">
      <c r="B635" s="76"/>
      <c r="C635" s="77"/>
      <c r="D635" s="77"/>
      <c r="E635" s="77"/>
      <c r="F635" s="77"/>
      <c r="G635" s="77"/>
      <c r="H635" s="77"/>
      <c r="I635" s="77"/>
      <c r="J635" s="78"/>
      <c r="K635" s="75"/>
      <c r="L635" s="75"/>
      <c r="M635" s="75"/>
    </row>
    <row r="636" spans="2:13">
      <c r="B636" s="76"/>
      <c r="C636" s="77"/>
      <c r="D636" s="77"/>
      <c r="E636" s="77"/>
      <c r="F636" s="77"/>
      <c r="G636" s="77"/>
      <c r="H636" s="77"/>
      <c r="I636" s="77"/>
      <c r="J636" s="78"/>
      <c r="K636" s="75"/>
      <c r="L636" s="75"/>
      <c r="M636" s="75"/>
    </row>
    <row r="637" spans="2:13">
      <c r="B637" s="76"/>
      <c r="C637" s="77"/>
      <c r="D637" s="77"/>
      <c r="E637" s="77"/>
      <c r="F637" s="77"/>
      <c r="G637" s="77"/>
      <c r="H637" s="77"/>
      <c r="I637" s="77"/>
      <c r="J637" s="78"/>
      <c r="K637" s="75"/>
      <c r="L637" s="75"/>
      <c r="M637" s="75"/>
    </row>
    <row r="638" spans="2:13">
      <c r="B638" s="76"/>
      <c r="C638" s="77"/>
      <c r="D638" s="77"/>
      <c r="E638" s="77"/>
      <c r="F638" s="77"/>
      <c r="G638" s="77"/>
      <c r="H638" s="77"/>
      <c r="I638" s="77"/>
      <c r="J638" s="78"/>
      <c r="K638" s="75"/>
      <c r="L638" s="75"/>
      <c r="M638" s="75"/>
    </row>
    <row r="639" spans="2:13">
      <c r="B639" s="76"/>
      <c r="C639" s="77"/>
      <c r="D639" s="77"/>
      <c r="E639" s="77"/>
      <c r="F639" s="77"/>
      <c r="G639" s="77"/>
      <c r="H639" s="77"/>
      <c r="I639" s="77"/>
      <c r="J639" s="78"/>
      <c r="K639" s="75"/>
      <c r="L639" s="75"/>
      <c r="M639" s="75"/>
    </row>
    <row r="640" spans="2:13">
      <c r="B640" s="76"/>
      <c r="C640" s="77"/>
      <c r="D640" s="77"/>
      <c r="E640" s="77"/>
      <c r="F640" s="77"/>
      <c r="G640" s="77"/>
      <c r="H640" s="77"/>
      <c r="I640" s="77"/>
      <c r="J640" s="78"/>
      <c r="K640" s="75"/>
      <c r="L640" s="75"/>
      <c r="M640" s="75"/>
    </row>
    <row r="641" spans="2:13">
      <c r="B641" s="76"/>
      <c r="C641" s="77"/>
      <c r="D641" s="77"/>
      <c r="E641" s="77"/>
      <c r="F641" s="77"/>
      <c r="G641" s="77"/>
      <c r="H641" s="77"/>
      <c r="I641" s="77"/>
      <c r="J641" s="78"/>
      <c r="K641" s="75"/>
      <c r="L641" s="75"/>
      <c r="M641" s="75"/>
    </row>
    <row r="642" spans="2:13">
      <c r="B642" s="76"/>
      <c r="C642" s="77"/>
      <c r="D642" s="77"/>
      <c r="E642" s="77"/>
      <c r="F642" s="77"/>
      <c r="G642" s="77"/>
      <c r="H642" s="77"/>
      <c r="I642" s="77"/>
      <c r="J642" s="78"/>
      <c r="K642" s="75"/>
      <c r="L642" s="75"/>
      <c r="M642" s="75"/>
    </row>
    <row r="643" spans="2:13">
      <c r="B643" s="76"/>
      <c r="C643" s="77"/>
      <c r="D643" s="77"/>
      <c r="E643" s="77"/>
      <c r="F643" s="77"/>
      <c r="G643" s="77"/>
      <c r="H643" s="77"/>
      <c r="I643" s="77"/>
      <c r="J643" s="78"/>
      <c r="K643" s="75"/>
      <c r="L643" s="75"/>
      <c r="M643" s="75"/>
    </row>
    <row r="644" spans="2:13">
      <c r="B644" s="76"/>
      <c r="C644" s="77"/>
      <c r="D644" s="77"/>
      <c r="E644" s="77"/>
      <c r="F644" s="77"/>
      <c r="G644" s="77"/>
      <c r="H644" s="77"/>
      <c r="I644" s="77"/>
      <c r="J644" s="78"/>
      <c r="K644" s="75"/>
      <c r="L644" s="75"/>
      <c r="M644" s="75"/>
    </row>
    <row r="645" spans="2:13">
      <c r="B645" s="76"/>
      <c r="C645" s="77"/>
      <c r="D645" s="77"/>
      <c r="E645" s="77"/>
      <c r="F645" s="77"/>
      <c r="G645" s="77"/>
      <c r="H645" s="77"/>
      <c r="I645" s="77"/>
      <c r="J645" s="78"/>
      <c r="K645" s="75"/>
      <c r="L645" s="75"/>
      <c r="M645" s="75"/>
    </row>
    <row r="646" spans="2:13">
      <c r="B646" s="76"/>
      <c r="C646" s="77"/>
      <c r="D646" s="77"/>
      <c r="E646" s="77"/>
      <c r="F646" s="77"/>
      <c r="G646" s="77"/>
      <c r="H646" s="77"/>
      <c r="I646" s="77"/>
      <c r="J646" s="78"/>
      <c r="K646" s="75"/>
      <c r="L646" s="75"/>
      <c r="M646" s="75"/>
    </row>
    <row r="647" spans="2:13">
      <c r="B647" s="76"/>
      <c r="C647" s="77"/>
      <c r="D647" s="77"/>
      <c r="E647" s="77"/>
      <c r="F647" s="77"/>
      <c r="G647" s="77"/>
      <c r="H647" s="77"/>
      <c r="I647" s="77"/>
      <c r="J647" s="78"/>
      <c r="K647" s="75"/>
      <c r="L647" s="75"/>
      <c r="M647" s="75"/>
    </row>
    <row r="648" spans="2:13">
      <c r="B648" s="76"/>
      <c r="C648" s="77"/>
      <c r="D648" s="77"/>
      <c r="E648" s="77"/>
      <c r="F648" s="77"/>
      <c r="G648" s="77"/>
      <c r="H648" s="77"/>
      <c r="I648" s="77"/>
      <c r="J648" s="78"/>
      <c r="K648" s="75"/>
      <c r="L648" s="75"/>
      <c r="M648" s="75"/>
    </row>
    <row r="649" spans="2:13">
      <c r="B649" s="76"/>
      <c r="C649" s="77"/>
      <c r="D649" s="77"/>
      <c r="E649" s="77"/>
      <c r="F649" s="77"/>
      <c r="G649" s="77"/>
      <c r="H649" s="77"/>
      <c r="I649" s="77"/>
      <c r="J649" s="78"/>
      <c r="K649" s="75"/>
      <c r="L649" s="75"/>
      <c r="M649" s="75"/>
    </row>
    <row r="650" spans="2:13">
      <c r="B650" s="76"/>
      <c r="C650" s="77"/>
      <c r="D650" s="77"/>
      <c r="E650" s="77"/>
      <c r="F650" s="77"/>
      <c r="G650" s="77"/>
      <c r="H650" s="77"/>
      <c r="I650" s="77"/>
      <c r="J650" s="78"/>
      <c r="K650" s="75"/>
      <c r="L650" s="75"/>
      <c r="M650" s="75"/>
    </row>
    <row r="651" spans="2:13">
      <c r="B651" s="76"/>
      <c r="C651" s="77"/>
      <c r="D651" s="77"/>
      <c r="E651" s="77"/>
      <c r="F651" s="77"/>
      <c r="G651" s="77"/>
      <c r="H651" s="77"/>
      <c r="I651" s="77"/>
      <c r="J651" s="78"/>
      <c r="K651" s="75"/>
      <c r="L651" s="75"/>
      <c r="M651" s="75"/>
    </row>
    <row r="652" spans="2:13">
      <c r="B652" s="76"/>
      <c r="C652" s="77"/>
      <c r="D652" s="77"/>
      <c r="E652" s="77"/>
      <c r="F652" s="77"/>
      <c r="G652" s="77"/>
      <c r="H652" s="77"/>
      <c r="I652" s="77"/>
      <c r="J652" s="78"/>
      <c r="K652" s="75"/>
      <c r="L652" s="75"/>
      <c r="M652" s="75"/>
    </row>
    <row r="653" spans="2:13">
      <c r="B653" s="76"/>
      <c r="C653" s="77"/>
      <c r="D653" s="77"/>
      <c r="E653" s="77"/>
      <c r="F653" s="77"/>
      <c r="G653" s="77"/>
      <c r="H653" s="77"/>
      <c r="I653" s="77"/>
      <c r="J653" s="78"/>
      <c r="K653" s="75"/>
      <c r="L653" s="75"/>
      <c r="M653" s="75"/>
    </row>
    <row r="654" spans="2:13">
      <c r="B654" s="76"/>
      <c r="C654" s="77"/>
      <c r="D654" s="77"/>
      <c r="E654" s="77"/>
      <c r="F654" s="77"/>
      <c r="G654" s="77"/>
      <c r="H654" s="77"/>
      <c r="I654" s="77"/>
      <c r="J654" s="78"/>
      <c r="K654" s="75"/>
      <c r="L654" s="75"/>
      <c r="M654" s="75"/>
    </row>
    <row r="655" spans="2:13">
      <c r="B655" s="76"/>
      <c r="C655" s="77"/>
      <c r="D655" s="77"/>
      <c r="E655" s="77"/>
      <c r="F655" s="77"/>
      <c r="G655" s="77"/>
      <c r="H655" s="77"/>
      <c r="I655" s="77"/>
      <c r="J655" s="78"/>
      <c r="K655" s="75"/>
      <c r="L655" s="75"/>
      <c r="M655" s="75"/>
    </row>
    <row r="656" spans="2:13">
      <c r="B656" s="76"/>
      <c r="C656" s="77"/>
      <c r="D656" s="77"/>
      <c r="E656" s="77"/>
      <c r="F656" s="77"/>
      <c r="G656" s="77"/>
      <c r="H656" s="77"/>
      <c r="I656" s="77"/>
      <c r="J656" s="78"/>
      <c r="K656" s="75"/>
      <c r="L656" s="75"/>
      <c r="M656" s="75"/>
    </row>
    <row r="657" spans="2:13">
      <c r="B657" s="76"/>
      <c r="C657" s="77"/>
      <c r="D657" s="77"/>
      <c r="E657" s="77"/>
      <c r="F657" s="77"/>
      <c r="G657" s="77"/>
      <c r="H657" s="77"/>
      <c r="I657" s="77"/>
      <c r="J657" s="78"/>
      <c r="K657" s="75"/>
      <c r="L657" s="75"/>
      <c r="M657" s="75"/>
    </row>
    <row r="658" spans="2:13">
      <c r="B658" s="76"/>
      <c r="C658" s="77"/>
      <c r="D658" s="77"/>
      <c r="E658" s="77"/>
      <c r="F658" s="77"/>
      <c r="G658" s="77"/>
      <c r="H658" s="77"/>
      <c r="I658" s="77"/>
      <c r="J658" s="78"/>
      <c r="K658" s="75"/>
      <c r="L658" s="75"/>
      <c r="M658" s="75"/>
    </row>
    <row r="659" spans="2:13">
      <c r="B659" s="76"/>
      <c r="C659" s="77"/>
      <c r="D659" s="77"/>
      <c r="E659" s="77"/>
      <c r="F659" s="77"/>
      <c r="G659" s="77"/>
      <c r="H659" s="77"/>
      <c r="I659" s="77"/>
      <c r="J659" s="78"/>
      <c r="K659" s="75"/>
      <c r="L659" s="75"/>
      <c r="M659" s="75"/>
    </row>
    <row r="660" spans="2:13">
      <c r="B660" s="76"/>
      <c r="C660" s="77"/>
      <c r="D660" s="77"/>
      <c r="E660" s="77"/>
      <c r="F660" s="77"/>
      <c r="G660" s="77"/>
      <c r="H660" s="77"/>
      <c r="I660" s="77"/>
      <c r="J660" s="78"/>
      <c r="K660" s="75"/>
      <c r="L660" s="75"/>
      <c r="M660" s="75"/>
    </row>
    <row r="661" spans="2:13">
      <c r="B661" s="76"/>
      <c r="C661" s="77"/>
      <c r="D661" s="77"/>
      <c r="E661" s="77"/>
      <c r="F661" s="77"/>
      <c r="G661" s="77"/>
      <c r="H661" s="77"/>
      <c r="I661" s="77"/>
      <c r="J661" s="78"/>
      <c r="K661" s="75"/>
      <c r="L661" s="75"/>
      <c r="M661" s="75"/>
    </row>
    <row r="662" spans="2:13">
      <c r="B662" s="76"/>
      <c r="C662" s="77"/>
      <c r="D662" s="77"/>
      <c r="E662" s="77"/>
      <c r="F662" s="77"/>
      <c r="G662" s="77"/>
      <c r="H662" s="77"/>
      <c r="I662" s="77"/>
      <c r="J662" s="78"/>
      <c r="K662" s="75"/>
      <c r="L662" s="75"/>
      <c r="M662" s="75"/>
    </row>
    <row r="663" spans="2:13">
      <c r="B663" s="76"/>
      <c r="C663" s="77"/>
      <c r="D663" s="77"/>
      <c r="E663" s="77"/>
      <c r="F663" s="77"/>
      <c r="G663" s="77"/>
      <c r="H663" s="77"/>
      <c r="I663" s="77"/>
      <c r="J663" s="78"/>
      <c r="K663" s="75"/>
      <c r="L663" s="75"/>
      <c r="M663" s="75"/>
    </row>
    <row r="664" spans="2:13">
      <c r="B664" s="76"/>
      <c r="C664" s="77"/>
      <c r="D664" s="77"/>
      <c r="E664" s="77"/>
      <c r="F664" s="77"/>
      <c r="G664" s="77"/>
      <c r="H664" s="77"/>
      <c r="I664" s="77"/>
      <c r="J664" s="78"/>
      <c r="K664" s="75"/>
      <c r="L664" s="75"/>
      <c r="M664" s="75"/>
    </row>
    <row r="665" spans="2:13">
      <c r="B665" s="76"/>
      <c r="C665" s="77"/>
      <c r="D665" s="77"/>
      <c r="E665" s="77"/>
      <c r="F665" s="77"/>
      <c r="G665" s="77"/>
      <c r="H665" s="77"/>
      <c r="I665" s="77"/>
      <c r="J665" s="78"/>
      <c r="K665" s="75"/>
      <c r="L665" s="75"/>
      <c r="M665" s="75"/>
    </row>
    <row r="666" spans="2:13">
      <c r="B666" s="76"/>
      <c r="C666" s="77"/>
      <c r="D666" s="77"/>
      <c r="E666" s="77"/>
      <c r="F666" s="77"/>
      <c r="G666" s="77"/>
      <c r="H666" s="77"/>
      <c r="I666" s="77"/>
      <c r="J666" s="78"/>
      <c r="K666" s="75"/>
      <c r="L666" s="75"/>
      <c r="M666" s="75"/>
    </row>
    <row r="667" spans="2:13">
      <c r="B667" s="76"/>
      <c r="C667" s="77"/>
      <c r="D667" s="77"/>
      <c r="E667" s="77"/>
      <c r="F667" s="77"/>
      <c r="G667" s="77"/>
      <c r="H667" s="77"/>
      <c r="I667" s="77"/>
      <c r="J667" s="78"/>
      <c r="K667" s="75"/>
      <c r="L667" s="75"/>
      <c r="M667" s="75"/>
    </row>
    <row r="668" spans="2:13">
      <c r="B668" s="76"/>
      <c r="C668" s="77"/>
      <c r="D668" s="77"/>
      <c r="E668" s="77"/>
      <c r="F668" s="77"/>
      <c r="G668" s="77"/>
      <c r="H668" s="77"/>
      <c r="I668" s="77"/>
      <c r="J668" s="78"/>
      <c r="K668" s="75"/>
      <c r="L668" s="75"/>
      <c r="M668" s="75"/>
    </row>
    <row r="669" spans="2:13">
      <c r="B669" s="76"/>
      <c r="C669" s="77"/>
      <c r="D669" s="77"/>
      <c r="E669" s="77"/>
      <c r="F669" s="77"/>
      <c r="G669" s="77"/>
      <c r="H669" s="77"/>
      <c r="I669" s="77"/>
      <c r="J669" s="78"/>
      <c r="K669" s="75"/>
      <c r="L669" s="75"/>
      <c r="M669" s="75"/>
    </row>
    <row r="670" spans="2:13">
      <c r="B670" s="76"/>
      <c r="C670" s="77"/>
      <c r="D670" s="77"/>
      <c r="E670" s="77"/>
      <c r="F670" s="77"/>
      <c r="G670" s="77"/>
      <c r="H670" s="77"/>
      <c r="I670" s="77"/>
      <c r="J670" s="78"/>
      <c r="K670" s="75"/>
      <c r="L670" s="75"/>
      <c r="M670" s="75"/>
    </row>
    <row r="671" spans="2:13">
      <c r="B671" s="76"/>
      <c r="C671" s="77"/>
      <c r="D671" s="77"/>
      <c r="E671" s="77"/>
      <c r="F671" s="77"/>
      <c r="G671" s="77"/>
      <c r="H671" s="77"/>
      <c r="I671" s="77"/>
      <c r="J671" s="78"/>
      <c r="K671" s="75"/>
      <c r="L671" s="75"/>
      <c r="M671" s="75"/>
    </row>
    <row r="672" spans="2:13">
      <c r="B672" s="76"/>
      <c r="C672" s="77"/>
      <c r="D672" s="77"/>
      <c r="E672" s="77"/>
      <c r="F672" s="77"/>
      <c r="G672" s="77"/>
      <c r="H672" s="77"/>
      <c r="I672" s="77"/>
      <c r="J672" s="78"/>
      <c r="K672" s="75"/>
      <c r="L672" s="75"/>
      <c r="M672" s="75"/>
    </row>
    <row r="673" spans="2:13">
      <c r="B673" s="76"/>
      <c r="C673" s="77"/>
      <c r="D673" s="77"/>
      <c r="E673" s="77"/>
      <c r="F673" s="77"/>
      <c r="G673" s="77"/>
      <c r="H673" s="77"/>
      <c r="I673" s="77"/>
      <c r="J673" s="78"/>
      <c r="K673" s="75"/>
      <c r="L673" s="75"/>
      <c r="M673" s="75"/>
    </row>
    <row r="674" spans="2:13">
      <c r="B674" s="76"/>
      <c r="C674" s="77"/>
      <c r="D674" s="77"/>
      <c r="E674" s="77"/>
      <c r="F674" s="77"/>
      <c r="G674" s="77"/>
      <c r="H674" s="77"/>
      <c r="I674" s="77"/>
      <c r="J674" s="78"/>
      <c r="K674" s="75"/>
      <c r="L674" s="75"/>
      <c r="M674" s="75"/>
    </row>
    <row r="675" spans="2:13">
      <c r="B675" s="76"/>
      <c r="C675" s="77"/>
      <c r="D675" s="77"/>
      <c r="E675" s="77"/>
      <c r="F675" s="77"/>
      <c r="G675" s="77"/>
      <c r="H675" s="77"/>
      <c r="I675" s="77"/>
      <c r="J675" s="78"/>
      <c r="K675" s="75"/>
      <c r="L675" s="75"/>
      <c r="M675" s="75"/>
    </row>
    <row r="676" spans="2:13">
      <c r="B676" s="76"/>
      <c r="C676" s="77"/>
      <c r="D676" s="77"/>
      <c r="E676" s="77"/>
      <c r="F676" s="77"/>
      <c r="G676" s="77"/>
      <c r="H676" s="77"/>
      <c r="I676" s="77"/>
      <c r="J676" s="78"/>
      <c r="K676" s="75"/>
      <c r="L676" s="75"/>
      <c r="M676" s="75"/>
    </row>
    <row r="677" spans="2:13">
      <c r="B677" s="76"/>
      <c r="C677" s="77"/>
      <c r="D677" s="77"/>
      <c r="E677" s="77"/>
      <c r="F677" s="77"/>
      <c r="G677" s="77"/>
      <c r="H677" s="77"/>
      <c r="I677" s="77"/>
      <c r="J677" s="78"/>
      <c r="K677" s="75"/>
      <c r="L677" s="75"/>
      <c r="M677" s="75"/>
    </row>
    <row r="678" spans="2:13">
      <c r="B678" s="76"/>
      <c r="C678" s="77"/>
      <c r="D678" s="77"/>
      <c r="E678" s="77"/>
      <c r="F678" s="77"/>
      <c r="G678" s="77"/>
      <c r="H678" s="77"/>
      <c r="I678" s="77"/>
      <c r="J678" s="78"/>
      <c r="K678" s="75"/>
      <c r="L678" s="75"/>
      <c r="M678" s="75"/>
    </row>
    <row r="679" spans="2:13">
      <c r="B679" s="76"/>
      <c r="C679" s="77"/>
      <c r="D679" s="77"/>
      <c r="E679" s="77"/>
      <c r="F679" s="77"/>
      <c r="G679" s="77"/>
      <c r="H679" s="77"/>
      <c r="I679" s="77"/>
      <c r="J679" s="78"/>
      <c r="K679" s="75"/>
      <c r="L679" s="75"/>
      <c r="M679" s="75"/>
    </row>
    <row r="680" spans="2:13">
      <c r="B680" s="76"/>
      <c r="C680" s="77"/>
      <c r="D680" s="77"/>
      <c r="E680" s="77"/>
      <c r="F680" s="77"/>
      <c r="G680" s="77"/>
      <c r="H680" s="77"/>
      <c r="I680" s="77"/>
      <c r="J680" s="78"/>
      <c r="K680" s="75"/>
      <c r="L680" s="75"/>
      <c r="M680" s="75"/>
    </row>
    <row r="681" spans="2:13">
      <c r="B681" s="76"/>
      <c r="C681" s="77"/>
      <c r="D681" s="77"/>
      <c r="E681" s="77"/>
      <c r="F681" s="77"/>
      <c r="G681" s="77"/>
      <c r="H681" s="77"/>
      <c r="I681" s="77"/>
      <c r="J681" s="78"/>
      <c r="K681" s="75"/>
      <c r="L681" s="75"/>
      <c r="M681" s="75"/>
    </row>
    <row r="682" spans="2:13">
      <c r="B682" s="76"/>
      <c r="C682" s="77"/>
      <c r="D682" s="77"/>
      <c r="E682" s="77"/>
      <c r="F682" s="77"/>
      <c r="G682" s="77"/>
      <c r="H682" s="77"/>
      <c r="I682" s="77"/>
      <c r="J682" s="78"/>
      <c r="K682" s="75"/>
      <c r="L682" s="75"/>
      <c r="M682" s="75"/>
    </row>
    <row r="683" spans="2:13">
      <c r="B683" s="76"/>
      <c r="C683" s="77"/>
      <c r="D683" s="77"/>
      <c r="E683" s="77"/>
      <c r="F683" s="77"/>
      <c r="G683" s="77"/>
      <c r="H683" s="77"/>
      <c r="I683" s="77"/>
      <c r="J683" s="78"/>
      <c r="K683" s="75"/>
      <c r="L683" s="75"/>
      <c r="M683" s="75"/>
    </row>
    <row r="684" spans="2:13">
      <c r="B684" s="76"/>
      <c r="C684" s="77"/>
      <c r="D684" s="77"/>
      <c r="E684" s="77"/>
      <c r="F684" s="77"/>
      <c r="G684" s="77"/>
      <c r="H684" s="77"/>
      <c r="I684" s="77"/>
      <c r="J684" s="78"/>
      <c r="K684" s="75"/>
      <c r="L684" s="75"/>
      <c r="M684" s="75"/>
    </row>
    <row r="685" spans="2:13">
      <c r="B685" s="76"/>
      <c r="C685" s="77"/>
      <c r="D685" s="77"/>
      <c r="E685" s="77"/>
      <c r="F685" s="77"/>
      <c r="G685" s="77"/>
      <c r="H685" s="77"/>
      <c r="I685" s="77"/>
      <c r="J685" s="78"/>
      <c r="K685" s="75"/>
      <c r="L685" s="75"/>
      <c r="M685" s="75"/>
    </row>
    <row r="686" spans="2:13">
      <c r="B686" s="76"/>
      <c r="C686" s="77"/>
      <c r="D686" s="77"/>
      <c r="E686" s="77"/>
      <c r="F686" s="77"/>
      <c r="G686" s="77"/>
      <c r="H686" s="77"/>
      <c r="I686" s="77"/>
      <c r="J686" s="78"/>
      <c r="K686" s="75"/>
      <c r="L686" s="75"/>
      <c r="M686" s="75"/>
    </row>
    <row r="687" spans="2:13">
      <c r="B687" s="76"/>
      <c r="C687" s="77"/>
      <c r="D687" s="77"/>
      <c r="E687" s="77"/>
      <c r="F687" s="77"/>
      <c r="G687" s="77"/>
      <c r="H687" s="77"/>
      <c r="I687" s="77"/>
      <c r="J687" s="78"/>
      <c r="K687" s="75"/>
      <c r="L687" s="75"/>
      <c r="M687" s="75"/>
    </row>
    <row r="688" spans="2:13">
      <c r="B688" s="76"/>
      <c r="C688" s="77"/>
      <c r="D688" s="77"/>
      <c r="E688" s="77"/>
      <c r="F688" s="77"/>
      <c r="G688" s="77"/>
      <c r="H688" s="77"/>
      <c r="I688" s="77"/>
      <c r="J688" s="78"/>
      <c r="K688" s="75"/>
      <c r="L688" s="75"/>
      <c r="M688" s="75"/>
    </row>
    <row r="689" spans="2:13">
      <c r="B689" s="76"/>
      <c r="C689" s="77"/>
      <c r="D689" s="77"/>
      <c r="E689" s="77"/>
      <c r="F689" s="77"/>
      <c r="G689" s="77"/>
      <c r="H689" s="77"/>
      <c r="I689" s="77"/>
      <c r="J689" s="78"/>
      <c r="K689" s="75"/>
      <c r="L689" s="75"/>
      <c r="M689" s="75"/>
    </row>
    <row r="690" spans="2:13">
      <c r="B690" s="76"/>
      <c r="C690" s="77"/>
      <c r="D690" s="77"/>
      <c r="E690" s="77"/>
      <c r="F690" s="77"/>
      <c r="G690" s="77"/>
      <c r="H690" s="77"/>
      <c r="I690" s="77"/>
      <c r="J690" s="78"/>
      <c r="K690" s="75"/>
      <c r="L690" s="75"/>
      <c r="M690" s="75"/>
    </row>
    <row r="691" spans="2:13">
      <c r="B691" s="76"/>
      <c r="C691" s="77"/>
      <c r="D691" s="77"/>
      <c r="E691" s="77"/>
      <c r="F691" s="77"/>
      <c r="G691" s="77"/>
      <c r="H691" s="77"/>
      <c r="I691" s="77"/>
      <c r="J691" s="78"/>
      <c r="K691" s="75"/>
      <c r="L691" s="75"/>
      <c r="M691" s="75"/>
    </row>
    <row r="692" spans="2:13">
      <c r="B692" s="76"/>
      <c r="C692" s="77"/>
      <c r="D692" s="77"/>
      <c r="E692" s="77"/>
      <c r="F692" s="77"/>
      <c r="G692" s="77"/>
      <c r="H692" s="77"/>
      <c r="I692" s="77"/>
      <c r="J692" s="78"/>
      <c r="K692" s="75"/>
      <c r="L692" s="75"/>
      <c r="M692" s="75"/>
    </row>
    <row r="693" spans="2:13">
      <c r="B693" s="76"/>
      <c r="C693" s="77"/>
      <c r="D693" s="77"/>
      <c r="E693" s="77"/>
      <c r="F693" s="77"/>
      <c r="G693" s="77"/>
      <c r="H693" s="77"/>
      <c r="I693" s="77"/>
      <c r="J693" s="78"/>
      <c r="K693" s="75"/>
      <c r="L693" s="75"/>
      <c r="M693" s="75"/>
    </row>
    <row r="694" spans="2:13">
      <c r="B694" s="76"/>
      <c r="C694" s="77"/>
      <c r="D694" s="77"/>
      <c r="E694" s="77"/>
      <c r="F694" s="77"/>
      <c r="G694" s="77"/>
      <c r="H694" s="77"/>
      <c r="I694" s="77"/>
      <c r="J694" s="78"/>
      <c r="K694" s="75"/>
      <c r="L694" s="75"/>
      <c r="M694" s="75"/>
    </row>
    <row r="695" spans="2:13">
      <c r="B695" s="76"/>
      <c r="C695" s="77"/>
      <c r="D695" s="77"/>
      <c r="E695" s="77"/>
      <c r="F695" s="77"/>
      <c r="G695" s="77"/>
      <c r="H695" s="77"/>
      <c r="I695" s="77"/>
      <c r="J695" s="78"/>
      <c r="K695" s="75"/>
      <c r="L695" s="75"/>
      <c r="M695" s="75"/>
    </row>
    <row r="696" spans="2:13">
      <c r="B696" s="76"/>
      <c r="C696" s="77"/>
      <c r="D696" s="77"/>
      <c r="E696" s="77"/>
      <c r="F696" s="77"/>
      <c r="G696" s="77"/>
      <c r="H696" s="77"/>
      <c r="I696" s="77"/>
      <c r="J696" s="78"/>
      <c r="K696" s="75"/>
      <c r="L696" s="75"/>
      <c r="M696" s="75"/>
    </row>
    <row r="697" spans="2:13">
      <c r="B697" s="76"/>
      <c r="C697" s="77"/>
      <c r="D697" s="77"/>
      <c r="E697" s="77"/>
      <c r="F697" s="77"/>
      <c r="G697" s="77"/>
      <c r="H697" s="77"/>
      <c r="I697" s="77"/>
      <c r="J697" s="78"/>
      <c r="K697" s="75"/>
      <c r="L697" s="75"/>
      <c r="M697" s="75"/>
    </row>
    <row r="698" spans="2:13">
      <c r="B698" s="76"/>
      <c r="C698" s="77"/>
      <c r="D698" s="77"/>
      <c r="E698" s="77"/>
      <c r="F698" s="77"/>
      <c r="G698" s="77"/>
      <c r="H698" s="77"/>
      <c r="I698" s="77"/>
      <c r="J698" s="78"/>
      <c r="K698" s="75"/>
      <c r="L698" s="75"/>
      <c r="M698" s="75"/>
    </row>
    <row r="699" spans="2:13">
      <c r="B699" s="76"/>
      <c r="C699" s="77"/>
      <c r="D699" s="77"/>
      <c r="E699" s="77"/>
      <c r="F699" s="77"/>
      <c r="G699" s="77"/>
      <c r="H699" s="77"/>
      <c r="I699" s="77"/>
      <c r="J699" s="78"/>
      <c r="K699" s="75"/>
      <c r="L699" s="75"/>
      <c r="M699" s="75"/>
    </row>
    <row r="700" spans="2:13">
      <c r="B700" s="76"/>
      <c r="C700" s="77"/>
      <c r="D700" s="77"/>
      <c r="E700" s="77"/>
      <c r="F700" s="77"/>
      <c r="G700" s="77"/>
      <c r="H700" s="77"/>
      <c r="I700" s="77"/>
      <c r="J700" s="78"/>
      <c r="K700" s="75"/>
      <c r="L700" s="75"/>
      <c r="M700" s="75"/>
    </row>
    <row r="701" spans="2:13">
      <c r="B701" s="76"/>
      <c r="C701" s="77"/>
      <c r="D701" s="77"/>
      <c r="E701" s="77"/>
      <c r="F701" s="77"/>
      <c r="G701" s="77"/>
      <c r="H701" s="77"/>
      <c r="I701" s="77"/>
      <c r="J701" s="78"/>
      <c r="K701" s="75"/>
      <c r="L701" s="75"/>
      <c r="M701" s="75"/>
    </row>
    <row r="702" spans="2:13">
      <c r="B702" s="76"/>
      <c r="C702" s="77"/>
      <c r="D702" s="77"/>
      <c r="E702" s="77"/>
      <c r="F702" s="77"/>
      <c r="G702" s="77"/>
      <c r="H702" s="77"/>
      <c r="I702" s="77"/>
      <c r="J702" s="78"/>
      <c r="K702" s="75"/>
      <c r="L702" s="75"/>
      <c r="M702" s="75"/>
    </row>
    <row r="703" spans="2:13">
      <c r="B703" s="76"/>
      <c r="C703" s="77"/>
      <c r="D703" s="77"/>
      <c r="E703" s="77"/>
      <c r="F703" s="77"/>
      <c r="G703" s="77"/>
      <c r="H703" s="77"/>
      <c r="I703" s="77"/>
      <c r="J703" s="78"/>
      <c r="K703" s="75"/>
      <c r="L703" s="75"/>
      <c r="M703" s="75"/>
    </row>
    <row r="704" spans="2:13">
      <c r="B704" s="76"/>
      <c r="C704" s="77"/>
      <c r="D704" s="77"/>
      <c r="E704" s="77"/>
      <c r="F704" s="77"/>
      <c r="G704" s="77"/>
      <c r="H704" s="77"/>
      <c r="I704" s="77"/>
      <c r="J704" s="78"/>
      <c r="K704" s="75"/>
      <c r="L704" s="75"/>
      <c r="M704" s="75"/>
    </row>
    <row r="705" spans="2:13">
      <c r="B705" s="76"/>
      <c r="C705" s="77"/>
      <c r="D705" s="77"/>
      <c r="E705" s="77"/>
      <c r="F705" s="77"/>
      <c r="G705" s="77"/>
      <c r="H705" s="77"/>
      <c r="I705" s="77"/>
      <c r="J705" s="78"/>
      <c r="K705" s="75"/>
      <c r="L705" s="75"/>
      <c r="M705" s="75"/>
    </row>
    <row r="706" spans="2:13">
      <c r="B706" s="76"/>
      <c r="C706" s="77"/>
      <c r="D706" s="77"/>
      <c r="E706" s="77"/>
      <c r="F706" s="77"/>
      <c r="G706" s="77"/>
      <c r="H706" s="77"/>
      <c r="I706" s="77"/>
      <c r="J706" s="78"/>
      <c r="K706" s="75"/>
      <c r="L706" s="75"/>
      <c r="M706" s="75"/>
    </row>
    <row r="707" spans="2:13">
      <c r="B707" s="76"/>
      <c r="C707" s="77"/>
      <c r="D707" s="77"/>
      <c r="E707" s="77"/>
      <c r="F707" s="77"/>
      <c r="G707" s="77"/>
      <c r="H707" s="77"/>
      <c r="I707" s="77"/>
      <c r="J707" s="78"/>
      <c r="K707" s="75"/>
      <c r="L707" s="75"/>
      <c r="M707" s="75"/>
    </row>
    <row r="708" spans="2:13">
      <c r="B708" s="76"/>
      <c r="C708" s="77"/>
      <c r="D708" s="77"/>
      <c r="E708" s="77"/>
      <c r="F708" s="77"/>
      <c r="G708" s="77"/>
      <c r="H708" s="77"/>
      <c r="I708" s="77"/>
      <c r="J708" s="78"/>
      <c r="K708" s="75"/>
      <c r="L708" s="75"/>
      <c r="M708" s="75"/>
    </row>
    <row r="709" spans="2:13">
      <c r="B709" s="76"/>
      <c r="C709" s="77"/>
      <c r="D709" s="77"/>
      <c r="E709" s="77"/>
      <c r="F709" s="77"/>
      <c r="G709" s="77"/>
      <c r="H709" s="77"/>
      <c r="I709" s="77"/>
      <c r="J709" s="78"/>
      <c r="K709" s="75"/>
      <c r="L709" s="75"/>
      <c r="M709" s="75"/>
    </row>
    <row r="710" spans="2:13">
      <c r="B710" s="76"/>
      <c r="C710" s="77"/>
      <c r="D710" s="77"/>
      <c r="E710" s="77"/>
      <c r="F710" s="77"/>
      <c r="G710" s="77"/>
      <c r="H710" s="77"/>
      <c r="I710" s="77"/>
      <c r="J710" s="78"/>
      <c r="K710" s="75"/>
      <c r="L710" s="75"/>
      <c r="M710" s="75"/>
    </row>
    <row r="711" spans="2:13">
      <c r="B711" s="76"/>
      <c r="C711" s="77"/>
      <c r="D711" s="77"/>
      <c r="E711" s="77"/>
      <c r="F711" s="77"/>
      <c r="G711" s="77"/>
      <c r="H711" s="77"/>
      <c r="I711" s="77"/>
      <c r="J711" s="78"/>
      <c r="K711" s="75"/>
      <c r="L711" s="75"/>
      <c r="M711" s="75"/>
    </row>
    <row r="712" spans="2:13">
      <c r="B712" s="76"/>
      <c r="C712" s="77"/>
      <c r="D712" s="77"/>
      <c r="E712" s="77"/>
      <c r="F712" s="77"/>
      <c r="G712" s="77"/>
      <c r="H712" s="77"/>
      <c r="I712" s="77"/>
      <c r="J712" s="78"/>
      <c r="K712" s="75"/>
      <c r="L712" s="75"/>
      <c r="M712" s="75"/>
    </row>
    <row r="713" spans="2:13">
      <c r="B713" s="76"/>
      <c r="C713" s="77"/>
      <c r="D713" s="77"/>
      <c r="E713" s="77"/>
      <c r="F713" s="77"/>
      <c r="G713" s="77"/>
      <c r="H713" s="77"/>
      <c r="I713" s="77"/>
      <c r="J713" s="78"/>
      <c r="K713" s="75"/>
      <c r="L713" s="75"/>
      <c r="M713" s="75"/>
    </row>
    <row r="714" spans="2:13">
      <c r="B714" s="76"/>
      <c r="C714" s="77"/>
      <c r="D714" s="77"/>
      <c r="E714" s="77"/>
      <c r="F714" s="77"/>
      <c r="G714" s="77"/>
      <c r="H714" s="77"/>
      <c r="I714" s="77"/>
      <c r="J714" s="78"/>
      <c r="K714" s="75"/>
      <c r="L714" s="75"/>
      <c r="M714" s="75"/>
    </row>
    <row r="715" spans="2:13">
      <c r="B715" s="76"/>
      <c r="C715" s="77"/>
      <c r="D715" s="77"/>
      <c r="E715" s="77"/>
      <c r="F715" s="77"/>
      <c r="G715" s="77"/>
      <c r="H715" s="77"/>
      <c r="I715" s="77"/>
      <c r="J715" s="78"/>
      <c r="K715" s="75"/>
      <c r="L715" s="75"/>
      <c r="M715" s="75"/>
    </row>
    <row r="716" spans="2:13">
      <c r="B716" s="76"/>
      <c r="C716" s="77"/>
      <c r="D716" s="77"/>
      <c r="E716" s="77"/>
      <c r="F716" s="77"/>
      <c r="G716" s="77"/>
      <c r="H716" s="77"/>
      <c r="I716" s="77"/>
      <c r="J716" s="78"/>
      <c r="K716" s="75"/>
      <c r="L716" s="75"/>
      <c r="M716" s="75"/>
    </row>
    <row r="717" spans="2:13">
      <c r="B717" s="76"/>
      <c r="C717" s="77"/>
      <c r="D717" s="77"/>
      <c r="E717" s="77"/>
      <c r="F717" s="77"/>
      <c r="G717" s="77"/>
      <c r="H717" s="77"/>
      <c r="I717" s="77"/>
      <c r="J717" s="78"/>
      <c r="K717" s="75"/>
      <c r="L717" s="75"/>
      <c r="M717" s="75"/>
    </row>
    <row r="718" spans="2:13">
      <c r="B718" s="76"/>
      <c r="C718" s="77"/>
      <c r="D718" s="77"/>
      <c r="E718" s="77"/>
      <c r="F718" s="77"/>
      <c r="G718" s="77"/>
      <c r="H718" s="77"/>
      <c r="I718" s="77"/>
      <c r="J718" s="78"/>
      <c r="K718" s="75"/>
      <c r="L718" s="75"/>
      <c r="M718" s="75"/>
    </row>
    <row r="719" spans="2:13">
      <c r="B719" s="76"/>
      <c r="C719" s="77"/>
      <c r="D719" s="77"/>
      <c r="E719" s="77"/>
      <c r="F719" s="77"/>
      <c r="G719" s="77"/>
      <c r="H719" s="77"/>
      <c r="I719" s="77"/>
      <c r="J719" s="78"/>
      <c r="K719" s="75"/>
      <c r="L719" s="75"/>
      <c r="M719" s="75"/>
    </row>
    <row r="720" spans="2:13">
      <c r="B720" s="76"/>
      <c r="C720" s="77"/>
      <c r="D720" s="77"/>
      <c r="E720" s="77"/>
      <c r="F720" s="77"/>
      <c r="G720" s="77"/>
      <c r="H720" s="77"/>
      <c r="I720" s="77"/>
      <c r="J720" s="78"/>
      <c r="K720" s="75"/>
      <c r="L720" s="75"/>
      <c r="M720" s="75"/>
    </row>
    <row r="721" spans="2:13">
      <c r="B721" s="76"/>
      <c r="C721" s="77"/>
      <c r="D721" s="77"/>
      <c r="E721" s="77"/>
      <c r="F721" s="77"/>
      <c r="G721" s="77"/>
      <c r="H721" s="77"/>
      <c r="I721" s="77"/>
      <c r="J721" s="78"/>
      <c r="K721" s="75"/>
      <c r="L721" s="75"/>
      <c r="M721" s="75"/>
    </row>
    <row r="722" spans="2:13">
      <c r="B722" s="76"/>
      <c r="C722" s="77"/>
      <c r="D722" s="77"/>
      <c r="E722" s="77"/>
      <c r="F722" s="77"/>
      <c r="G722" s="77"/>
      <c r="H722" s="77"/>
      <c r="I722" s="77"/>
      <c r="J722" s="78"/>
      <c r="K722" s="75"/>
      <c r="L722" s="75"/>
      <c r="M722" s="75"/>
    </row>
    <row r="723" spans="2:13">
      <c r="B723" s="76"/>
      <c r="C723" s="77"/>
      <c r="D723" s="77"/>
      <c r="E723" s="77"/>
      <c r="F723" s="77"/>
      <c r="G723" s="77"/>
      <c r="H723" s="77"/>
      <c r="I723" s="77"/>
      <c r="J723" s="78"/>
      <c r="K723" s="75"/>
      <c r="L723" s="75"/>
      <c r="M723" s="75"/>
    </row>
    <row r="724" spans="2:13">
      <c r="B724" s="76"/>
      <c r="C724" s="77"/>
      <c r="D724" s="77"/>
      <c r="E724" s="77"/>
      <c r="F724" s="77"/>
      <c r="G724" s="77"/>
      <c r="H724" s="77"/>
      <c r="I724" s="77"/>
      <c r="J724" s="78"/>
      <c r="K724" s="75"/>
      <c r="L724" s="75"/>
      <c r="M724" s="75"/>
    </row>
    <row r="725" spans="2:13">
      <c r="B725" s="76"/>
      <c r="C725" s="77"/>
      <c r="D725" s="77"/>
      <c r="E725" s="77"/>
      <c r="F725" s="77"/>
      <c r="G725" s="77"/>
      <c r="H725" s="77"/>
      <c r="I725" s="77"/>
      <c r="J725" s="78"/>
      <c r="K725" s="75"/>
      <c r="L725" s="75"/>
      <c r="M725" s="75"/>
    </row>
    <row r="726" spans="2:13">
      <c r="B726" s="76"/>
      <c r="C726" s="77"/>
      <c r="D726" s="77"/>
      <c r="E726" s="77"/>
      <c r="F726" s="77"/>
      <c r="G726" s="77"/>
      <c r="H726" s="77"/>
      <c r="I726" s="77"/>
      <c r="J726" s="78"/>
      <c r="K726" s="75"/>
      <c r="L726" s="75"/>
      <c r="M726" s="75"/>
    </row>
    <row r="727" spans="2:13">
      <c r="B727" s="76"/>
      <c r="C727" s="77"/>
      <c r="D727" s="77"/>
      <c r="E727" s="77"/>
      <c r="F727" s="77"/>
      <c r="G727" s="77"/>
      <c r="H727" s="77"/>
      <c r="I727" s="77"/>
      <c r="J727" s="78"/>
      <c r="K727" s="75"/>
      <c r="L727" s="75"/>
      <c r="M727" s="75"/>
    </row>
    <row r="728" spans="2:13">
      <c r="B728" s="76"/>
      <c r="C728" s="77"/>
      <c r="D728" s="77"/>
      <c r="E728" s="77"/>
      <c r="F728" s="77"/>
      <c r="G728" s="77"/>
      <c r="H728" s="77"/>
      <c r="I728" s="77"/>
      <c r="J728" s="78"/>
      <c r="K728" s="75"/>
      <c r="L728" s="75"/>
      <c r="M728" s="75"/>
    </row>
    <row r="729" spans="2:13">
      <c r="B729" s="76"/>
      <c r="C729" s="77"/>
      <c r="D729" s="77"/>
      <c r="E729" s="77"/>
      <c r="F729" s="77"/>
      <c r="G729" s="77"/>
      <c r="H729" s="77"/>
      <c r="I729" s="77"/>
      <c r="J729" s="78"/>
      <c r="K729" s="75"/>
      <c r="L729" s="75"/>
      <c r="M729" s="75"/>
    </row>
    <row r="730" spans="2:13">
      <c r="B730" s="76"/>
      <c r="C730" s="77"/>
      <c r="D730" s="77"/>
      <c r="E730" s="77"/>
      <c r="F730" s="77"/>
      <c r="G730" s="77"/>
      <c r="H730" s="77"/>
      <c r="I730" s="77"/>
      <c r="J730" s="78"/>
      <c r="K730" s="75"/>
      <c r="L730" s="75"/>
      <c r="M730" s="75"/>
    </row>
    <row r="731" spans="2:13">
      <c r="B731" s="76"/>
      <c r="C731" s="77"/>
      <c r="D731" s="77"/>
      <c r="E731" s="77"/>
      <c r="F731" s="77"/>
      <c r="G731" s="77"/>
      <c r="H731" s="77"/>
      <c r="I731" s="77"/>
      <c r="J731" s="78"/>
      <c r="K731" s="75"/>
      <c r="L731" s="75"/>
      <c r="M731" s="75"/>
    </row>
    <row r="732" spans="2:13">
      <c r="B732" s="76"/>
      <c r="C732" s="77"/>
      <c r="D732" s="77"/>
      <c r="E732" s="77"/>
      <c r="F732" s="77"/>
      <c r="G732" s="77"/>
      <c r="H732" s="77"/>
      <c r="I732" s="77"/>
      <c r="J732" s="78"/>
      <c r="K732" s="75"/>
      <c r="L732" s="75"/>
      <c r="M732" s="75"/>
    </row>
    <row r="733" spans="2:13">
      <c r="B733" s="76"/>
      <c r="C733" s="77"/>
      <c r="D733" s="77"/>
      <c r="E733" s="77"/>
      <c r="F733" s="77"/>
      <c r="G733" s="77"/>
      <c r="H733" s="77"/>
      <c r="I733" s="77"/>
      <c r="J733" s="78"/>
      <c r="K733" s="75"/>
      <c r="L733" s="75"/>
      <c r="M733" s="75"/>
    </row>
    <row r="734" spans="2:13">
      <c r="B734" s="76"/>
      <c r="C734" s="77"/>
      <c r="D734" s="77"/>
      <c r="E734" s="77"/>
      <c r="F734" s="77"/>
      <c r="G734" s="77"/>
      <c r="H734" s="77"/>
      <c r="I734" s="77"/>
      <c r="J734" s="78"/>
      <c r="K734" s="75"/>
      <c r="L734" s="75"/>
      <c r="M734" s="75"/>
    </row>
    <row r="735" spans="2:13">
      <c r="B735" s="76"/>
      <c r="C735" s="77"/>
      <c r="D735" s="77"/>
      <c r="E735" s="77"/>
      <c r="F735" s="77"/>
      <c r="G735" s="77"/>
      <c r="H735" s="77"/>
      <c r="I735" s="77"/>
      <c r="J735" s="78"/>
      <c r="K735" s="75"/>
      <c r="L735" s="75"/>
      <c r="M735" s="75"/>
    </row>
    <row r="736" spans="2:13">
      <c r="B736" s="76"/>
      <c r="C736" s="77"/>
      <c r="D736" s="77"/>
      <c r="E736" s="77"/>
      <c r="F736" s="77"/>
      <c r="G736" s="77"/>
      <c r="H736" s="77"/>
      <c r="I736" s="77"/>
      <c r="J736" s="78"/>
      <c r="K736" s="75"/>
      <c r="L736" s="75"/>
      <c r="M736" s="75"/>
    </row>
    <row r="737" spans="2:13">
      <c r="B737" s="76"/>
      <c r="C737" s="77"/>
      <c r="D737" s="77"/>
      <c r="E737" s="77"/>
      <c r="F737" s="77"/>
      <c r="G737" s="77"/>
      <c r="H737" s="77"/>
      <c r="I737" s="77"/>
      <c r="J737" s="78"/>
      <c r="K737" s="75"/>
      <c r="L737" s="75"/>
      <c r="M737" s="75"/>
    </row>
    <row r="738" spans="2:13">
      <c r="B738" s="76"/>
      <c r="C738" s="77"/>
      <c r="D738" s="77"/>
      <c r="E738" s="77"/>
      <c r="F738" s="77"/>
      <c r="G738" s="77"/>
      <c r="H738" s="77"/>
      <c r="I738" s="77"/>
      <c r="J738" s="78"/>
      <c r="K738" s="75"/>
      <c r="L738" s="75"/>
      <c r="M738" s="75"/>
    </row>
    <row r="739" spans="2:13">
      <c r="B739" s="76"/>
      <c r="C739" s="77"/>
      <c r="D739" s="77"/>
      <c r="E739" s="77"/>
      <c r="F739" s="77"/>
      <c r="G739" s="77"/>
      <c r="H739" s="77"/>
      <c r="I739" s="77"/>
      <c r="J739" s="78"/>
      <c r="K739" s="75"/>
      <c r="L739" s="75"/>
      <c r="M739" s="75"/>
    </row>
    <row r="740" spans="2:13">
      <c r="B740" s="76"/>
      <c r="C740" s="77"/>
      <c r="D740" s="77"/>
      <c r="E740" s="77"/>
      <c r="F740" s="77"/>
      <c r="G740" s="77"/>
      <c r="H740" s="77"/>
      <c r="I740" s="77"/>
      <c r="J740" s="78"/>
      <c r="K740" s="75"/>
      <c r="L740" s="75"/>
      <c r="M740" s="75"/>
    </row>
    <row r="741" spans="2:13">
      <c r="B741" s="76"/>
      <c r="C741" s="77"/>
      <c r="D741" s="77"/>
      <c r="E741" s="77"/>
      <c r="F741" s="77"/>
      <c r="G741" s="77"/>
      <c r="H741" s="77"/>
      <c r="I741" s="77"/>
      <c r="J741" s="78"/>
      <c r="K741" s="75"/>
      <c r="L741" s="75"/>
      <c r="M741" s="75"/>
    </row>
    <row r="742" spans="2:13">
      <c r="B742" s="76"/>
      <c r="C742" s="77"/>
      <c r="D742" s="77"/>
      <c r="E742" s="77"/>
      <c r="F742" s="77"/>
      <c r="G742" s="77"/>
      <c r="H742" s="77"/>
      <c r="I742" s="77"/>
      <c r="J742" s="78"/>
      <c r="K742" s="75"/>
      <c r="L742" s="75"/>
      <c r="M742" s="75"/>
    </row>
    <row r="743" spans="2:13">
      <c r="B743" s="76"/>
      <c r="C743" s="77"/>
      <c r="D743" s="77"/>
      <c r="E743" s="77"/>
      <c r="F743" s="77"/>
      <c r="G743" s="77"/>
      <c r="H743" s="77"/>
      <c r="I743" s="77"/>
      <c r="J743" s="78"/>
      <c r="K743" s="75"/>
      <c r="L743" s="75"/>
      <c r="M743" s="75"/>
    </row>
    <row r="744" spans="2:13">
      <c r="B744" s="76"/>
      <c r="C744" s="77"/>
      <c r="D744" s="77"/>
      <c r="E744" s="77"/>
      <c r="F744" s="77"/>
      <c r="G744" s="77"/>
      <c r="H744" s="77"/>
      <c r="I744" s="77"/>
      <c r="J744" s="78"/>
      <c r="K744" s="75"/>
      <c r="L744" s="75"/>
      <c r="M744" s="75"/>
    </row>
    <row r="745" spans="2:13">
      <c r="B745" s="76"/>
      <c r="C745" s="77"/>
      <c r="D745" s="77"/>
      <c r="E745" s="77"/>
      <c r="F745" s="77"/>
      <c r="G745" s="77"/>
      <c r="H745" s="77"/>
      <c r="I745" s="77"/>
      <c r="J745" s="78"/>
      <c r="K745" s="75"/>
      <c r="L745" s="75"/>
      <c r="M745" s="75"/>
    </row>
    <row r="746" spans="2:13">
      <c r="B746" s="76"/>
      <c r="C746" s="77"/>
      <c r="D746" s="77"/>
      <c r="E746" s="77"/>
      <c r="F746" s="77"/>
      <c r="G746" s="77"/>
      <c r="H746" s="77"/>
      <c r="I746" s="77"/>
      <c r="J746" s="78"/>
      <c r="K746" s="75"/>
      <c r="L746" s="75"/>
      <c r="M746" s="75"/>
    </row>
    <row r="747" spans="2:13">
      <c r="B747" s="76"/>
      <c r="C747" s="77"/>
      <c r="D747" s="77"/>
      <c r="E747" s="77"/>
      <c r="F747" s="77"/>
      <c r="G747" s="77"/>
      <c r="H747" s="77"/>
      <c r="I747" s="77"/>
      <c r="J747" s="78"/>
      <c r="K747" s="75"/>
      <c r="L747" s="75"/>
      <c r="M747" s="75"/>
    </row>
    <row r="748" spans="2:13">
      <c r="B748" s="76"/>
      <c r="C748" s="77"/>
      <c r="D748" s="77"/>
      <c r="E748" s="77"/>
      <c r="F748" s="77"/>
      <c r="G748" s="77"/>
      <c r="H748" s="77"/>
      <c r="I748" s="77"/>
      <c r="J748" s="78"/>
      <c r="K748" s="75"/>
      <c r="L748" s="75"/>
      <c r="M748" s="75"/>
    </row>
    <row r="749" spans="2:13">
      <c r="B749" s="76"/>
      <c r="C749" s="77"/>
      <c r="D749" s="77"/>
      <c r="E749" s="77"/>
      <c r="F749" s="77"/>
      <c r="G749" s="77"/>
      <c r="H749" s="77"/>
      <c r="I749" s="77"/>
      <c r="J749" s="78"/>
      <c r="K749" s="75"/>
      <c r="L749" s="75"/>
      <c r="M749" s="75"/>
    </row>
    <row r="750" spans="2:13">
      <c r="B750" s="76"/>
      <c r="C750" s="77"/>
      <c r="D750" s="77"/>
      <c r="E750" s="77"/>
      <c r="F750" s="77"/>
      <c r="G750" s="77"/>
      <c r="H750" s="77"/>
      <c r="I750" s="77"/>
      <c r="J750" s="78"/>
      <c r="K750" s="75"/>
      <c r="L750" s="75"/>
      <c r="M750" s="75"/>
    </row>
    <row r="751" spans="2:13">
      <c r="B751" s="76"/>
      <c r="C751" s="77"/>
      <c r="D751" s="77"/>
      <c r="E751" s="77"/>
      <c r="F751" s="77"/>
      <c r="G751" s="77"/>
      <c r="H751" s="77"/>
      <c r="I751" s="77"/>
      <c r="J751" s="78"/>
      <c r="K751" s="75"/>
      <c r="L751" s="75"/>
      <c r="M751" s="75"/>
    </row>
    <row r="752" spans="2:13">
      <c r="B752" s="76"/>
      <c r="C752" s="77"/>
      <c r="D752" s="77"/>
      <c r="E752" s="77"/>
      <c r="F752" s="77"/>
      <c r="G752" s="77"/>
      <c r="H752" s="77"/>
      <c r="I752" s="77"/>
      <c r="J752" s="78"/>
      <c r="K752" s="75"/>
      <c r="L752" s="75"/>
      <c r="M752" s="75"/>
    </row>
    <row r="753" spans="2:13">
      <c r="B753" s="76"/>
      <c r="C753" s="77"/>
      <c r="D753" s="77"/>
      <c r="E753" s="77"/>
      <c r="F753" s="77"/>
      <c r="G753" s="77"/>
      <c r="H753" s="77"/>
      <c r="I753" s="77"/>
      <c r="J753" s="78"/>
      <c r="K753" s="75"/>
      <c r="L753" s="75"/>
      <c r="M753" s="75"/>
    </row>
    <row r="754" spans="2:13">
      <c r="B754" s="76"/>
      <c r="C754" s="77"/>
      <c r="D754" s="77"/>
      <c r="E754" s="77"/>
      <c r="F754" s="77"/>
      <c r="G754" s="77"/>
      <c r="H754" s="77"/>
      <c r="I754" s="77"/>
      <c r="J754" s="78"/>
      <c r="K754" s="75"/>
      <c r="L754" s="75"/>
      <c r="M754" s="75"/>
    </row>
    <row r="755" spans="2:13">
      <c r="B755" s="76"/>
      <c r="C755" s="77"/>
      <c r="D755" s="77"/>
      <c r="E755" s="77"/>
      <c r="F755" s="77"/>
      <c r="G755" s="77"/>
      <c r="H755" s="77"/>
      <c r="I755" s="77"/>
      <c r="J755" s="78"/>
      <c r="K755" s="75"/>
      <c r="L755" s="75"/>
      <c r="M755" s="75"/>
    </row>
    <row r="756" spans="2:13">
      <c r="B756" s="76"/>
      <c r="C756" s="77"/>
      <c r="D756" s="77"/>
      <c r="E756" s="77"/>
      <c r="F756" s="77"/>
      <c r="G756" s="77"/>
      <c r="H756" s="77"/>
      <c r="I756" s="77"/>
      <c r="J756" s="78"/>
      <c r="K756" s="75"/>
      <c r="L756" s="75"/>
      <c r="M756" s="75"/>
    </row>
    <row r="757" spans="2:13">
      <c r="B757" s="76"/>
      <c r="C757" s="77"/>
      <c r="D757" s="77"/>
      <c r="E757" s="77"/>
      <c r="F757" s="77"/>
      <c r="G757" s="77"/>
      <c r="H757" s="77"/>
      <c r="I757" s="77"/>
      <c r="J757" s="78"/>
      <c r="K757" s="75"/>
      <c r="L757" s="75"/>
      <c r="M757" s="75"/>
    </row>
    <row r="758" spans="2:13">
      <c r="B758" s="76"/>
      <c r="C758" s="77"/>
      <c r="D758" s="77"/>
      <c r="E758" s="77"/>
      <c r="F758" s="77"/>
      <c r="G758" s="77"/>
      <c r="H758" s="77"/>
      <c r="I758" s="77"/>
      <c r="J758" s="78"/>
      <c r="K758" s="75"/>
      <c r="L758" s="75"/>
      <c r="M758" s="75"/>
    </row>
    <row r="759" spans="2:13">
      <c r="B759" s="76"/>
      <c r="C759" s="77"/>
      <c r="D759" s="77"/>
      <c r="E759" s="77"/>
      <c r="F759" s="77"/>
      <c r="G759" s="77"/>
      <c r="H759" s="77"/>
      <c r="I759" s="77"/>
      <c r="J759" s="78"/>
      <c r="K759" s="75"/>
      <c r="L759" s="75"/>
      <c r="M759" s="75"/>
    </row>
    <row r="760" spans="2:13">
      <c r="B760" s="76"/>
      <c r="C760" s="77"/>
      <c r="D760" s="77"/>
      <c r="E760" s="77"/>
      <c r="F760" s="77"/>
      <c r="G760" s="77"/>
      <c r="H760" s="77"/>
      <c r="I760" s="77"/>
      <c r="J760" s="78"/>
      <c r="K760" s="75"/>
      <c r="L760" s="75"/>
      <c r="M760" s="75"/>
    </row>
    <row r="761" spans="2:13">
      <c r="B761" s="76"/>
      <c r="C761" s="77"/>
      <c r="D761" s="77"/>
      <c r="E761" s="77"/>
      <c r="F761" s="77"/>
      <c r="G761" s="77"/>
      <c r="H761" s="77"/>
      <c r="I761" s="77"/>
      <c r="J761" s="78"/>
      <c r="K761" s="75"/>
      <c r="L761" s="75"/>
      <c r="M761" s="75"/>
    </row>
    <row r="762" spans="2:13">
      <c r="B762" s="76"/>
      <c r="C762" s="77"/>
      <c r="D762" s="77"/>
      <c r="E762" s="77"/>
      <c r="F762" s="77"/>
      <c r="G762" s="77"/>
      <c r="H762" s="77"/>
      <c r="I762" s="77"/>
      <c r="J762" s="78"/>
      <c r="K762" s="75"/>
      <c r="L762" s="75"/>
      <c r="M762" s="75"/>
    </row>
    <row r="763" spans="2:13">
      <c r="B763" s="76"/>
      <c r="C763" s="77"/>
      <c r="D763" s="77"/>
      <c r="E763" s="77"/>
      <c r="F763" s="77"/>
      <c r="G763" s="77"/>
      <c r="H763" s="77"/>
      <c r="I763" s="77"/>
      <c r="J763" s="78"/>
      <c r="K763" s="75"/>
      <c r="L763" s="75"/>
      <c r="M763" s="75"/>
    </row>
    <row r="764" spans="2:13">
      <c r="B764" s="76"/>
      <c r="C764" s="77"/>
      <c r="D764" s="77"/>
      <c r="E764" s="77"/>
      <c r="F764" s="77"/>
      <c r="G764" s="77"/>
      <c r="H764" s="77"/>
      <c r="I764" s="77"/>
      <c r="J764" s="78"/>
      <c r="K764" s="75"/>
      <c r="L764" s="75"/>
      <c r="M764" s="75"/>
    </row>
    <row r="765" spans="2:13">
      <c r="B765" s="76"/>
      <c r="C765" s="77"/>
      <c r="D765" s="77"/>
      <c r="E765" s="77"/>
      <c r="F765" s="77"/>
      <c r="G765" s="77"/>
      <c r="H765" s="77"/>
      <c r="I765" s="77"/>
      <c r="J765" s="78"/>
      <c r="K765" s="75"/>
      <c r="L765" s="75"/>
      <c r="M765" s="75"/>
    </row>
    <row r="766" spans="2:13">
      <c r="B766" s="76"/>
      <c r="C766" s="77"/>
      <c r="D766" s="77"/>
      <c r="E766" s="77"/>
      <c r="F766" s="77"/>
      <c r="G766" s="77"/>
      <c r="H766" s="77"/>
      <c r="I766" s="77"/>
      <c r="J766" s="78"/>
      <c r="K766" s="75"/>
      <c r="L766" s="75"/>
      <c r="M766" s="75"/>
    </row>
    <row r="767" spans="2:13">
      <c r="B767" s="76"/>
      <c r="C767" s="77"/>
      <c r="D767" s="77"/>
      <c r="E767" s="77"/>
      <c r="F767" s="77"/>
      <c r="G767" s="77"/>
      <c r="H767" s="77"/>
      <c r="I767" s="77"/>
      <c r="J767" s="78"/>
      <c r="K767" s="75"/>
      <c r="L767" s="75"/>
      <c r="M767" s="75"/>
    </row>
    <row r="768" spans="2:13">
      <c r="B768" s="76"/>
      <c r="C768" s="77"/>
      <c r="D768" s="77"/>
      <c r="E768" s="77"/>
      <c r="F768" s="77"/>
      <c r="G768" s="77"/>
      <c r="H768" s="77"/>
      <c r="I768" s="77"/>
      <c r="J768" s="78"/>
      <c r="K768" s="75"/>
      <c r="L768" s="75"/>
      <c r="M768" s="75"/>
    </row>
    <row r="769" spans="2:13">
      <c r="B769" s="76"/>
      <c r="C769" s="77"/>
      <c r="D769" s="77"/>
      <c r="E769" s="77"/>
      <c r="F769" s="77"/>
      <c r="G769" s="77"/>
      <c r="H769" s="77"/>
      <c r="I769" s="77"/>
      <c r="J769" s="78"/>
      <c r="K769" s="75"/>
      <c r="L769" s="75"/>
      <c r="M769" s="75"/>
    </row>
    <row r="770" spans="2:13">
      <c r="B770" s="76"/>
      <c r="C770" s="77"/>
      <c r="D770" s="77"/>
      <c r="E770" s="77"/>
      <c r="F770" s="77"/>
      <c r="G770" s="77"/>
      <c r="H770" s="77"/>
      <c r="I770" s="77"/>
      <c r="J770" s="78"/>
      <c r="K770" s="75"/>
      <c r="L770" s="75"/>
      <c r="M770" s="75"/>
    </row>
    <row r="771" spans="2:13">
      <c r="B771" s="76"/>
      <c r="C771" s="77"/>
      <c r="D771" s="77"/>
      <c r="E771" s="77"/>
      <c r="F771" s="77"/>
      <c r="G771" s="77"/>
      <c r="H771" s="77"/>
      <c r="I771" s="77"/>
      <c r="J771" s="78"/>
      <c r="K771" s="75"/>
      <c r="L771" s="75"/>
      <c r="M771" s="75"/>
    </row>
    <row r="772" spans="2:13">
      <c r="B772" s="76"/>
      <c r="C772" s="77"/>
      <c r="D772" s="77"/>
      <c r="E772" s="77"/>
      <c r="F772" s="77"/>
      <c r="G772" s="77"/>
      <c r="H772" s="77"/>
      <c r="I772" s="77"/>
      <c r="J772" s="78"/>
      <c r="K772" s="75"/>
      <c r="L772" s="75"/>
      <c r="M772" s="75"/>
    </row>
    <row r="773" spans="2:13">
      <c r="B773" s="76"/>
      <c r="C773" s="77"/>
      <c r="D773" s="77"/>
      <c r="E773" s="77"/>
      <c r="F773" s="77"/>
      <c r="G773" s="77"/>
      <c r="H773" s="77"/>
      <c r="I773" s="77"/>
      <c r="J773" s="78"/>
      <c r="K773" s="75"/>
      <c r="L773" s="75"/>
      <c r="M773" s="75"/>
    </row>
    <row r="774" spans="2:13">
      <c r="B774" s="76"/>
      <c r="C774" s="77"/>
      <c r="D774" s="77"/>
      <c r="E774" s="77"/>
      <c r="F774" s="77"/>
      <c r="G774" s="77"/>
      <c r="H774" s="77"/>
      <c r="I774" s="77"/>
      <c r="J774" s="78"/>
      <c r="K774" s="75"/>
      <c r="L774" s="75"/>
      <c r="M774" s="75"/>
    </row>
    <row r="775" spans="2:13">
      <c r="B775" s="76"/>
      <c r="C775" s="77"/>
      <c r="D775" s="77"/>
      <c r="E775" s="77"/>
      <c r="F775" s="77"/>
      <c r="G775" s="77"/>
      <c r="H775" s="77"/>
      <c r="I775" s="77"/>
      <c r="J775" s="78"/>
      <c r="K775" s="75"/>
      <c r="L775" s="75"/>
      <c r="M775" s="75"/>
    </row>
    <row r="776" spans="2:13">
      <c r="B776" s="76"/>
      <c r="C776" s="77"/>
      <c r="D776" s="77"/>
      <c r="E776" s="77"/>
      <c r="F776" s="77"/>
      <c r="G776" s="77"/>
      <c r="H776" s="77"/>
      <c r="I776" s="77"/>
      <c r="J776" s="78"/>
      <c r="K776" s="75"/>
      <c r="L776" s="75"/>
      <c r="M776" s="75"/>
    </row>
    <row r="777" spans="2:13">
      <c r="B777" s="76"/>
      <c r="C777" s="77"/>
      <c r="D777" s="77"/>
      <c r="E777" s="77"/>
      <c r="F777" s="77"/>
      <c r="G777" s="77"/>
      <c r="H777" s="77"/>
      <c r="I777" s="77"/>
      <c r="J777" s="78"/>
      <c r="K777" s="75"/>
      <c r="L777" s="75"/>
      <c r="M777" s="75"/>
    </row>
    <row r="778" spans="2:13">
      <c r="B778" s="76"/>
      <c r="C778" s="77"/>
      <c r="D778" s="77"/>
      <c r="E778" s="77"/>
      <c r="F778" s="77"/>
      <c r="G778" s="77"/>
      <c r="H778" s="77"/>
      <c r="I778" s="77"/>
      <c r="J778" s="78"/>
      <c r="K778" s="75"/>
      <c r="L778" s="75"/>
      <c r="M778" s="75"/>
    </row>
    <row r="779" spans="2:13">
      <c r="B779" s="76"/>
      <c r="C779" s="77"/>
      <c r="D779" s="77"/>
      <c r="E779" s="77"/>
      <c r="F779" s="77"/>
      <c r="G779" s="77"/>
      <c r="H779" s="77"/>
      <c r="I779" s="77"/>
      <c r="J779" s="78"/>
      <c r="K779" s="75"/>
      <c r="L779" s="75"/>
      <c r="M779" s="75"/>
    </row>
    <row r="780" spans="2:13">
      <c r="B780" s="76"/>
      <c r="C780" s="77"/>
      <c r="D780" s="77"/>
      <c r="E780" s="77"/>
      <c r="F780" s="77"/>
      <c r="G780" s="77"/>
      <c r="H780" s="77"/>
      <c r="I780" s="77"/>
      <c r="J780" s="78"/>
      <c r="K780" s="75"/>
      <c r="L780" s="75"/>
      <c r="M780" s="75"/>
    </row>
    <row r="781" spans="2:13">
      <c r="B781" s="76"/>
      <c r="C781" s="77"/>
      <c r="D781" s="77"/>
      <c r="E781" s="77"/>
      <c r="F781" s="77"/>
      <c r="G781" s="77"/>
      <c r="H781" s="77"/>
      <c r="I781" s="77"/>
      <c r="J781" s="78"/>
      <c r="K781" s="75"/>
      <c r="L781" s="75"/>
      <c r="M781" s="75"/>
    </row>
    <row r="782" spans="2:13">
      <c r="B782" s="76"/>
      <c r="C782" s="77"/>
      <c r="D782" s="77"/>
      <c r="E782" s="77"/>
      <c r="F782" s="77"/>
      <c r="G782" s="77"/>
      <c r="H782" s="77"/>
      <c r="I782" s="77"/>
      <c r="J782" s="78"/>
      <c r="K782" s="75"/>
      <c r="L782" s="75"/>
      <c r="M782" s="75"/>
    </row>
    <row r="783" spans="2:13">
      <c r="B783" s="76"/>
      <c r="C783" s="77"/>
      <c r="D783" s="77"/>
      <c r="E783" s="77"/>
      <c r="F783" s="77"/>
      <c r="G783" s="77"/>
      <c r="H783" s="77"/>
      <c r="I783" s="77"/>
      <c r="J783" s="78"/>
      <c r="K783" s="75"/>
      <c r="L783" s="75"/>
      <c r="M783" s="75"/>
    </row>
    <row r="784" spans="2:13">
      <c r="B784" s="76"/>
      <c r="C784" s="77"/>
      <c r="D784" s="77"/>
      <c r="E784" s="77"/>
      <c r="F784" s="77"/>
      <c r="G784" s="77"/>
      <c r="H784" s="77"/>
      <c r="I784" s="77"/>
      <c r="J784" s="78"/>
      <c r="K784" s="75"/>
      <c r="L784" s="75"/>
      <c r="M784" s="75"/>
    </row>
    <row r="785" spans="2:13">
      <c r="B785" s="76"/>
      <c r="C785" s="77"/>
      <c r="D785" s="77"/>
      <c r="E785" s="77"/>
      <c r="F785" s="77"/>
      <c r="G785" s="77"/>
      <c r="H785" s="77"/>
      <c r="I785" s="77"/>
      <c r="J785" s="78"/>
      <c r="K785" s="75"/>
      <c r="L785" s="75"/>
      <c r="M785" s="75"/>
    </row>
    <row r="786" spans="2:13">
      <c r="B786" s="76"/>
      <c r="C786" s="77"/>
      <c r="D786" s="77"/>
      <c r="E786" s="77"/>
      <c r="F786" s="77"/>
      <c r="G786" s="77"/>
      <c r="H786" s="77"/>
      <c r="I786" s="77"/>
      <c r="J786" s="78"/>
      <c r="K786" s="75"/>
      <c r="L786" s="75"/>
      <c r="M786" s="75"/>
    </row>
    <row r="787" spans="2:13">
      <c r="B787" s="76"/>
      <c r="C787" s="77"/>
      <c r="D787" s="77"/>
      <c r="E787" s="77"/>
      <c r="F787" s="77"/>
      <c r="G787" s="77"/>
      <c r="H787" s="77"/>
      <c r="I787" s="77"/>
      <c r="J787" s="78"/>
      <c r="K787" s="75"/>
      <c r="L787" s="75"/>
      <c r="M787" s="75"/>
    </row>
    <row r="788" spans="2:13">
      <c r="B788" s="76"/>
      <c r="C788" s="77"/>
      <c r="D788" s="77"/>
      <c r="E788" s="77"/>
      <c r="F788" s="77"/>
      <c r="G788" s="77"/>
      <c r="H788" s="77"/>
      <c r="I788" s="77"/>
      <c r="J788" s="78"/>
      <c r="K788" s="75"/>
      <c r="L788" s="75"/>
      <c r="M788" s="75"/>
    </row>
    <row r="789" spans="2:13">
      <c r="B789" s="76"/>
      <c r="C789" s="77"/>
      <c r="D789" s="77"/>
      <c r="E789" s="77"/>
      <c r="F789" s="77"/>
      <c r="G789" s="77"/>
      <c r="H789" s="77"/>
      <c r="I789" s="77"/>
      <c r="J789" s="78"/>
      <c r="K789" s="75"/>
      <c r="L789" s="75"/>
      <c r="M789" s="75"/>
    </row>
    <row r="790" spans="2:13">
      <c r="B790" s="76"/>
      <c r="C790" s="77"/>
      <c r="D790" s="77"/>
      <c r="E790" s="77"/>
      <c r="F790" s="77"/>
      <c r="G790" s="77"/>
      <c r="H790" s="77"/>
      <c r="I790" s="77"/>
      <c r="J790" s="78"/>
      <c r="K790" s="75"/>
      <c r="L790" s="75"/>
      <c r="M790" s="75"/>
    </row>
    <row r="791" spans="2:13">
      <c r="B791" s="76"/>
      <c r="C791" s="77"/>
      <c r="D791" s="77"/>
      <c r="E791" s="77"/>
      <c r="F791" s="77"/>
      <c r="G791" s="77"/>
      <c r="H791" s="77"/>
      <c r="I791" s="77"/>
      <c r="J791" s="78"/>
      <c r="K791" s="75"/>
      <c r="L791" s="75"/>
      <c r="M791" s="75"/>
    </row>
    <row r="792" spans="2:13">
      <c r="B792" s="76"/>
      <c r="C792" s="77"/>
      <c r="D792" s="77"/>
      <c r="E792" s="77"/>
      <c r="F792" s="77"/>
      <c r="G792" s="77"/>
      <c r="H792" s="77"/>
      <c r="I792" s="77"/>
      <c r="J792" s="78"/>
      <c r="K792" s="75"/>
      <c r="L792" s="75"/>
      <c r="M792" s="75"/>
    </row>
    <row r="793" spans="2:13">
      <c r="B793" s="76"/>
      <c r="C793" s="77"/>
      <c r="D793" s="77"/>
      <c r="E793" s="77"/>
      <c r="F793" s="77"/>
      <c r="G793" s="77"/>
      <c r="H793" s="77"/>
      <c r="I793" s="77"/>
      <c r="J793" s="78"/>
      <c r="K793" s="75"/>
      <c r="L793" s="75"/>
      <c r="M793" s="75"/>
    </row>
    <row r="794" spans="2:13">
      <c r="B794" s="76"/>
      <c r="C794" s="77"/>
      <c r="D794" s="77"/>
      <c r="E794" s="77"/>
      <c r="F794" s="77"/>
      <c r="G794" s="77"/>
      <c r="H794" s="77"/>
      <c r="I794" s="77"/>
      <c r="J794" s="78"/>
      <c r="K794" s="75"/>
      <c r="L794" s="75"/>
      <c r="M794" s="75"/>
    </row>
    <row r="795" spans="2:13">
      <c r="B795" s="76"/>
      <c r="C795" s="77"/>
      <c r="D795" s="77"/>
      <c r="E795" s="77"/>
      <c r="F795" s="77"/>
      <c r="G795" s="77"/>
      <c r="H795" s="77"/>
      <c r="I795" s="77"/>
      <c r="J795" s="78"/>
      <c r="K795" s="75"/>
      <c r="L795" s="75"/>
      <c r="M795" s="75"/>
    </row>
    <row r="796" spans="2:13">
      <c r="B796" s="76"/>
      <c r="C796" s="77"/>
      <c r="D796" s="77"/>
      <c r="E796" s="77"/>
      <c r="F796" s="77"/>
      <c r="G796" s="77"/>
      <c r="H796" s="77"/>
      <c r="I796" s="77"/>
      <c r="J796" s="78"/>
      <c r="K796" s="75"/>
      <c r="L796" s="75"/>
      <c r="M796" s="75"/>
    </row>
    <row r="797" spans="2:13">
      <c r="B797" s="76"/>
      <c r="C797" s="77"/>
      <c r="D797" s="77"/>
      <c r="E797" s="77"/>
      <c r="F797" s="77"/>
      <c r="G797" s="77"/>
      <c r="H797" s="77"/>
      <c r="I797" s="77"/>
      <c r="J797" s="78"/>
      <c r="K797" s="75"/>
      <c r="L797" s="75"/>
      <c r="M797" s="75"/>
    </row>
    <row r="798" spans="2:13">
      <c r="B798" s="76"/>
      <c r="C798" s="77"/>
      <c r="D798" s="77"/>
      <c r="E798" s="77"/>
      <c r="F798" s="77"/>
      <c r="G798" s="77"/>
      <c r="H798" s="77"/>
      <c r="I798" s="77"/>
      <c r="J798" s="78"/>
      <c r="K798" s="75"/>
      <c r="L798" s="75"/>
      <c r="M798" s="75"/>
    </row>
    <row r="799" spans="2:13">
      <c r="B799" s="76"/>
      <c r="C799" s="77"/>
      <c r="D799" s="77"/>
      <c r="E799" s="77"/>
      <c r="F799" s="77"/>
      <c r="G799" s="77"/>
      <c r="H799" s="77"/>
      <c r="I799" s="77"/>
      <c r="J799" s="78"/>
      <c r="K799" s="75"/>
      <c r="L799" s="75"/>
      <c r="M799" s="75"/>
    </row>
    <row r="800" spans="2:13">
      <c r="B800" s="76"/>
      <c r="C800" s="77"/>
      <c r="D800" s="77"/>
      <c r="E800" s="77"/>
      <c r="F800" s="77"/>
      <c r="G800" s="77"/>
      <c r="H800" s="77"/>
      <c r="I800" s="77"/>
      <c r="J800" s="78"/>
      <c r="K800" s="75"/>
      <c r="L800" s="75"/>
      <c r="M800" s="75"/>
    </row>
    <row r="801" spans="2:13">
      <c r="B801" s="76"/>
      <c r="C801" s="77"/>
      <c r="D801" s="77"/>
      <c r="E801" s="77"/>
      <c r="F801" s="77"/>
      <c r="G801" s="77"/>
      <c r="H801" s="77"/>
      <c r="I801" s="77"/>
      <c r="J801" s="78"/>
      <c r="K801" s="75"/>
      <c r="L801" s="75"/>
      <c r="M801" s="75"/>
    </row>
    <row r="802" spans="2:13">
      <c r="B802" s="76"/>
      <c r="C802" s="77"/>
      <c r="D802" s="77"/>
      <c r="E802" s="77"/>
      <c r="F802" s="77"/>
      <c r="G802" s="77"/>
      <c r="H802" s="77"/>
      <c r="I802" s="77"/>
      <c r="J802" s="78"/>
      <c r="K802" s="75"/>
      <c r="L802" s="75"/>
      <c r="M802" s="75"/>
    </row>
    <row r="803" spans="2:13">
      <c r="B803" s="76"/>
      <c r="C803" s="77"/>
      <c r="D803" s="77"/>
      <c r="E803" s="77"/>
      <c r="F803" s="77"/>
      <c r="G803" s="77"/>
      <c r="H803" s="77"/>
      <c r="I803" s="77"/>
      <c r="J803" s="78"/>
      <c r="K803" s="75"/>
      <c r="L803" s="75"/>
      <c r="M803" s="75"/>
    </row>
    <row r="804" spans="2:13">
      <c r="B804" s="76"/>
      <c r="C804" s="77"/>
      <c r="D804" s="77"/>
      <c r="E804" s="77"/>
      <c r="F804" s="77"/>
      <c r="G804" s="77"/>
      <c r="H804" s="77"/>
      <c r="I804" s="77"/>
      <c r="J804" s="78"/>
      <c r="K804" s="75"/>
      <c r="L804" s="75"/>
      <c r="M804" s="75"/>
    </row>
    <row r="805" spans="2:13">
      <c r="B805" s="76"/>
      <c r="C805" s="77"/>
      <c r="D805" s="77"/>
      <c r="E805" s="77"/>
      <c r="F805" s="77"/>
      <c r="G805" s="77"/>
      <c r="H805" s="77"/>
      <c r="I805" s="77"/>
      <c r="J805" s="78"/>
      <c r="K805" s="75"/>
      <c r="L805" s="75"/>
      <c r="M805" s="75"/>
    </row>
    <row r="806" spans="2:13">
      <c r="B806" s="76"/>
      <c r="C806" s="77"/>
      <c r="D806" s="77"/>
      <c r="E806" s="77"/>
      <c r="F806" s="77"/>
      <c r="G806" s="77"/>
      <c r="H806" s="77"/>
      <c r="I806" s="77"/>
      <c r="J806" s="78"/>
      <c r="K806" s="75"/>
      <c r="L806" s="75"/>
      <c r="M806" s="75"/>
    </row>
    <row r="807" spans="2:13">
      <c r="B807" s="76"/>
      <c r="C807" s="77"/>
      <c r="D807" s="77"/>
      <c r="E807" s="77"/>
      <c r="F807" s="77"/>
      <c r="G807" s="77"/>
      <c r="H807" s="77"/>
      <c r="I807" s="77"/>
      <c r="J807" s="78"/>
      <c r="K807" s="75"/>
      <c r="L807" s="75"/>
      <c r="M807" s="75"/>
    </row>
    <row r="808" spans="2:13">
      <c r="B808" s="76"/>
      <c r="C808" s="77"/>
      <c r="D808" s="77"/>
      <c r="E808" s="77"/>
      <c r="F808" s="77"/>
      <c r="G808" s="77"/>
      <c r="H808" s="77"/>
      <c r="I808" s="77"/>
      <c r="J808" s="78"/>
      <c r="K808" s="75"/>
      <c r="L808" s="75"/>
      <c r="M808" s="75"/>
    </row>
    <row r="809" spans="2:13">
      <c r="B809" s="76"/>
      <c r="C809" s="77"/>
      <c r="D809" s="77"/>
      <c r="E809" s="77"/>
      <c r="F809" s="77"/>
      <c r="G809" s="77"/>
      <c r="H809" s="77"/>
      <c r="I809" s="77"/>
      <c r="J809" s="78"/>
      <c r="K809" s="75"/>
      <c r="L809" s="75"/>
      <c r="M809" s="75"/>
    </row>
    <row r="810" spans="2:13">
      <c r="B810" s="76"/>
      <c r="C810" s="77"/>
      <c r="D810" s="77"/>
      <c r="E810" s="77"/>
      <c r="F810" s="77"/>
      <c r="G810" s="77"/>
      <c r="H810" s="77"/>
      <c r="I810" s="77"/>
      <c r="J810" s="78"/>
      <c r="K810" s="75"/>
      <c r="L810" s="75"/>
      <c r="M810" s="75"/>
    </row>
    <row r="811" spans="2:13">
      <c r="B811" s="76"/>
      <c r="C811" s="77"/>
      <c r="D811" s="77"/>
      <c r="E811" s="77"/>
      <c r="F811" s="77"/>
      <c r="G811" s="77"/>
      <c r="H811" s="77"/>
      <c r="I811" s="77"/>
      <c r="J811" s="78"/>
      <c r="K811" s="75"/>
      <c r="L811" s="75"/>
      <c r="M811" s="75"/>
    </row>
    <row r="812" spans="2:13">
      <c r="B812" s="76"/>
      <c r="C812" s="77"/>
      <c r="D812" s="77"/>
      <c r="E812" s="77"/>
      <c r="F812" s="77"/>
      <c r="G812" s="77"/>
      <c r="H812" s="77"/>
      <c r="I812" s="77"/>
      <c r="J812" s="78"/>
      <c r="K812" s="75"/>
      <c r="L812" s="75"/>
      <c r="M812" s="75"/>
    </row>
    <row r="813" spans="2:13">
      <c r="B813" s="76"/>
      <c r="C813" s="77"/>
      <c r="D813" s="77"/>
      <c r="E813" s="77"/>
      <c r="F813" s="77"/>
      <c r="G813" s="77"/>
      <c r="H813" s="77"/>
      <c r="I813" s="77"/>
      <c r="J813" s="78"/>
      <c r="K813" s="75"/>
      <c r="L813" s="75"/>
      <c r="M813" s="75"/>
    </row>
    <row r="814" spans="2:13">
      <c r="B814" s="76"/>
      <c r="C814" s="77"/>
      <c r="D814" s="77"/>
      <c r="E814" s="77"/>
      <c r="F814" s="77"/>
      <c r="G814" s="77"/>
      <c r="H814" s="77"/>
      <c r="I814" s="77"/>
      <c r="J814" s="78"/>
      <c r="K814" s="75"/>
      <c r="L814" s="75"/>
      <c r="M814" s="75"/>
    </row>
    <row r="815" spans="2:13">
      <c r="B815" s="76"/>
      <c r="C815" s="77"/>
      <c r="D815" s="77"/>
      <c r="E815" s="77"/>
      <c r="F815" s="77"/>
      <c r="G815" s="77"/>
      <c r="H815" s="77"/>
      <c r="I815" s="77"/>
      <c r="J815" s="78"/>
      <c r="K815" s="75"/>
      <c r="L815" s="75"/>
      <c r="M815" s="75"/>
    </row>
    <row r="816" spans="2:13">
      <c r="B816" s="76"/>
      <c r="C816" s="77"/>
      <c r="D816" s="77"/>
      <c r="E816" s="77"/>
      <c r="F816" s="77"/>
      <c r="G816" s="77"/>
      <c r="H816" s="77"/>
      <c r="I816" s="77"/>
      <c r="J816" s="78"/>
      <c r="K816" s="75"/>
      <c r="L816" s="75"/>
      <c r="M816" s="75"/>
    </row>
    <row r="817" spans="2:13">
      <c r="B817" s="76"/>
      <c r="C817" s="77"/>
      <c r="D817" s="77"/>
      <c r="E817" s="77"/>
      <c r="F817" s="77"/>
      <c r="G817" s="77"/>
      <c r="H817" s="77"/>
      <c r="I817" s="77"/>
      <c r="J817" s="78"/>
      <c r="K817" s="75"/>
      <c r="L817" s="75"/>
      <c r="M817" s="75"/>
    </row>
    <row r="818" spans="2:13">
      <c r="B818" s="76"/>
      <c r="C818" s="77"/>
      <c r="D818" s="77"/>
      <c r="E818" s="77"/>
      <c r="F818" s="77"/>
      <c r="G818" s="77"/>
      <c r="H818" s="77"/>
      <c r="I818" s="77"/>
      <c r="J818" s="78"/>
      <c r="K818" s="75"/>
      <c r="L818" s="75"/>
      <c r="M818" s="75"/>
    </row>
    <row r="819" spans="2:13">
      <c r="B819" s="76"/>
      <c r="C819" s="77"/>
      <c r="D819" s="77"/>
      <c r="E819" s="77"/>
      <c r="F819" s="77"/>
      <c r="G819" s="77"/>
      <c r="H819" s="77"/>
      <c r="I819" s="77"/>
      <c r="J819" s="78"/>
      <c r="K819" s="75"/>
      <c r="L819" s="75"/>
      <c r="M819" s="75"/>
    </row>
    <row r="820" spans="2:13">
      <c r="B820" s="76"/>
      <c r="C820" s="77"/>
      <c r="D820" s="77"/>
      <c r="E820" s="77"/>
      <c r="F820" s="77"/>
      <c r="G820" s="77"/>
      <c r="H820" s="77"/>
      <c r="I820" s="77"/>
      <c r="J820" s="78"/>
      <c r="K820" s="75"/>
      <c r="L820" s="75"/>
      <c r="M820" s="75"/>
    </row>
    <row r="821" spans="2:13">
      <c r="B821" s="76"/>
      <c r="C821" s="77"/>
      <c r="D821" s="77"/>
      <c r="E821" s="77"/>
      <c r="F821" s="77"/>
      <c r="G821" s="77"/>
      <c r="H821" s="77"/>
      <c r="I821" s="77"/>
      <c r="J821" s="78"/>
      <c r="K821" s="75"/>
      <c r="L821" s="75"/>
      <c r="M821" s="75"/>
    </row>
    <row r="822" spans="2:13">
      <c r="B822" s="76"/>
      <c r="C822" s="77"/>
      <c r="D822" s="77"/>
      <c r="E822" s="77"/>
      <c r="F822" s="77"/>
      <c r="G822" s="77"/>
      <c r="H822" s="77"/>
      <c r="I822" s="77"/>
      <c r="J822" s="78"/>
      <c r="K822" s="75"/>
      <c r="L822" s="75"/>
      <c r="M822" s="75"/>
    </row>
    <row r="823" spans="2:13">
      <c r="B823" s="76"/>
      <c r="C823" s="77"/>
      <c r="D823" s="77"/>
      <c r="E823" s="77"/>
      <c r="F823" s="77"/>
      <c r="G823" s="77"/>
      <c r="H823" s="77"/>
      <c r="I823" s="77"/>
      <c r="J823" s="78"/>
      <c r="K823" s="75"/>
      <c r="L823" s="75"/>
      <c r="M823" s="75"/>
    </row>
    <row r="824" spans="2:13">
      <c r="B824" s="76"/>
      <c r="C824" s="77"/>
      <c r="D824" s="77"/>
      <c r="E824" s="77"/>
      <c r="F824" s="77"/>
      <c r="G824" s="77"/>
      <c r="H824" s="77"/>
      <c r="I824" s="77"/>
      <c r="J824" s="78"/>
      <c r="K824" s="75"/>
      <c r="L824" s="75"/>
      <c r="M824" s="75"/>
    </row>
    <row r="825" spans="2:13">
      <c r="B825" s="76"/>
      <c r="C825" s="77"/>
      <c r="D825" s="77"/>
      <c r="E825" s="77"/>
      <c r="F825" s="77"/>
      <c r="G825" s="77"/>
      <c r="H825" s="77"/>
      <c r="I825" s="77"/>
      <c r="J825" s="78"/>
      <c r="K825" s="75"/>
      <c r="L825" s="75"/>
      <c r="M825" s="75"/>
    </row>
    <row r="826" spans="2:13">
      <c r="B826" s="76"/>
      <c r="C826" s="77"/>
      <c r="D826" s="77"/>
      <c r="E826" s="77"/>
      <c r="F826" s="77"/>
      <c r="G826" s="77"/>
      <c r="H826" s="77"/>
      <c r="I826" s="77"/>
      <c r="J826" s="78"/>
      <c r="K826" s="75"/>
      <c r="L826" s="75"/>
      <c r="M826" s="75"/>
    </row>
    <row r="827" spans="2:13">
      <c r="B827" s="76"/>
      <c r="C827" s="77"/>
      <c r="D827" s="77"/>
      <c r="E827" s="77"/>
      <c r="F827" s="77"/>
      <c r="G827" s="77"/>
      <c r="H827" s="77"/>
      <c r="I827" s="77"/>
      <c r="J827" s="78"/>
      <c r="K827" s="75"/>
      <c r="L827" s="75"/>
      <c r="M827" s="75"/>
    </row>
    <row r="828" spans="2:13">
      <c r="B828" s="76"/>
      <c r="C828" s="77"/>
      <c r="D828" s="77"/>
      <c r="E828" s="77"/>
      <c r="F828" s="77"/>
      <c r="G828" s="77"/>
      <c r="H828" s="77"/>
      <c r="I828" s="77"/>
      <c r="J828" s="78"/>
      <c r="K828" s="75"/>
      <c r="L828" s="75"/>
      <c r="M828" s="75"/>
    </row>
    <row r="829" spans="2:13">
      <c r="B829" s="76"/>
      <c r="C829" s="77"/>
      <c r="D829" s="77"/>
      <c r="E829" s="77"/>
      <c r="F829" s="77"/>
      <c r="G829" s="77"/>
      <c r="H829" s="77"/>
      <c r="I829" s="77"/>
      <c r="J829" s="78"/>
      <c r="K829" s="75"/>
      <c r="L829" s="75"/>
      <c r="M829" s="75"/>
    </row>
    <row r="830" spans="2:13">
      <c r="B830" s="76"/>
      <c r="C830" s="77"/>
      <c r="D830" s="77"/>
      <c r="E830" s="77"/>
      <c r="F830" s="77"/>
      <c r="G830" s="77"/>
      <c r="H830" s="77"/>
      <c r="I830" s="77"/>
      <c r="J830" s="78"/>
      <c r="K830" s="75"/>
      <c r="L830" s="75"/>
      <c r="M830" s="75"/>
    </row>
    <row r="831" spans="2:13">
      <c r="B831" s="76"/>
      <c r="C831" s="77"/>
      <c r="D831" s="77"/>
      <c r="E831" s="77"/>
      <c r="F831" s="77"/>
      <c r="G831" s="77"/>
      <c r="H831" s="77"/>
      <c r="I831" s="77"/>
      <c r="J831" s="78"/>
      <c r="K831" s="75"/>
      <c r="L831" s="75"/>
      <c r="M831" s="75"/>
    </row>
    <row r="832" spans="2:13">
      <c r="B832" s="76"/>
      <c r="C832" s="77"/>
      <c r="D832" s="77"/>
      <c r="E832" s="77"/>
      <c r="F832" s="77"/>
      <c r="G832" s="77"/>
      <c r="H832" s="77"/>
      <c r="I832" s="77"/>
      <c r="J832" s="78"/>
      <c r="K832" s="75"/>
      <c r="L832" s="75"/>
      <c r="M832" s="75"/>
    </row>
    <row r="833" spans="2:13">
      <c r="B833" s="76"/>
      <c r="C833" s="77"/>
      <c r="D833" s="77"/>
      <c r="E833" s="77"/>
      <c r="F833" s="77"/>
      <c r="G833" s="77"/>
      <c r="H833" s="77"/>
      <c r="I833" s="77"/>
      <c r="J833" s="78"/>
      <c r="K833" s="75"/>
      <c r="L833" s="75"/>
      <c r="M833" s="75"/>
    </row>
    <row r="834" spans="2:13">
      <c r="B834" s="76"/>
      <c r="C834" s="77"/>
      <c r="D834" s="77"/>
      <c r="E834" s="77"/>
      <c r="F834" s="77"/>
      <c r="G834" s="77"/>
      <c r="H834" s="77"/>
      <c r="I834" s="77"/>
      <c r="J834" s="78"/>
      <c r="K834" s="75"/>
      <c r="L834" s="75"/>
      <c r="M834" s="75"/>
    </row>
    <row r="835" spans="2:13">
      <c r="B835" s="76"/>
      <c r="C835" s="77"/>
      <c r="D835" s="77"/>
      <c r="E835" s="77"/>
      <c r="F835" s="77"/>
      <c r="G835" s="77"/>
      <c r="H835" s="77"/>
      <c r="I835" s="77"/>
      <c r="J835" s="78"/>
      <c r="K835" s="75"/>
      <c r="L835" s="75"/>
      <c r="M835" s="75"/>
    </row>
    <row r="836" spans="2:13">
      <c r="B836" s="76"/>
      <c r="C836" s="77"/>
      <c r="D836" s="77"/>
      <c r="E836" s="77"/>
      <c r="F836" s="77"/>
      <c r="G836" s="77"/>
      <c r="H836" s="77"/>
      <c r="I836" s="77"/>
      <c r="J836" s="78"/>
      <c r="K836" s="75"/>
      <c r="L836" s="75"/>
      <c r="M836" s="75"/>
    </row>
    <row r="837" spans="2:13">
      <c r="B837" s="76"/>
      <c r="C837" s="77"/>
      <c r="D837" s="77"/>
      <c r="E837" s="77"/>
      <c r="F837" s="77"/>
      <c r="G837" s="77"/>
      <c r="H837" s="77"/>
      <c r="I837" s="77"/>
      <c r="J837" s="78"/>
      <c r="K837" s="75"/>
      <c r="L837" s="75"/>
      <c r="M837" s="75"/>
    </row>
    <row r="838" spans="2:13">
      <c r="B838" s="76"/>
      <c r="C838" s="77"/>
      <c r="D838" s="77"/>
      <c r="E838" s="77"/>
      <c r="F838" s="77"/>
      <c r="G838" s="77"/>
      <c r="H838" s="77"/>
      <c r="I838" s="77"/>
      <c r="J838" s="78"/>
      <c r="K838" s="75"/>
      <c r="L838" s="75"/>
      <c r="M838" s="75"/>
    </row>
    <row r="839" spans="2:13">
      <c r="B839" s="76"/>
      <c r="C839" s="77"/>
      <c r="D839" s="77"/>
      <c r="E839" s="77"/>
      <c r="F839" s="77"/>
      <c r="G839" s="77"/>
      <c r="H839" s="77"/>
      <c r="I839" s="77"/>
      <c r="J839" s="78"/>
      <c r="K839" s="75"/>
      <c r="L839" s="75"/>
      <c r="M839" s="75"/>
    </row>
    <row r="840" spans="2:13">
      <c r="B840" s="76"/>
      <c r="C840" s="77"/>
      <c r="D840" s="77"/>
      <c r="E840" s="77"/>
      <c r="F840" s="77"/>
      <c r="G840" s="77"/>
      <c r="H840" s="77"/>
      <c r="I840" s="77"/>
      <c r="J840" s="78"/>
      <c r="K840" s="75"/>
      <c r="L840" s="75"/>
      <c r="M840" s="75"/>
    </row>
    <row r="841" spans="2:13">
      <c r="B841" s="76"/>
      <c r="C841" s="77"/>
      <c r="D841" s="77"/>
      <c r="E841" s="77"/>
      <c r="F841" s="77"/>
      <c r="G841" s="77"/>
      <c r="H841" s="77"/>
      <c r="I841" s="77"/>
      <c r="J841" s="78"/>
      <c r="K841" s="75"/>
      <c r="L841" s="75"/>
      <c r="M841" s="75"/>
    </row>
    <row r="842" spans="2:13">
      <c r="B842" s="76"/>
      <c r="C842" s="77"/>
      <c r="D842" s="77"/>
      <c r="E842" s="77"/>
      <c r="F842" s="77"/>
      <c r="G842" s="77"/>
      <c r="H842" s="77"/>
      <c r="I842" s="77"/>
      <c r="J842" s="78"/>
      <c r="K842" s="75"/>
      <c r="L842" s="75"/>
      <c r="M842" s="75"/>
    </row>
    <row r="843" spans="2:13">
      <c r="B843" s="76"/>
      <c r="C843" s="77"/>
      <c r="D843" s="77"/>
      <c r="E843" s="77"/>
      <c r="F843" s="77"/>
      <c r="G843" s="77"/>
      <c r="H843" s="77"/>
      <c r="I843" s="77"/>
      <c r="J843" s="78"/>
      <c r="K843" s="75"/>
      <c r="L843" s="75"/>
      <c r="M843" s="75"/>
    </row>
    <row r="844" spans="2:13">
      <c r="B844" s="76"/>
      <c r="C844" s="77"/>
      <c r="D844" s="77"/>
      <c r="E844" s="77"/>
      <c r="F844" s="77"/>
      <c r="G844" s="77"/>
      <c r="H844" s="77"/>
      <c r="I844" s="77"/>
      <c r="J844" s="78"/>
      <c r="K844" s="75"/>
      <c r="L844" s="75"/>
      <c r="M844" s="75"/>
    </row>
    <row r="845" spans="2:13">
      <c r="B845" s="76"/>
      <c r="C845" s="77"/>
      <c r="D845" s="77"/>
      <c r="E845" s="77"/>
      <c r="F845" s="77"/>
      <c r="G845" s="77"/>
      <c r="H845" s="77"/>
      <c r="I845" s="77"/>
      <c r="J845" s="78"/>
      <c r="K845" s="75"/>
      <c r="L845" s="75"/>
      <c r="M845" s="75"/>
    </row>
    <row r="846" spans="2:13">
      <c r="B846" s="76"/>
      <c r="C846" s="77"/>
      <c r="D846" s="77"/>
      <c r="E846" s="77"/>
      <c r="F846" s="77"/>
      <c r="G846" s="77"/>
      <c r="H846" s="77"/>
      <c r="I846" s="77"/>
      <c r="J846" s="78"/>
      <c r="K846" s="75"/>
      <c r="L846" s="75"/>
      <c r="M846" s="75"/>
    </row>
    <row r="847" spans="2:13">
      <c r="B847" s="76"/>
      <c r="C847" s="77"/>
      <c r="D847" s="77"/>
      <c r="E847" s="77"/>
      <c r="F847" s="77"/>
      <c r="G847" s="77"/>
      <c r="H847" s="77"/>
      <c r="I847" s="77"/>
      <c r="J847" s="78"/>
      <c r="K847" s="75"/>
      <c r="L847" s="75"/>
      <c r="M847" s="75"/>
    </row>
    <row r="848" spans="2:13">
      <c r="B848" s="76"/>
      <c r="C848" s="77"/>
      <c r="D848" s="77"/>
      <c r="E848" s="77"/>
      <c r="F848" s="77"/>
      <c r="G848" s="77"/>
      <c r="H848" s="77"/>
      <c r="I848" s="77"/>
      <c r="J848" s="78"/>
      <c r="K848" s="75"/>
      <c r="L848" s="75"/>
      <c r="M848" s="75"/>
    </row>
    <row r="849" spans="2:13">
      <c r="B849" s="76"/>
      <c r="C849" s="77"/>
      <c r="D849" s="77"/>
      <c r="E849" s="77"/>
      <c r="F849" s="77"/>
      <c r="G849" s="77"/>
      <c r="H849" s="77"/>
      <c r="I849" s="77"/>
      <c r="J849" s="78"/>
      <c r="K849" s="75"/>
      <c r="L849" s="75"/>
      <c r="M849" s="75"/>
    </row>
    <row r="850" spans="2:13">
      <c r="B850" s="76"/>
      <c r="C850" s="77"/>
      <c r="D850" s="77"/>
      <c r="E850" s="77"/>
      <c r="F850" s="77"/>
      <c r="G850" s="77"/>
      <c r="H850" s="77"/>
      <c r="I850" s="77"/>
      <c r="J850" s="78"/>
      <c r="K850" s="75"/>
      <c r="L850" s="75"/>
      <c r="M850" s="75"/>
    </row>
    <row r="851" spans="2:13">
      <c r="B851" s="76"/>
      <c r="C851" s="77"/>
      <c r="D851" s="77"/>
      <c r="E851" s="77"/>
      <c r="F851" s="77"/>
      <c r="G851" s="77"/>
      <c r="H851" s="77"/>
      <c r="I851" s="77"/>
      <c r="J851" s="78"/>
      <c r="K851" s="75"/>
      <c r="L851" s="75"/>
      <c r="M851" s="75"/>
    </row>
    <row r="852" spans="2:13">
      <c r="B852" s="76"/>
      <c r="C852" s="77"/>
      <c r="D852" s="77"/>
      <c r="E852" s="77"/>
      <c r="F852" s="77"/>
      <c r="G852" s="77"/>
      <c r="H852" s="77"/>
      <c r="I852" s="77"/>
      <c r="J852" s="78"/>
      <c r="K852" s="75"/>
      <c r="L852" s="75"/>
      <c r="M852" s="75"/>
    </row>
    <row r="853" spans="2:13">
      <c r="B853" s="76"/>
      <c r="C853" s="77"/>
      <c r="D853" s="77"/>
      <c r="E853" s="77"/>
      <c r="F853" s="77"/>
      <c r="G853" s="77"/>
      <c r="H853" s="77"/>
      <c r="I853" s="77"/>
      <c r="J853" s="78"/>
      <c r="K853" s="75"/>
      <c r="L853" s="75"/>
      <c r="M853" s="75"/>
    </row>
    <row r="854" spans="2:13">
      <c r="B854" s="76"/>
      <c r="C854" s="77"/>
      <c r="D854" s="77"/>
      <c r="E854" s="77"/>
      <c r="F854" s="77"/>
      <c r="G854" s="77"/>
      <c r="H854" s="77"/>
      <c r="I854" s="77"/>
      <c r="J854" s="78"/>
      <c r="K854" s="75"/>
      <c r="L854" s="75"/>
      <c r="M854" s="75"/>
    </row>
    <row r="855" spans="2:13">
      <c r="B855" s="76"/>
      <c r="C855" s="77"/>
      <c r="D855" s="77"/>
      <c r="E855" s="77"/>
      <c r="F855" s="77"/>
      <c r="G855" s="77"/>
      <c r="H855" s="77"/>
      <c r="I855" s="77"/>
      <c r="J855" s="78"/>
      <c r="K855" s="75"/>
      <c r="L855" s="75"/>
      <c r="M855" s="75"/>
    </row>
    <row r="856" spans="2:13">
      <c r="B856" s="76"/>
      <c r="C856" s="77"/>
      <c r="D856" s="77"/>
      <c r="E856" s="77"/>
      <c r="F856" s="77"/>
      <c r="G856" s="77"/>
      <c r="H856" s="77"/>
      <c r="I856" s="77"/>
      <c r="J856" s="78"/>
      <c r="K856" s="75"/>
      <c r="L856" s="75"/>
      <c r="M856" s="75"/>
    </row>
    <row r="857" spans="2:13">
      <c r="B857" s="76"/>
      <c r="C857" s="77"/>
      <c r="D857" s="77"/>
      <c r="E857" s="77"/>
      <c r="F857" s="77"/>
      <c r="G857" s="77"/>
      <c r="H857" s="77"/>
      <c r="I857" s="77"/>
      <c r="J857" s="78"/>
      <c r="K857" s="75"/>
      <c r="L857" s="75"/>
      <c r="M857" s="75"/>
    </row>
    <row r="858" spans="2:13">
      <c r="B858" s="76"/>
      <c r="C858" s="77"/>
      <c r="D858" s="77"/>
      <c r="E858" s="77"/>
      <c r="F858" s="77"/>
      <c r="G858" s="77"/>
      <c r="H858" s="77"/>
      <c r="I858" s="77"/>
      <c r="J858" s="78"/>
      <c r="K858" s="75"/>
      <c r="L858" s="75"/>
      <c r="M858" s="75"/>
    </row>
    <row r="859" spans="2:13">
      <c r="B859" s="76"/>
      <c r="C859" s="77"/>
      <c r="D859" s="77"/>
      <c r="E859" s="77"/>
      <c r="F859" s="77"/>
      <c r="G859" s="77"/>
      <c r="H859" s="77"/>
      <c r="I859" s="77"/>
      <c r="J859" s="78"/>
      <c r="K859" s="75"/>
      <c r="L859" s="75"/>
      <c r="M859" s="75"/>
    </row>
    <row r="860" spans="2:13">
      <c r="B860" s="76"/>
      <c r="C860" s="77"/>
      <c r="D860" s="77"/>
      <c r="E860" s="77"/>
      <c r="F860" s="77"/>
      <c r="G860" s="77"/>
      <c r="H860" s="77"/>
      <c r="I860" s="77"/>
      <c r="J860" s="78"/>
      <c r="K860" s="75"/>
      <c r="L860" s="75"/>
      <c r="M860" s="75"/>
    </row>
    <row r="861" spans="2:13">
      <c r="B861" s="76"/>
      <c r="C861" s="77"/>
      <c r="D861" s="77"/>
      <c r="E861" s="77"/>
      <c r="F861" s="77"/>
      <c r="G861" s="77"/>
      <c r="H861" s="77"/>
      <c r="I861" s="77"/>
      <c r="J861" s="78"/>
      <c r="K861" s="75"/>
      <c r="L861" s="75"/>
      <c r="M861" s="75"/>
    </row>
    <row r="862" spans="2:13">
      <c r="B862" s="76"/>
      <c r="C862" s="77"/>
      <c r="D862" s="77"/>
      <c r="E862" s="77"/>
      <c r="F862" s="77"/>
      <c r="G862" s="77"/>
      <c r="H862" s="77"/>
      <c r="I862" s="77"/>
      <c r="J862" s="78"/>
      <c r="K862" s="75"/>
      <c r="L862" s="75"/>
      <c r="M862" s="75"/>
    </row>
    <row r="863" spans="2:13">
      <c r="B863" s="76"/>
      <c r="C863" s="77"/>
      <c r="D863" s="77"/>
      <c r="E863" s="77"/>
      <c r="F863" s="77"/>
      <c r="G863" s="77"/>
      <c r="H863" s="77"/>
      <c r="I863" s="77"/>
      <c r="J863" s="78"/>
      <c r="K863" s="75"/>
      <c r="L863" s="75"/>
      <c r="M863" s="75"/>
    </row>
    <row r="864" spans="2:13">
      <c r="B864" s="76"/>
      <c r="C864" s="77"/>
      <c r="D864" s="77"/>
      <c r="E864" s="77"/>
      <c r="F864" s="77"/>
      <c r="G864" s="77"/>
      <c r="H864" s="77"/>
      <c r="I864" s="77"/>
      <c r="J864" s="78"/>
      <c r="K864" s="75"/>
      <c r="L864" s="75"/>
      <c r="M864" s="75"/>
    </row>
    <row r="865" spans="2:13">
      <c r="B865" s="76"/>
      <c r="C865" s="77"/>
      <c r="D865" s="77"/>
      <c r="E865" s="77"/>
      <c r="F865" s="77"/>
      <c r="G865" s="77"/>
      <c r="H865" s="77"/>
      <c r="I865" s="77"/>
      <c r="J865" s="78"/>
      <c r="K865" s="75"/>
      <c r="L865" s="75"/>
      <c r="M865" s="75"/>
    </row>
    <row r="866" spans="2:13">
      <c r="B866" s="76"/>
      <c r="C866" s="77"/>
      <c r="D866" s="77"/>
      <c r="E866" s="77"/>
      <c r="F866" s="77"/>
      <c r="G866" s="77"/>
      <c r="H866" s="77"/>
      <c r="I866" s="77"/>
      <c r="J866" s="78"/>
      <c r="K866" s="75"/>
      <c r="L866" s="75"/>
      <c r="M866" s="75"/>
    </row>
    <row r="867" spans="2:13">
      <c r="B867" s="76"/>
      <c r="C867" s="77"/>
      <c r="D867" s="77"/>
      <c r="E867" s="77"/>
      <c r="F867" s="77"/>
      <c r="G867" s="77"/>
      <c r="H867" s="77"/>
      <c r="I867" s="77"/>
      <c r="J867" s="78"/>
      <c r="K867" s="75"/>
      <c r="L867" s="75"/>
      <c r="M867" s="75"/>
    </row>
    <row r="868" spans="2:13">
      <c r="B868" s="76"/>
      <c r="C868" s="77"/>
      <c r="D868" s="77"/>
      <c r="E868" s="77"/>
      <c r="F868" s="77"/>
      <c r="G868" s="77"/>
      <c r="H868" s="77"/>
      <c r="I868" s="77"/>
      <c r="J868" s="78"/>
      <c r="K868" s="75"/>
      <c r="L868" s="75"/>
      <c r="M868" s="75"/>
    </row>
    <row r="869" spans="2:13">
      <c r="B869" s="76"/>
      <c r="C869" s="77"/>
      <c r="D869" s="77"/>
      <c r="E869" s="77"/>
      <c r="F869" s="77"/>
      <c r="G869" s="77"/>
      <c r="H869" s="77"/>
      <c r="I869" s="77"/>
      <c r="J869" s="78"/>
      <c r="K869" s="75"/>
      <c r="L869" s="75"/>
      <c r="M869" s="75"/>
    </row>
    <row r="870" spans="2:13">
      <c r="B870" s="76"/>
      <c r="C870" s="77"/>
      <c r="D870" s="77"/>
      <c r="E870" s="77"/>
      <c r="F870" s="77"/>
      <c r="G870" s="77"/>
      <c r="H870" s="77"/>
      <c r="I870" s="77"/>
      <c r="J870" s="78"/>
      <c r="K870" s="75"/>
      <c r="L870" s="75"/>
      <c r="M870" s="75"/>
    </row>
    <row r="871" spans="2:13">
      <c r="B871" s="76"/>
      <c r="C871" s="77"/>
      <c r="D871" s="77"/>
      <c r="E871" s="77"/>
      <c r="F871" s="77"/>
      <c r="G871" s="77"/>
      <c r="H871" s="77"/>
      <c r="I871" s="77"/>
      <c r="J871" s="78"/>
      <c r="K871" s="75"/>
      <c r="L871" s="75"/>
      <c r="M871" s="75"/>
    </row>
    <row r="872" spans="2:13">
      <c r="B872" s="76"/>
      <c r="C872" s="77"/>
      <c r="D872" s="77"/>
      <c r="E872" s="77"/>
      <c r="F872" s="77"/>
      <c r="G872" s="77"/>
      <c r="H872" s="77"/>
      <c r="I872" s="77"/>
      <c r="J872" s="78"/>
      <c r="K872" s="75"/>
      <c r="L872" s="75"/>
      <c r="M872" s="75"/>
    </row>
    <row r="873" spans="2:13">
      <c r="B873" s="76"/>
      <c r="C873" s="77"/>
      <c r="D873" s="77"/>
      <c r="E873" s="77"/>
      <c r="F873" s="77"/>
      <c r="G873" s="77"/>
      <c r="H873" s="77"/>
      <c r="I873" s="77"/>
      <c r="J873" s="78"/>
      <c r="K873" s="75"/>
      <c r="L873" s="75"/>
      <c r="M873" s="75"/>
    </row>
    <row r="874" spans="2:13">
      <c r="B874" s="76"/>
      <c r="C874" s="77"/>
      <c r="D874" s="77"/>
      <c r="E874" s="77"/>
      <c r="F874" s="77"/>
      <c r="G874" s="77"/>
      <c r="H874" s="77"/>
      <c r="I874" s="77"/>
      <c r="J874" s="78"/>
      <c r="K874" s="75"/>
      <c r="L874" s="75"/>
      <c r="M874" s="75"/>
    </row>
    <row r="875" spans="2:13">
      <c r="B875" s="76"/>
      <c r="C875" s="77"/>
      <c r="D875" s="77"/>
      <c r="E875" s="77"/>
      <c r="F875" s="77"/>
      <c r="G875" s="77"/>
      <c r="H875" s="77"/>
      <c r="I875" s="77"/>
      <c r="J875" s="78"/>
      <c r="K875" s="75"/>
      <c r="L875" s="75"/>
      <c r="M875" s="75"/>
    </row>
    <row r="876" spans="2:13">
      <c r="B876" s="76"/>
      <c r="C876" s="77"/>
      <c r="D876" s="77"/>
      <c r="E876" s="77"/>
      <c r="F876" s="77"/>
      <c r="G876" s="77"/>
      <c r="H876" s="77"/>
      <c r="I876" s="77"/>
      <c r="J876" s="78"/>
      <c r="K876" s="75"/>
      <c r="L876" s="75"/>
      <c r="M876" s="75"/>
    </row>
    <row r="877" spans="2:13">
      <c r="B877" s="76"/>
      <c r="C877" s="77"/>
      <c r="D877" s="77"/>
      <c r="E877" s="77"/>
      <c r="F877" s="77"/>
      <c r="G877" s="77"/>
      <c r="H877" s="77"/>
      <c r="I877" s="77"/>
      <c r="J877" s="78"/>
      <c r="K877" s="75"/>
      <c r="L877" s="75"/>
      <c r="M877" s="75"/>
    </row>
    <row r="878" spans="2:13">
      <c r="B878" s="76"/>
      <c r="C878" s="77"/>
      <c r="D878" s="77"/>
      <c r="E878" s="77"/>
      <c r="F878" s="77"/>
      <c r="G878" s="77"/>
      <c r="H878" s="77"/>
      <c r="I878" s="77"/>
      <c r="J878" s="78"/>
      <c r="K878" s="75"/>
      <c r="L878" s="75"/>
      <c r="M878" s="75"/>
    </row>
    <row r="879" spans="2:13">
      <c r="B879" s="76"/>
      <c r="C879" s="77"/>
      <c r="D879" s="77"/>
      <c r="E879" s="77"/>
      <c r="F879" s="77"/>
      <c r="G879" s="77"/>
      <c r="H879" s="77"/>
      <c r="I879" s="77"/>
      <c r="J879" s="78"/>
      <c r="K879" s="75"/>
      <c r="L879" s="75"/>
      <c r="M879" s="75"/>
    </row>
    <row r="880" spans="2:13">
      <c r="B880" s="76"/>
      <c r="C880" s="77"/>
      <c r="D880" s="77"/>
      <c r="E880" s="77"/>
      <c r="F880" s="77"/>
      <c r="G880" s="77"/>
      <c r="H880" s="77"/>
      <c r="I880" s="77"/>
      <c r="J880" s="78"/>
      <c r="K880" s="75"/>
      <c r="L880" s="75"/>
      <c r="M880" s="75"/>
    </row>
    <row r="881" spans="2:13">
      <c r="B881" s="76"/>
      <c r="C881" s="77"/>
      <c r="D881" s="77"/>
      <c r="E881" s="77"/>
      <c r="F881" s="77"/>
      <c r="G881" s="77"/>
      <c r="H881" s="77"/>
      <c r="I881" s="77"/>
      <c r="J881" s="78"/>
      <c r="K881" s="75"/>
      <c r="L881" s="75"/>
      <c r="M881" s="75"/>
    </row>
    <row r="882" spans="2:13">
      <c r="B882" s="76"/>
      <c r="C882" s="77"/>
      <c r="D882" s="77"/>
      <c r="E882" s="77"/>
      <c r="F882" s="77"/>
      <c r="G882" s="77"/>
      <c r="H882" s="77"/>
      <c r="I882" s="77"/>
      <c r="J882" s="78"/>
      <c r="K882" s="75"/>
      <c r="L882" s="75"/>
      <c r="M882" s="75"/>
    </row>
    <row r="883" spans="2:13">
      <c r="B883" s="76"/>
      <c r="C883" s="77"/>
      <c r="D883" s="77"/>
      <c r="E883" s="77"/>
      <c r="F883" s="77"/>
      <c r="G883" s="77"/>
      <c r="H883" s="77"/>
      <c r="I883" s="77"/>
      <c r="J883" s="78"/>
      <c r="K883" s="75"/>
      <c r="L883" s="75"/>
      <c r="M883" s="75"/>
    </row>
    <row r="884" spans="2:13">
      <c r="B884" s="76"/>
      <c r="C884" s="77"/>
      <c r="D884" s="77"/>
      <c r="E884" s="77"/>
      <c r="F884" s="77"/>
      <c r="G884" s="77"/>
      <c r="H884" s="77"/>
      <c r="I884" s="77"/>
      <c r="J884" s="78"/>
      <c r="K884" s="75"/>
      <c r="L884" s="75"/>
      <c r="M884" s="75"/>
    </row>
    <row r="885" spans="2:13">
      <c r="B885" s="76"/>
      <c r="C885" s="77"/>
      <c r="D885" s="77"/>
      <c r="E885" s="77"/>
      <c r="F885" s="77"/>
      <c r="G885" s="77"/>
      <c r="H885" s="77"/>
      <c r="I885" s="77"/>
      <c r="J885" s="78"/>
      <c r="K885" s="75"/>
      <c r="L885" s="75"/>
      <c r="M885" s="75"/>
    </row>
    <row r="886" spans="2:13">
      <c r="B886" s="76"/>
      <c r="C886" s="77"/>
      <c r="D886" s="77"/>
      <c r="E886" s="77"/>
      <c r="F886" s="77"/>
      <c r="G886" s="77"/>
      <c r="H886" s="77"/>
      <c r="I886" s="77"/>
      <c r="J886" s="78"/>
      <c r="K886" s="75"/>
      <c r="L886" s="75"/>
      <c r="M886" s="75"/>
    </row>
    <row r="887" spans="2:13">
      <c r="B887" s="76"/>
      <c r="C887" s="77"/>
      <c r="D887" s="77"/>
      <c r="E887" s="77"/>
      <c r="F887" s="77"/>
      <c r="G887" s="77"/>
      <c r="H887" s="77"/>
      <c r="I887" s="77"/>
      <c r="J887" s="78"/>
      <c r="K887" s="75"/>
      <c r="L887" s="75"/>
      <c r="M887" s="75"/>
    </row>
    <row r="888" spans="2:13">
      <c r="B888" s="76"/>
      <c r="C888" s="77"/>
      <c r="D888" s="77"/>
      <c r="E888" s="77"/>
      <c r="F888" s="77"/>
      <c r="G888" s="77"/>
      <c r="H888" s="77"/>
      <c r="I888" s="77"/>
      <c r="J888" s="78"/>
      <c r="K888" s="75"/>
      <c r="L888" s="75"/>
      <c r="M888" s="75"/>
    </row>
    <row r="889" spans="2:13">
      <c r="B889" s="76"/>
      <c r="C889" s="77"/>
      <c r="D889" s="77"/>
      <c r="E889" s="77"/>
      <c r="F889" s="77"/>
      <c r="G889" s="77"/>
      <c r="H889" s="77"/>
      <c r="I889" s="77"/>
      <c r="J889" s="78"/>
      <c r="K889" s="75"/>
      <c r="L889" s="75"/>
      <c r="M889" s="75"/>
    </row>
    <row r="890" spans="2:13">
      <c r="B890" s="76"/>
      <c r="C890" s="77"/>
      <c r="D890" s="77"/>
      <c r="E890" s="77"/>
      <c r="F890" s="77"/>
      <c r="G890" s="77"/>
      <c r="H890" s="77"/>
      <c r="I890" s="77"/>
      <c r="J890" s="78"/>
      <c r="K890" s="75"/>
      <c r="L890" s="75"/>
      <c r="M890" s="75"/>
    </row>
    <row r="891" spans="2:13">
      <c r="B891" s="76"/>
      <c r="C891" s="77"/>
      <c r="D891" s="77"/>
      <c r="E891" s="77"/>
      <c r="F891" s="77"/>
      <c r="G891" s="77"/>
      <c r="H891" s="77"/>
      <c r="I891" s="77"/>
      <c r="J891" s="78"/>
      <c r="K891" s="75"/>
      <c r="L891" s="75"/>
      <c r="M891" s="75"/>
    </row>
    <row r="892" spans="2:13">
      <c r="B892" s="76"/>
      <c r="C892" s="77"/>
      <c r="D892" s="77"/>
      <c r="E892" s="77"/>
      <c r="F892" s="77"/>
      <c r="G892" s="77"/>
      <c r="H892" s="77"/>
      <c r="I892" s="77"/>
      <c r="J892" s="78"/>
      <c r="K892" s="75"/>
      <c r="L892" s="75"/>
      <c r="M892" s="75"/>
    </row>
    <row r="893" spans="2:13">
      <c r="B893" s="76"/>
      <c r="C893" s="77"/>
      <c r="D893" s="77"/>
      <c r="E893" s="77"/>
      <c r="F893" s="77"/>
      <c r="G893" s="77"/>
      <c r="H893" s="77"/>
      <c r="I893" s="77"/>
      <c r="J893" s="78"/>
      <c r="K893" s="75"/>
      <c r="L893" s="75"/>
      <c r="M893" s="75"/>
    </row>
    <row r="894" spans="2:13">
      <c r="B894" s="76"/>
      <c r="C894" s="77"/>
      <c r="D894" s="77"/>
      <c r="E894" s="77"/>
      <c r="F894" s="77"/>
      <c r="G894" s="77"/>
      <c r="H894" s="77"/>
      <c r="I894" s="77"/>
      <c r="J894" s="78"/>
      <c r="K894" s="75"/>
      <c r="L894" s="75"/>
      <c r="M894" s="75"/>
    </row>
    <row r="895" spans="2:13">
      <c r="B895" s="76"/>
      <c r="C895" s="77"/>
      <c r="D895" s="77"/>
      <c r="E895" s="77"/>
      <c r="F895" s="77"/>
      <c r="G895" s="77"/>
      <c r="H895" s="77"/>
      <c r="I895" s="77"/>
      <c r="J895" s="78"/>
      <c r="K895" s="75"/>
      <c r="L895" s="75"/>
      <c r="M895" s="75"/>
    </row>
    <row r="896" spans="2:13">
      <c r="B896" s="76"/>
      <c r="C896" s="77"/>
      <c r="D896" s="77"/>
      <c r="E896" s="77"/>
      <c r="F896" s="77"/>
      <c r="G896" s="77"/>
      <c r="H896" s="77"/>
      <c r="I896" s="77"/>
      <c r="J896" s="78"/>
      <c r="K896" s="75"/>
      <c r="L896" s="75"/>
      <c r="M896" s="75"/>
    </row>
    <row r="897" spans="2:13">
      <c r="B897" s="76"/>
      <c r="C897" s="77"/>
      <c r="D897" s="77"/>
      <c r="E897" s="77"/>
      <c r="F897" s="77"/>
      <c r="G897" s="77"/>
      <c r="H897" s="77"/>
      <c r="I897" s="77"/>
      <c r="J897" s="78"/>
      <c r="K897" s="75"/>
      <c r="L897" s="75"/>
      <c r="M897" s="75"/>
    </row>
    <row r="898" spans="2:13">
      <c r="B898" s="76"/>
      <c r="C898" s="77"/>
      <c r="D898" s="77"/>
      <c r="E898" s="77"/>
      <c r="F898" s="77"/>
      <c r="G898" s="77"/>
      <c r="H898" s="77"/>
      <c r="I898" s="77"/>
      <c r="J898" s="78"/>
      <c r="K898" s="75"/>
      <c r="L898" s="75"/>
      <c r="M898" s="75"/>
    </row>
    <row r="899" spans="2:13">
      <c r="B899" s="76"/>
      <c r="C899" s="77"/>
      <c r="D899" s="77"/>
      <c r="E899" s="77"/>
      <c r="F899" s="77"/>
      <c r="G899" s="77"/>
      <c r="H899" s="77"/>
      <c r="I899" s="77"/>
      <c r="J899" s="78"/>
      <c r="K899" s="75"/>
      <c r="L899" s="75"/>
      <c r="M899" s="75"/>
    </row>
    <row r="900" spans="2:13">
      <c r="B900" s="76"/>
      <c r="C900" s="77"/>
      <c r="D900" s="77"/>
      <c r="E900" s="77"/>
      <c r="F900" s="77"/>
      <c r="G900" s="77"/>
      <c r="H900" s="77"/>
      <c r="I900" s="77"/>
      <c r="J900" s="78"/>
      <c r="K900" s="75"/>
      <c r="L900" s="75"/>
      <c r="M900" s="75"/>
    </row>
    <row r="901" spans="2:13">
      <c r="B901" s="76"/>
      <c r="C901" s="77"/>
      <c r="D901" s="77"/>
      <c r="E901" s="77"/>
      <c r="F901" s="77"/>
      <c r="G901" s="77"/>
      <c r="H901" s="77"/>
      <c r="I901" s="77"/>
      <c r="J901" s="78"/>
      <c r="K901" s="75"/>
      <c r="L901" s="75"/>
      <c r="M901" s="75"/>
    </row>
    <row r="902" spans="2:13">
      <c r="B902" s="76"/>
      <c r="C902" s="77"/>
      <c r="D902" s="77"/>
      <c r="E902" s="77"/>
      <c r="F902" s="77"/>
      <c r="G902" s="77"/>
      <c r="H902" s="77"/>
      <c r="I902" s="77"/>
      <c r="J902" s="78"/>
      <c r="K902" s="75"/>
      <c r="L902" s="75"/>
      <c r="M902" s="75"/>
    </row>
    <row r="903" spans="2:13">
      <c r="B903" s="76"/>
      <c r="C903" s="77"/>
      <c r="D903" s="77"/>
      <c r="E903" s="77"/>
      <c r="F903" s="77"/>
      <c r="G903" s="77"/>
      <c r="H903" s="77"/>
      <c r="I903" s="77"/>
      <c r="J903" s="78"/>
      <c r="K903" s="75"/>
      <c r="L903" s="75"/>
      <c r="M903" s="75"/>
    </row>
    <row r="904" spans="2:13">
      <c r="B904" s="76"/>
      <c r="C904" s="77"/>
      <c r="D904" s="77"/>
      <c r="E904" s="77"/>
      <c r="F904" s="77"/>
      <c r="G904" s="77"/>
      <c r="H904" s="77"/>
      <c r="I904" s="77"/>
      <c r="J904" s="78"/>
      <c r="K904" s="75"/>
      <c r="L904" s="75"/>
      <c r="M904" s="75"/>
    </row>
    <row r="905" spans="2:13">
      <c r="B905" s="76"/>
      <c r="C905" s="77"/>
      <c r="D905" s="77"/>
      <c r="E905" s="77"/>
      <c r="F905" s="77"/>
      <c r="G905" s="77"/>
      <c r="H905" s="77"/>
      <c r="I905" s="77"/>
      <c r="J905" s="78"/>
      <c r="K905" s="75"/>
      <c r="L905" s="75"/>
      <c r="M905" s="75"/>
    </row>
    <row r="906" spans="2:13">
      <c r="B906" s="76"/>
      <c r="C906" s="77"/>
      <c r="D906" s="77"/>
      <c r="E906" s="77"/>
      <c r="F906" s="77"/>
      <c r="G906" s="77"/>
      <c r="H906" s="77"/>
      <c r="I906" s="77"/>
      <c r="J906" s="78"/>
      <c r="K906" s="75"/>
      <c r="L906" s="75"/>
      <c r="M906" s="75"/>
    </row>
    <row r="907" spans="2:13">
      <c r="B907" s="76"/>
      <c r="C907" s="77"/>
      <c r="D907" s="77"/>
      <c r="E907" s="77"/>
      <c r="F907" s="77"/>
      <c r="G907" s="77"/>
      <c r="H907" s="77"/>
      <c r="I907" s="77"/>
      <c r="J907" s="78"/>
      <c r="K907" s="75"/>
      <c r="L907" s="75"/>
      <c r="M907" s="75"/>
    </row>
    <row r="908" spans="2:13">
      <c r="B908" s="76"/>
      <c r="C908" s="77"/>
      <c r="D908" s="77"/>
      <c r="E908" s="77"/>
      <c r="F908" s="77"/>
      <c r="G908" s="77"/>
      <c r="H908" s="77"/>
      <c r="I908" s="77"/>
      <c r="J908" s="78"/>
      <c r="K908" s="75"/>
      <c r="L908" s="75"/>
      <c r="M908" s="75"/>
    </row>
    <row r="909" spans="2:13">
      <c r="B909" s="76"/>
      <c r="C909" s="77"/>
      <c r="D909" s="77"/>
      <c r="E909" s="77"/>
      <c r="F909" s="77"/>
      <c r="G909" s="77"/>
      <c r="H909" s="77"/>
      <c r="I909" s="77"/>
      <c r="J909" s="78"/>
      <c r="K909" s="75"/>
      <c r="L909" s="75"/>
      <c r="M909" s="75"/>
    </row>
    <row r="910" spans="2:13">
      <c r="B910" s="76"/>
      <c r="C910" s="77"/>
      <c r="D910" s="77"/>
      <c r="E910" s="77"/>
      <c r="F910" s="77"/>
      <c r="G910" s="77"/>
      <c r="H910" s="77"/>
      <c r="I910" s="77"/>
      <c r="J910" s="78"/>
      <c r="K910" s="75"/>
      <c r="L910" s="75"/>
      <c r="M910" s="75"/>
    </row>
    <row r="911" spans="2:13">
      <c r="B911" s="76"/>
      <c r="C911" s="77"/>
      <c r="D911" s="77"/>
      <c r="E911" s="77"/>
      <c r="F911" s="77"/>
      <c r="G911" s="77"/>
      <c r="H911" s="77"/>
      <c r="I911" s="77"/>
      <c r="J911" s="78"/>
      <c r="K911" s="75"/>
      <c r="L911" s="75"/>
      <c r="M911" s="75"/>
    </row>
    <row r="912" spans="2:13">
      <c r="B912" s="76"/>
      <c r="C912" s="77"/>
      <c r="D912" s="77"/>
      <c r="E912" s="77"/>
      <c r="F912" s="77"/>
      <c r="G912" s="77"/>
      <c r="H912" s="77"/>
      <c r="I912" s="77"/>
      <c r="J912" s="78"/>
      <c r="K912" s="75"/>
      <c r="L912" s="75"/>
      <c r="M912" s="75"/>
    </row>
    <row r="913" spans="2:13">
      <c r="B913" s="76"/>
      <c r="C913" s="77"/>
      <c r="D913" s="77"/>
      <c r="E913" s="77"/>
      <c r="F913" s="77"/>
      <c r="G913" s="77"/>
      <c r="H913" s="77"/>
      <c r="I913" s="77"/>
      <c r="J913" s="78"/>
      <c r="K913" s="75"/>
      <c r="L913" s="75"/>
      <c r="M913" s="75"/>
    </row>
    <row r="914" spans="2:13">
      <c r="B914" s="76"/>
      <c r="C914" s="77"/>
      <c r="D914" s="77"/>
      <c r="E914" s="77"/>
      <c r="F914" s="77"/>
      <c r="G914" s="77"/>
      <c r="H914" s="77"/>
      <c r="I914" s="77"/>
      <c r="J914" s="78"/>
      <c r="K914" s="75"/>
      <c r="L914" s="75"/>
      <c r="M914" s="75"/>
    </row>
    <row r="915" spans="2:13">
      <c r="B915" s="76"/>
      <c r="C915" s="77"/>
      <c r="D915" s="77"/>
      <c r="E915" s="77"/>
      <c r="F915" s="77"/>
      <c r="G915" s="77"/>
      <c r="H915" s="77"/>
      <c r="I915" s="77"/>
      <c r="J915" s="78"/>
      <c r="K915" s="75"/>
      <c r="L915" s="75"/>
      <c r="M915" s="75"/>
    </row>
    <row r="916" spans="2:13">
      <c r="B916" s="76"/>
      <c r="C916" s="77"/>
      <c r="D916" s="77"/>
      <c r="E916" s="77"/>
      <c r="F916" s="77"/>
      <c r="G916" s="77"/>
      <c r="H916" s="77"/>
      <c r="I916" s="77"/>
      <c r="J916" s="78"/>
      <c r="K916" s="75"/>
      <c r="L916" s="75"/>
      <c r="M916" s="75"/>
    </row>
    <row r="917" spans="2:13">
      <c r="B917" s="76"/>
      <c r="C917" s="77"/>
      <c r="D917" s="77"/>
      <c r="E917" s="77"/>
      <c r="F917" s="77"/>
      <c r="G917" s="77"/>
      <c r="H917" s="77"/>
      <c r="I917" s="77"/>
      <c r="J917" s="78"/>
      <c r="K917" s="75"/>
      <c r="L917" s="75"/>
      <c r="M917" s="75"/>
    </row>
    <row r="918" spans="2:13">
      <c r="B918" s="76"/>
      <c r="C918" s="77"/>
      <c r="D918" s="77"/>
      <c r="E918" s="77"/>
      <c r="F918" s="77"/>
      <c r="G918" s="77"/>
      <c r="H918" s="77"/>
      <c r="I918" s="77"/>
      <c r="J918" s="78"/>
      <c r="K918" s="75"/>
      <c r="L918" s="75"/>
      <c r="M918" s="75"/>
    </row>
    <row r="919" spans="2:13">
      <c r="B919" s="76"/>
      <c r="C919" s="77"/>
      <c r="D919" s="77"/>
      <c r="E919" s="77"/>
      <c r="F919" s="77"/>
      <c r="G919" s="77"/>
      <c r="H919" s="77"/>
      <c r="I919" s="77"/>
      <c r="J919" s="78"/>
      <c r="K919" s="75"/>
      <c r="L919" s="75"/>
      <c r="M919" s="75"/>
    </row>
    <row r="920" spans="2:13">
      <c r="B920" s="76"/>
      <c r="C920" s="77"/>
      <c r="D920" s="77"/>
      <c r="E920" s="77"/>
      <c r="F920" s="77"/>
      <c r="G920" s="77"/>
      <c r="H920" s="77"/>
      <c r="I920" s="77"/>
      <c r="J920" s="78"/>
      <c r="K920" s="75"/>
      <c r="L920" s="75"/>
      <c r="M920" s="75"/>
    </row>
    <row r="921" spans="2:13">
      <c r="B921" s="76"/>
      <c r="C921" s="77"/>
      <c r="D921" s="77"/>
      <c r="E921" s="77"/>
      <c r="F921" s="77"/>
      <c r="G921" s="77"/>
      <c r="H921" s="77"/>
      <c r="I921" s="77"/>
      <c r="J921" s="78"/>
      <c r="K921" s="75"/>
      <c r="L921" s="75"/>
      <c r="M921" s="75"/>
    </row>
    <row r="922" spans="2:13">
      <c r="B922" s="76"/>
      <c r="C922" s="77"/>
      <c r="D922" s="77"/>
      <c r="E922" s="77"/>
      <c r="F922" s="77"/>
      <c r="G922" s="77"/>
      <c r="H922" s="77"/>
      <c r="I922" s="77"/>
      <c r="J922" s="78"/>
      <c r="K922" s="75"/>
      <c r="L922" s="75"/>
      <c r="M922" s="75"/>
    </row>
    <row r="923" spans="2:13">
      <c r="B923" s="76"/>
      <c r="C923" s="77"/>
      <c r="D923" s="77"/>
      <c r="E923" s="77"/>
      <c r="F923" s="77"/>
      <c r="G923" s="77"/>
      <c r="H923" s="77"/>
      <c r="I923" s="77"/>
      <c r="J923" s="78"/>
      <c r="K923" s="75"/>
      <c r="L923" s="75"/>
      <c r="M923" s="75"/>
    </row>
    <row r="924" spans="2:13">
      <c r="B924" s="76"/>
      <c r="C924" s="77"/>
      <c r="D924" s="77"/>
      <c r="E924" s="77"/>
      <c r="F924" s="77"/>
      <c r="G924" s="77"/>
      <c r="H924" s="77"/>
      <c r="I924" s="77"/>
      <c r="J924" s="78"/>
      <c r="K924" s="75"/>
      <c r="L924" s="75"/>
      <c r="M924" s="75"/>
    </row>
    <row r="925" spans="2:13">
      <c r="B925" s="76"/>
      <c r="C925" s="77"/>
      <c r="D925" s="77"/>
      <c r="E925" s="77"/>
      <c r="F925" s="77"/>
      <c r="G925" s="77"/>
      <c r="H925" s="77"/>
      <c r="I925" s="77"/>
      <c r="J925" s="78"/>
      <c r="K925" s="75"/>
      <c r="L925" s="75"/>
      <c r="M925" s="75"/>
    </row>
    <row r="926" spans="2:13">
      <c r="B926" s="76"/>
      <c r="C926" s="77"/>
      <c r="D926" s="77"/>
      <c r="E926" s="77"/>
      <c r="F926" s="77"/>
      <c r="G926" s="77"/>
      <c r="H926" s="77"/>
      <c r="I926" s="77"/>
      <c r="J926" s="78"/>
      <c r="K926" s="75"/>
      <c r="L926" s="75"/>
      <c r="M926" s="75"/>
    </row>
    <row r="927" spans="2:13">
      <c r="B927" s="76"/>
      <c r="C927" s="77"/>
      <c r="D927" s="77"/>
      <c r="E927" s="77"/>
      <c r="F927" s="77"/>
      <c r="G927" s="77"/>
      <c r="H927" s="77"/>
      <c r="I927" s="77"/>
      <c r="J927" s="78"/>
      <c r="K927" s="75"/>
      <c r="L927" s="75"/>
      <c r="M927" s="75"/>
    </row>
    <row r="928" spans="2:13">
      <c r="B928" s="76"/>
      <c r="C928" s="77"/>
      <c r="D928" s="77"/>
      <c r="E928" s="77"/>
      <c r="F928" s="77"/>
      <c r="G928" s="77"/>
      <c r="H928" s="77"/>
      <c r="I928" s="77"/>
      <c r="J928" s="78"/>
      <c r="K928" s="75"/>
      <c r="L928" s="75"/>
      <c r="M928" s="75"/>
    </row>
    <row r="929" spans="2:13">
      <c r="B929" s="76"/>
      <c r="C929" s="77"/>
      <c r="D929" s="77"/>
      <c r="E929" s="77"/>
      <c r="F929" s="77"/>
      <c r="G929" s="77"/>
      <c r="H929" s="77"/>
      <c r="I929" s="77"/>
      <c r="J929" s="78"/>
      <c r="K929" s="75"/>
      <c r="L929" s="75"/>
      <c r="M929" s="75"/>
    </row>
    <row r="930" spans="2:13">
      <c r="B930" s="76"/>
      <c r="C930" s="77"/>
      <c r="D930" s="77"/>
      <c r="E930" s="77"/>
      <c r="F930" s="77"/>
      <c r="G930" s="77"/>
      <c r="H930" s="77"/>
      <c r="I930" s="77"/>
      <c r="J930" s="78"/>
      <c r="K930" s="75"/>
      <c r="L930" s="75"/>
      <c r="M930" s="75"/>
    </row>
    <row r="931" spans="2:13">
      <c r="B931" s="76"/>
      <c r="C931" s="77"/>
      <c r="D931" s="77"/>
      <c r="E931" s="77"/>
      <c r="F931" s="77"/>
      <c r="G931" s="77"/>
      <c r="H931" s="77"/>
      <c r="I931" s="77"/>
      <c r="J931" s="78"/>
      <c r="K931" s="75"/>
      <c r="L931" s="75"/>
      <c r="M931" s="75"/>
    </row>
    <row r="932" spans="2:13">
      <c r="B932" s="76"/>
      <c r="C932" s="77"/>
      <c r="D932" s="77"/>
      <c r="E932" s="77"/>
      <c r="F932" s="77"/>
      <c r="G932" s="77"/>
      <c r="H932" s="77"/>
      <c r="I932" s="77"/>
      <c r="J932" s="78"/>
      <c r="K932" s="75"/>
      <c r="L932" s="75"/>
      <c r="M932" s="75"/>
    </row>
    <row r="933" spans="2:13">
      <c r="B933" s="76"/>
      <c r="C933" s="77"/>
      <c r="D933" s="77"/>
      <c r="E933" s="77"/>
      <c r="F933" s="77"/>
      <c r="G933" s="77"/>
      <c r="H933" s="77"/>
      <c r="I933" s="77"/>
      <c r="J933" s="78"/>
      <c r="K933" s="75"/>
      <c r="L933" s="75"/>
      <c r="M933" s="75"/>
    </row>
    <row r="934" spans="2:13">
      <c r="B934" s="76"/>
      <c r="C934" s="77"/>
      <c r="D934" s="77"/>
      <c r="E934" s="77"/>
      <c r="F934" s="77"/>
      <c r="G934" s="77"/>
      <c r="H934" s="77"/>
      <c r="I934" s="77"/>
      <c r="J934" s="78"/>
      <c r="K934" s="75"/>
      <c r="L934" s="75"/>
      <c r="M934" s="75"/>
    </row>
    <row r="935" spans="2:13">
      <c r="B935" s="76"/>
      <c r="C935" s="77"/>
      <c r="D935" s="77"/>
      <c r="E935" s="77"/>
      <c r="F935" s="77"/>
      <c r="G935" s="77"/>
      <c r="H935" s="77"/>
      <c r="I935" s="77"/>
      <c r="J935" s="78"/>
      <c r="K935" s="75"/>
      <c r="L935" s="75"/>
      <c r="M935" s="75"/>
    </row>
    <row r="936" spans="2:13">
      <c r="B936" s="76"/>
      <c r="C936" s="77"/>
      <c r="D936" s="77"/>
      <c r="E936" s="77"/>
      <c r="F936" s="77"/>
      <c r="G936" s="77"/>
      <c r="H936" s="77"/>
      <c r="I936" s="77"/>
      <c r="J936" s="78"/>
      <c r="K936" s="75"/>
      <c r="L936" s="75"/>
      <c r="M936" s="75"/>
    </row>
    <row r="937" spans="2:13">
      <c r="B937" s="76"/>
      <c r="C937" s="77"/>
      <c r="D937" s="77"/>
      <c r="E937" s="77"/>
      <c r="F937" s="77"/>
      <c r="G937" s="77"/>
      <c r="H937" s="77"/>
      <c r="I937" s="77"/>
      <c r="J937" s="78"/>
      <c r="K937" s="75"/>
      <c r="L937" s="75"/>
      <c r="M937" s="75"/>
    </row>
    <row r="938" spans="2:13">
      <c r="B938" s="76"/>
      <c r="C938" s="77"/>
      <c r="D938" s="77"/>
      <c r="E938" s="77"/>
      <c r="F938" s="77"/>
      <c r="G938" s="77"/>
      <c r="H938" s="77"/>
      <c r="I938" s="77"/>
      <c r="J938" s="78"/>
      <c r="K938" s="75"/>
      <c r="L938" s="75"/>
      <c r="M938" s="75"/>
    </row>
    <row r="939" spans="2:13">
      <c r="B939" s="76"/>
      <c r="C939" s="77"/>
      <c r="D939" s="77"/>
      <c r="E939" s="77"/>
      <c r="F939" s="77"/>
      <c r="G939" s="77"/>
      <c r="H939" s="77"/>
      <c r="I939" s="77"/>
      <c r="J939" s="78"/>
      <c r="K939" s="75"/>
      <c r="L939" s="75"/>
      <c r="M939" s="75"/>
    </row>
    <row r="940" spans="2:13">
      <c r="B940" s="76"/>
      <c r="C940" s="77"/>
      <c r="D940" s="77"/>
      <c r="E940" s="77"/>
      <c r="F940" s="77"/>
      <c r="G940" s="77"/>
      <c r="H940" s="77"/>
      <c r="I940" s="77"/>
      <c r="J940" s="78"/>
      <c r="K940" s="75"/>
      <c r="L940" s="75"/>
      <c r="M940" s="75"/>
    </row>
    <row r="941" spans="2:13">
      <c r="B941" s="76"/>
      <c r="C941" s="77"/>
      <c r="D941" s="77"/>
      <c r="E941" s="77"/>
      <c r="F941" s="77"/>
      <c r="G941" s="77"/>
      <c r="H941" s="77"/>
      <c r="I941" s="77"/>
      <c r="J941" s="78"/>
      <c r="K941" s="75"/>
      <c r="L941" s="75"/>
      <c r="M941" s="75"/>
    </row>
    <row r="942" spans="2:13">
      <c r="B942" s="76"/>
      <c r="C942" s="77"/>
      <c r="D942" s="77"/>
      <c r="E942" s="77"/>
      <c r="F942" s="77"/>
      <c r="G942" s="77"/>
      <c r="H942" s="77"/>
      <c r="I942" s="77"/>
      <c r="J942" s="78"/>
      <c r="K942" s="75"/>
      <c r="L942" s="75"/>
      <c r="M942" s="75"/>
    </row>
    <row r="943" spans="2:13">
      <c r="B943" s="76"/>
      <c r="C943" s="77"/>
      <c r="D943" s="77"/>
      <c r="E943" s="77"/>
      <c r="F943" s="77"/>
      <c r="G943" s="77"/>
      <c r="H943" s="77"/>
      <c r="I943" s="77"/>
      <c r="J943" s="78"/>
      <c r="K943" s="75"/>
      <c r="L943" s="75"/>
      <c r="M943" s="75"/>
    </row>
    <row r="944" spans="2:13">
      <c r="B944" s="76"/>
      <c r="C944" s="77"/>
      <c r="D944" s="77"/>
      <c r="E944" s="77"/>
      <c r="F944" s="77"/>
      <c r="G944" s="77"/>
      <c r="H944" s="77"/>
      <c r="I944" s="77"/>
      <c r="J944" s="78"/>
      <c r="K944" s="75"/>
      <c r="L944" s="75"/>
      <c r="M944" s="75"/>
    </row>
    <row r="945" spans="2:13">
      <c r="B945" s="76"/>
      <c r="C945" s="77"/>
      <c r="D945" s="77"/>
      <c r="E945" s="77"/>
      <c r="F945" s="77"/>
      <c r="G945" s="77"/>
      <c r="H945" s="77"/>
      <c r="I945" s="77"/>
      <c r="J945" s="78"/>
      <c r="K945" s="75"/>
      <c r="L945" s="75"/>
      <c r="M945" s="75"/>
    </row>
    <row r="946" spans="2:13">
      <c r="B946" s="76"/>
      <c r="C946" s="77"/>
      <c r="D946" s="77"/>
      <c r="E946" s="77"/>
      <c r="F946" s="77"/>
      <c r="G946" s="77"/>
      <c r="H946" s="77"/>
      <c r="I946" s="77"/>
      <c r="J946" s="78"/>
      <c r="K946" s="75"/>
      <c r="L946" s="75"/>
      <c r="M946" s="75"/>
    </row>
    <row r="947" spans="2:13">
      <c r="B947" s="76"/>
      <c r="C947" s="77"/>
      <c r="D947" s="77"/>
      <c r="E947" s="77"/>
      <c r="F947" s="77"/>
      <c r="G947" s="77"/>
      <c r="H947" s="77"/>
      <c r="I947" s="77"/>
      <c r="J947" s="78"/>
      <c r="K947" s="75"/>
      <c r="L947" s="75"/>
      <c r="M947" s="75"/>
    </row>
    <row r="948" spans="2:13">
      <c r="B948" s="76"/>
      <c r="C948" s="77"/>
      <c r="D948" s="77"/>
      <c r="E948" s="77"/>
      <c r="F948" s="77"/>
      <c r="G948" s="77"/>
      <c r="H948" s="77"/>
      <c r="I948" s="77"/>
      <c r="J948" s="78"/>
      <c r="K948" s="75"/>
      <c r="L948" s="75"/>
      <c r="M948" s="75"/>
    </row>
    <row r="949" spans="2:13">
      <c r="B949" s="76"/>
      <c r="C949" s="77"/>
      <c r="D949" s="77"/>
      <c r="E949" s="77"/>
      <c r="F949" s="77"/>
      <c r="G949" s="77"/>
      <c r="H949" s="77"/>
      <c r="I949" s="77"/>
      <c r="J949" s="78"/>
      <c r="K949" s="75"/>
      <c r="L949" s="75"/>
      <c r="M949" s="75"/>
    </row>
    <row r="950" spans="2:13">
      <c r="B950" s="76"/>
      <c r="C950" s="77"/>
      <c r="D950" s="77"/>
      <c r="E950" s="77"/>
      <c r="F950" s="77"/>
      <c r="G950" s="77"/>
      <c r="H950" s="77"/>
      <c r="I950" s="77"/>
      <c r="J950" s="78"/>
      <c r="K950" s="75"/>
      <c r="L950" s="75"/>
      <c r="M950" s="75"/>
    </row>
    <row r="951" spans="2:13">
      <c r="B951" s="76"/>
      <c r="C951" s="77"/>
      <c r="D951" s="77"/>
      <c r="E951" s="77"/>
      <c r="F951" s="77"/>
      <c r="G951" s="77"/>
      <c r="H951" s="77"/>
      <c r="I951" s="77"/>
      <c r="J951" s="78"/>
      <c r="K951" s="75"/>
      <c r="L951" s="75"/>
      <c r="M951" s="75"/>
    </row>
    <row r="952" spans="2:13">
      <c r="B952" s="76"/>
      <c r="C952" s="77"/>
      <c r="D952" s="77"/>
      <c r="E952" s="77"/>
      <c r="F952" s="77"/>
      <c r="G952" s="77"/>
      <c r="H952" s="77"/>
      <c r="I952" s="77"/>
      <c r="J952" s="78"/>
      <c r="K952" s="75"/>
      <c r="L952" s="75"/>
      <c r="M952" s="75"/>
    </row>
    <row r="953" spans="2:13">
      <c r="B953" s="76"/>
      <c r="C953" s="77"/>
      <c r="D953" s="77"/>
      <c r="E953" s="77"/>
      <c r="F953" s="77"/>
      <c r="G953" s="77"/>
      <c r="H953" s="77"/>
      <c r="I953" s="77"/>
      <c r="J953" s="78"/>
      <c r="K953" s="75"/>
      <c r="L953" s="75"/>
      <c r="M953" s="75"/>
    </row>
    <row r="954" spans="2:13">
      <c r="B954" s="76"/>
      <c r="C954" s="77"/>
      <c r="D954" s="77"/>
      <c r="E954" s="77"/>
      <c r="F954" s="77"/>
      <c r="G954" s="77"/>
      <c r="H954" s="77"/>
      <c r="I954" s="77"/>
      <c r="J954" s="78"/>
      <c r="K954" s="75"/>
      <c r="L954" s="75"/>
      <c r="M954" s="75"/>
    </row>
    <row r="955" spans="2:13">
      <c r="B955" s="76"/>
      <c r="C955" s="77"/>
      <c r="D955" s="77"/>
      <c r="E955" s="77"/>
      <c r="F955" s="77"/>
      <c r="G955" s="77"/>
      <c r="H955" s="77"/>
      <c r="I955" s="77"/>
      <c r="J955" s="78"/>
      <c r="K955" s="75"/>
      <c r="L955" s="75"/>
      <c r="M955" s="75"/>
    </row>
    <row r="956" spans="2:13">
      <c r="B956" s="76"/>
      <c r="C956" s="77"/>
      <c r="D956" s="77"/>
      <c r="E956" s="77"/>
      <c r="F956" s="77"/>
      <c r="G956" s="77"/>
      <c r="H956" s="77"/>
      <c r="I956" s="77"/>
      <c r="J956" s="78"/>
      <c r="K956" s="75"/>
      <c r="L956" s="75"/>
      <c r="M956" s="75"/>
    </row>
    <row r="957" spans="2:13">
      <c r="B957" s="76"/>
      <c r="C957" s="77"/>
      <c r="D957" s="77"/>
      <c r="E957" s="77"/>
      <c r="F957" s="77"/>
      <c r="G957" s="77"/>
      <c r="H957" s="77"/>
      <c r="I957" s="77"/>
      <c r="J957" s="78"/>
      <c r="K957" s="75"/>
      <c r="L957" s="75"/>
      <c r="M957" s="75"/>
    </row>
    <row r="958" spans="2:13">
      <c r="B958" s="76"/>
      <c r="C958" s="77"/>
      <c r="D958" s="77"/>
      <c r="E958" s="77"/>
      <c r="F958" s="77"/>
      <c r="G958" s="77"/>
      <c r="H958" s="77"/>
      <c r="I958" s="77"/>
      <c r="J958" s="78"/>
      <c r="K958" s="75"/>
      <c r="L958" s="75"/>
      <c r="M958" s="75"/>
    </row>
    <row r="959" spans="2:13">
      <c r="B959" s="76"/>
      <c r="C959" s="77"/>
      <c r="D959" s="77"/>
      <c r="E959" s="77"/>
      <c r="F959" s="77"/>
      <c r="G959" s="77"/>
      <c r="H959" s="77"/>
      <c r="I959" s="77"/>
      <c r="J959" s="78"/>
      <c r="K959" s="75"/>
      <c r="L959" s="75"/>
      <c r="M959" s="75"/>
    </row>
    <row r="960" spans="2:13">
      <c r="B960" s="76"/>
      <c r="C960" s="77"/>
      <c r="D960" s="77"/>
      <c r="E960" s="77"/>
      <c r="F960" s="77"/>
      <c r="G960" s="77"/>
      <c r="H960" s="77"/>
      <c r="I960" s="77"/>
      <c r="J960" s="78"/>
      <c r="K960" s="75"/>
      <c r="L960" s="75"/>
      <c r="M960" s="75"/>
    </row>
    <row r="961" spans="2:13">
      <c r="B961" s="76"/>
      <c r="C961" s="77"/>
      <c r="D961" s="77"/>
      <c r="E961" s="77"/>
      <c r="F961" s="77"/>
      <c r="G961" s="77"/>
      <c r="H961" s="77"/>
      <c r="I961" s="77"/>
      <c r="J961" s="78"/>
      <c r="K961" s="75"/>
      <c r="L961" s="75"/>
      <c r="M961" s="75"/>
    </row>
    <row r="962" spans="2:13">
      <c r="B962" s="76"/>
      <c r="C962" s="77"/>
      <c r="D962" s="77"/>
      <c r="E962" s="77"/>
      <c r="F962" s="77"/>
      <c r="G962" s="77"/>
      <c r="H962" s="77"/>
      <c r="I962" s="77"/>
      <c r="J962" s="78"/>
      <c r="K962" s="75"/>
      <c r="L962" s="75"/>
      <c r="M962" s="75"/>
    </row>
    <row r="963" spans="2:13">
      <c r="B963" s="76"/>
      <c r="C963" s="77"/>
      <c r="D963" s="77"/>
      <c r="E963" s="77"/>
      <c r="F963" s="77"/>
      <c r="G963" s="77"/>
      <c r="H963" s="77"/>
      <c r="I963" s="77"/>
      <c r="J963" s="78"/>
      <c r="K963" s="75"/>
      <c r="L963" s="75"/>
      <c r="M963" s="75"/>
    </row>
    <row r="964" spans="2:13">
      <c r="B964" s="76"/>
      <c r="C964" s="77"/>
      <c r="D964" s="77"/>
      <c r="E964" s="77"/>
      <c r="F964" s="77"/>
      <c r="G964" s="77"/>
      <c r="H964" s="77"/>
      <c r="I964" s="77"/>
      <c r="J964" s="78"/>
      <c r="K964" s="75"/>
      <c r="L964" s="75"/>
      <c r="M964" s="75"/>
    </row>
    <row r="965" spans="2:13">
      <c r="B965" s="76"/>
      <c r="C965" s="77"/>
      <c r="D965" s="77"/>
      <c r="E965" s="77"/>
      <c r="F965" s="77"/>
      <c r="G965" s="77"/>
      <c r="H965" s="77"/>
      <c r="I965" s="77"/>
      <c r="J965" s="78"/>
      <c r="K965" s="75"/>
      <c r="L965" s="75"/>
      <c r="M965" s="75"/>
    </row>
    <row r="966" spans="2:13">
      <c r="B966" s="76"/>
      <c r="C966" s="77"/>
      <c r="D966" s="77"/>
      <c r="E966" s="77"/>
      <c r="F966" s="77"/>
      <c r="G966" s="77"/>
      <c r="H966" s="77"/>
      <c r="I966" s="77"/>
      <c r="J966" s="78"/>
      <c r="K966" s="75"/>
      <c r="L966" s="75"/>
      <c r="M966" s="75"/>
    </row>
    <row r="967" spans="2:13">
      <c r="B967" s="76"/>
      <c r="C967" s="77"/>
      <c r="D967" s="77"/>
      <c r="E967" s="77"/>
      <c r="F967" s="77"/>
      <c r="G967" s="77"/>
      <c r="H967" s="77"/>
      <c r="I967" s="77"/>
      <c r="J967" s="78"/>
      <c r="K967" s="75"/>
      <c r="L967" s="75"/>
      <c r="M967" s="75"/>
    </row>
    <row r="968" spans="2:13">
      <c r="B968" s="76"/>
      <c r="C968" s="77"/>
      <c r="D968" s="77"/>
      <c r="E968" s="77"/>
      <c r="F968" s="77"/>
      <c r="G968" s="77"/>
      <c r="H968" s="77"/>
      <c r="I968" s="77"/>
      <c r="J968" s="78"/>
      <c r="K968" s="75"/>
      <c r="L968" s="75"/>
      <c r="M968" s="75"/>
    </row>
    <row r="969" spans="2:13">
      <c r="B969" s="76"/>
      <c r="C969" s="77"/>
      <c r="D969" s="77"/>
      <c r="E969" s="77"/>
      <c r="F969" s="77"/>
      <c r="G969" s="77"/>
      <c r="H969" s="77"/>
      <c r="I969" s="77"/>
      <c r="J969" s="78"/>
      <c r="K969" s="75"/>
      <c r="L969" s="75"/>
      <c r="M969" s="75"/>
    </row>
    <row r="970" spans="2:13">
      <c r="B970" s="76"/>
      <c r="C970" s="77"/>
      <c r="D970" s="77"/>
      <c r="E970" s="77"/>
      <c r="F970" s="77"/>
      <c r="G970" s="77"/>
      <c r="H970" s="77"/>
      <c r="I970" s="77"/>
      <c r="J970" s="78"/>
      <c r="K970" s="75"/>
      <c r="L970" s="75"/>
      <c r="M970" s="75"/>
    </row>
    <row r="971" spans="2:13">
      <c r="B971" s="76"/>
      <c r="C971" s="77"/>
      <c r="D971" s="77"/>
      <c r="E971" s="77"/>
      <c r="F971" s="77"/>
      <c r="G971" s="77"/>
      <c r="H971" s="77"/>
      <c r="I971" s="77"/>
      <c r="J971" s="78"/>
      <c r="K971" s="75"/>
      <c r="L971" s="75"/>
      <c r="M971" s="75"/>
    </row>
    <row r="972" spans="2:13">
      <c r="B972" s="76"/>
      <c r="C972" s="77"/>
      <c r="D972" s="77"/>
      <c r="E972" s="77"/>
      <c r="F972" s="77"/>
      <c r="G972" s="77"/>
      <c r="H972" s="77"/>
      <c r="I972" s="77"/>
      <c r="J972" s="78"/>
      <c r="K972" s="75"/>
      <c r="L972" s="75"/>
      <c r="M972" s="75"/>
    </row>
    <row r="973" spans="2:13">
      <c r="B973" s="76"/>
      <c r="C973" s="77"/>
      <c r="D973" s="77"/>
      <c r="E973" s="77"/>
      <c r="F973" s="77"/>
      <c r="G973" s="77"/>
      <c r="H973" s="77"/>
      <c r="I973" s="77"/>
      <c r="J973" s="78"/>
      <c r="K973" s="75"/>
      <c r="L973" s="75"/>
      <c r="M973" s="75"/>
    </row>
    <row r="974" spans="2:13">
      <c r="B974" s="76"/>
      <c r="C974" s="77"/>
      <c r="D974" s="77"/>
      <c r="E974" s="77"/>
      <c r="F974" s="77"/>
      <c r="G974" s="77"/>
      <c r="H974" s="77"/>
      <c r="I974" s="77"/>
      <c r="J974" s="78"/>
      <c r="K974" s="75"/>
      <c r="L974" s="75"/>
      <c r="M974" s="75"/>
    </row>
    <row r="975" spans="2:13">
      <c r="B975" s="76"/>
      <c r="C975" s="77"/>
      <c r="D975" s="77"/>
      <c r="E975" s="77"/>
      <c r="F975" s="77"/>
      <c r="G975" s="77"/>
      <c r="H975" s="77"/>
      <c r="I975" s="77"/>
      <c r="J975" s="78"/>
      <c r="K975" s="75"/>
      <c r="L975" s="75"/>
      <c r="M975" s="75"/>
    </row>
    <row r="976" spans="2:13">
      <c r="B976" s="76"/>
      <c r="C976" s="77"/>
      <c r="D976" s="77"/>
      <c r="E976" s="77"/>
      <c r="F976" s="77"/>
      <c r="G976" s="77"/>
      <c r="H976" s="77"/>
      <c r="I976" s="77"/>
      <c r="J976" s="78"/>
      <c r="K976" s="75"/>
      <c r="L976" s="75"/>
      <c r="M976" s="75"/>
    </row>
    <row r="977" spans="2:13">
      <c r="B977" s="76"/>
      <c r="C977" s="77"/>
      <c r="D977" s="77"/>
      <c r="E977" s="77"/>
      <c r="F977" s="77"/>
      <c r="G977" s="77"/>
      <c r="H977" s="77"/>
      <c r="I977" s="77"/>
      <c r="J977" s="78"/>
      <c r="K977" s="75"/>
      <c r="L977" s="75"/>
      <c r="M977" s="75"/>
    </row>
    <row r="978" spans="2:13">
      <c r="B978" s="76"/>
      <c r="C978" s="77"/>
      <c r="D978" s="77"/>
      <c r="E978" s="77"/>
      <c r="F978" s="77"/>
      <c r="G978" s="77"/>
      <c r="H978" s="77"/>
      <c r="I978" s="77"/>
      <c r="J978" s="78"/>
      <c r="K978" s="75"/>
      <c r="L978" s="75"/>
      <c r="M978" s="75"/>
    </row>
    <row r="979" spans="2:13">
      <c r="B979" s="76"/>
      <c r="C979" s="77"/>
      <c r="D979" s="77"/>
      <c r="E979" s="77"/>
      <c r="F979" s="77"/>
      <c r="G979" s="77"/>
      <c r="H979" s="77"/>
      <c r="I979" s="77"/>
      <c r="J979" s="78"/>
      <c r="K979" s="75"/>
      <c r="L979" s="75"/>
      <c r="M979" s="75"/>
    </row>
    <row r="980" spans="2:13">
      <c r="B980" s="76"/>
      <c r="C980" s="77"/>
      <c r="D980" s="77"/>
      <c r="E980" s="77"/>
      <c r="F980" s="77"/>
      <c r="G980" s="77"/>
      <c r="H980" s="77"/>
      <c r="I980" s="77"/>
      <c r="J980" s="78"/>
      <c r="K980" s="75"/>
      <c r="L980" s="75"/>
      <c r="M980" s="75"/>
    </row>
    <row r="981" spans="2:13">
      <c r="B981" s="76"/>
      <c r="C981" s="77"/>
      <c r="D981" s="77"/>
      <c r="E981" s="77"/>
      <c r="F981" s="77"/>
      <c r="G981" s="77"/>
      <c r="H981" s="77"/>
      <c r="I981" s="77"/>
      <c r="J981" s="78"/>
      <c r="K981" s="75"/>
      <c r="L981" s="75"/>
      <c r="M981" s="75"/>
    </row>
    <row r="982" spans="2:13">
      <c r="B982" s="76"/>
      <c r="C982" s="77"/>
      <c r="D982" s="77"/>
      <c r="E982" s="77"/>
      <c r="F982" s="77"/>
      <c r="G982" s="77"/>
      <c r="H982" s="77"/>
      <c r="I982" s="77"/>
      <c r="J982" s="78"/>
      <c r="K982" s="75"/>
      <c r="L982" s="75"/>
      <c r="M982" s="75"/>
    </row>
    <row r="983" spans="2:13">
      <c r="B983" s="76"/>
      <c r="C983" s="77"/>
      <c r="D983" s="77"/>
      <c r="E983" s="77"/>
      <c r="F983" s="77"/>
      <c r="G983" s="77"/>
      <c r="H983" s="77"/>
      <c r="I983" s="77"/>
      <c r="J983" s="78"/>
      <c r="K983" s="75"/>
      <c r="L983" s="75"/>
      <c r="M983" s="75"/>
    </row>
    <row r="984" spans="2:13">
      <c r="B984" s="76"/>
      <c r="C984" s="77"/>
      <c r="D984" s="77"/>
      <c r="E984" s="77"/>
      <c r="F984" s="77"/>
      <c r="G984" s="77"/>
      <c r="H984" s="77"/>
      <c r="I984" s="77"/>
      <c r="J984" s="78"/>
      <c r="K984" s="75"/>
      <c r="L984" s="75"/>
      <c r="M984" s="75"/>
    </row>
    <row r="985" spans="2:13">
      <c r="B985" s="76"/>
      <c r="C985" s="77"/>
      <c r="D985" s="77"/>
      <c r="E985" s="77"/>
      <c r="F985" s="77"/>
      <c r="G985" s="77"/>
      <c r="H985" s="77"/>
      <c r="I985" s="77"/>
      <c r="J985" s="78"/>
      <c r="K985" s="75"/>
      <c r="L985" s="75"/>
      <c r="M985" s="75"/>
    </row>
    <row r="986" spans="2:13">
      <c r="B986" s="76"/>
      <c r="C986" s="77"/>
      <c r="D986" s="77"/>
      <c r="E986" s="77"/>
      <c r="F986" s="77"/>
      <c r="G986" s="77"/>
      <c r="H986" s="77"/>
      <c r="I986" s="77"/>
      <c r="J986" s="78"/>
      <c r="K986" s="75"/>
      <c r="L986" s="75"/>
      <c r="M986" s="75"/>
    </row>
    <row r="987" spans="2:13">
      <c r="B987" s="76"/>
      <c r="C987" s="77"/>
      <c r="D987" s="77"/>
      <c r="E987" s="77"/>
      <c r="F987" s="77"/>
      <c r="G987" s="77"/>
      <c r="H987" s="77"/>
      <c r="I987" s="77"/>
      <c r="J987" s="78"/>
      <c r="K987" s="75"/>
      <c r="L987" s="75"/>
      <c r="M987" s="75"/>
    </row>
    <row r="988" spans="2:13">
      <c r="B988" s="76"/>
      <c r="C988" s="77"/>
      <c r="D988" s="77"/>
      <c r="E988" s="77"/>
      <c r="F988" s="77"/>
      <c r="G988" s="77"/>
      <c r="H988" s="77"/>
      <c r="I988" s="77"/>
      <c r="J988" s="78"/>
      <c r="K988" s="75"/>
      <c r="L988" s="75"/>
      <c r="M988" s="75"/>
    </row>
    <row r="989" spans="2:13">
      <c r="B989" s="76"/>
      <c r="C989" s="77"/>
      <c r="D989" s="77"/>
      <c r="E989" s="77"/>
      <c r="F989" s="77"/>
      <c r="G989" s="77"/>
      <c r="H989" s="77"/>
      <c r="I989" s="77"/>
      <c r="J989" s="78"/>
      <c r="K989" s="75"/>
      <c r="L989" s="75"/>
      <c r="M989" s="75"/>
    </row>
    <row r="990" spans="2:13">
      <c r="B990" s="76"/>
      <c r="C990" s="77"/>
      <c r="D990" s="77"/>
      <c r="E990" s="77"/>
      <c r="F990" s="77"/>
      <c r="G990" s="77"/>
      <c r="H990" s="77"/>
      <c r="I990" s="77"/>
      <c r="J990" s="78"/>
      <c r="K990" s="75"/>
      <c r="L990" s="75"/>
      <c r="M990" s="75"/>
    </row>
    <row r="991" spans="2:13">
      <c r="B991" s="76"/>
      <c r="C991" s="77"/>
      <c r="D991" s="77"/>
      <c r="E991" s="77"/>
      <c r="F991" s="77"/>
      <c r="G991" s="77"/>
      <c r="H991" s="77"/>
      <c r="I991" s="77"/>
      <c r="J991" s="78"/>
      <c r="K991" s="75"/>
      <c r="L991" s="75"/>
      <c r="M991" s="75"/>
    </row>
    <row r="992" spans="2:13">
      <c r="B992" s="76"/>
      <c r="C992" s="77"/>
      <c r="D992" s="77"/>
      <c r="E992" s="77"/>
      <c r="F992" s="77"/>
      <c r="G992" s="77"/>
      <c r="H992" s="77"/>
      <c r="I992" s="77"/>
      <c r="J992" s="78"/>
      <c r="K992" s="75"/>
      <c r="L992" s="75"/>
      <c r="M992" s="75"/>
    </row>
    <row r="993" spans="2:13">
      <c r="B993" s="76"/>
      <c r="C993" s="77"/>
      <c r="D993" s="77"/>
      <c r="E993" s="77"/>
      <c r="F993" s="77"/>
      <c r="G993" s="77"/>
      <c r="H993" s="77"/>
      <c r="I993" s="77"/>
      <c r="J993" s="78"/>
      <c r="K993" s="75"/>
      <c r="L993" s="75"/>
      <c r="M993" s="75"/>
    </row>
    <row r="994" spans="2:13">
      <c r="B994" s="76"/>
      <c r="C994" s="77"/>
      <c r="D994" s="77"/>
      <c r="E994" s="77"/>
      <c r="F994" s="77"/>
      <c r="G994" s="77"/>
      <c r="H994" s="77"/>
      <c r="I994" s="77"/>
      <c r="J994" s="78"/>
      <c r="K994" s="75"/>
      <c r="L994" s="75"/>
      <c r="M994" s="75"/>
    </row>
    <row r="995" spans="2:13">
      <c r="B995" s="76"/>
      <c r="C995" s="77"/>
      <c r="D995" s="77"/>
      <c r="E995" s="77"/>
      <c r="F995" s="77"/>
      <c r="G995" s="77"/>
      <c r="H995" s="77"/>
      <c r="I995" s="77"/>
      <c r="J995" s="78"/>
      <c r="K995" s="75"/>
      <c r="L995" s="75"/>
      <c r="M995" s="75"/>
    </row>
    <row r="996" spans="2:13">
      <c r="B996" s="76"/>
      <c r="C996" s="77"/>
      <c r="D996" s="77"/>
      <c r="E996" s="77"/>
      <c r="F996" s="77"/>
      <c r="G996" s="77"/>
      <c r="H996" s="77"/>
      <c r="I996" s="77"/>
      <c r="J996" s="78"/>
      <c r="K996" s="75"/>
      <c r="L996" s="75"/>
      <c r="M996" s="75"/>
    </row>
    <row r="997" spans="2:13">
      <c r="B997" s="76"/>
      <c r="C997" s="77"/>
      <c r="D997" s="77"/>
      <c r="E997" s="77"/>
      <c r="F997" s="77"/>
      <c r="G997" s="77"/>
      <c r="H997" s="77"/>
      <c r="I997" s="77"/>
      <c r="J997" s="78"/>
      <c r="K997" s="75"/>
      <c r="L997" s="75"/>
      <c r="M997" s="75"/>
    </row>
    <row r="998" spans="2:13">
      <c r="B998" s="76"/>
      <c r="C998" s="77"/>
      <c r="D998" s="77"/>
      <c r="E998" s="77"/>
      <c r="F998" s="77"/>
      <c r="G998" s="77"/>
      <c r="H998" s="77"/>
      <c r="I998" s="77"/>
      <c r="J998" s="78"/>
      <c r="K998" s="75"/>
      <c r="L998" s="75"/>
      <c r="M998" s="75"/>
    </row>
    <row r="999" spans="2:13">
      <c r="B999" s="76"/>
      <c r="C999" s="77"/>
      <c r="D999" s="77"/>
      <c r="E999" s="77"/>
      <c r="F999" s="77"/>
      <c r="G999" s="77"/>
      <c r="H999" s="77"/>
      <c r="I999" s="77"/>
      <c r="J999" s="78"/>
      <c r="K999" s="75"/>
      <c r="L999" s="75"/>
      <c r="M999" s="75"/>
    </row>
    <row r="1000" spans="2:13">
      <c r="B1000" s="76"/>
      <c r="C1000" s="77"/>
      <c r="D1000" s="77"/>
      <c r="E1000" s="77"/>
      <c r="F1000" s="77"/>
      <c r="G1000" s="77"/>
      <c r="H1000" s="77"/>
      <c r="I1000" s="77"/>
      <c r="J1000" s="78"/>
      <c r="K1000" s="75"/>
      <c r="L1000" s="75"/>
      <c r="M1000" s="75"/>
    </row>
    <row r="1001" spans="2:13">
      <c r="B1001" s="76"/>
      <c r="C1001" s="77"/>
      <c r="D1001" s="77"/>
      <c r="E1001" s="77"/>
      <c r="F1001" s="77"/>
      <c r="G1001" s="77"/>
      <c r="H1001" s="77"/>
      <c r="I1001" s="77"/>
      <c r="J1001" s="78"/>
      <c r="K1001" s="75"/>
      <c r="L1001" s="75"/>
      <c r="M1001" s="75"/>
    </row>
    <row r="1002" spans="2:13">
      <c r="B1002" s="76"/>
      <c r="C1002" s="77"/>
      <c r="D1002" s="77"/>
      <c r="E1002" s="77"/>
      <c r="F1002" s="77"/>
      <c r="G1002" s="77"/>
      <c r="H1002" s="77"/>
      <c r="I1002" s="77"/>
      <c r="J1002" s="78"/>
      <c r="K1002" s="75"/>
      <c r="L1002" s="75"/>
      <c r="M1002" s="75"/>
    </row>
    <row r="1003" spans="2:13">
      <c r="B1003" s="76"/>
      <c r="C1003" s="77"/>
      <c r="D1003" s="77"/>
      <c r="E1003" s="77"/>
      <c r="F1003" s="77"/>
      <c r="G1003" s="77"/>
      <c r="H1003" s="77"/>
      <c r="I1003" s="77"/>
      <c r="J1003" s="78"/>
      <c r="K1003" s="75"/>
      <c r="L1003" s="75"/>
      <c r="M1003" s="75"/>
    </row>
    <row r="1004" spans="2:13">
      <c r="B1004" s="76"/>
      <c r="C1004" s="77"/>
      <c r="D1004" s="77"/>
      <c r="E1004" s="77"/>
      <c r="F1004" s="77"/>
      <c r="G1004" s="77"/>
      <c r="H1004" s="77"/>
      <c r="I1004" s="77"/>
      <c r="J1004" s="78"/>
      <c r="K1004" s="79"/>
      <c r="L1004" s="79"/>
      <c r="M1004" s="79"/>
    </row>
    <row r="1005" spans="2:13">
      <c r="B1005" s="76"/>
      <c r="C1005" s="77"/>
      <c r="D1005" s="77"/>
      <c r="E1005" s="77"/>
      <c r="F1005" s="77"/>
      <c r="G1005" s="77"/>
      <c r="H1005" s="77"/>
      <c r="I1005" s="77"/>
      <c r="J1005" s="78"/>
      <c r="K1005" s="79"/>
      <c r="L1005" s="79"/>
      <c r="M1005" s="79"/>
    </row>
    <row r="1006" spans="2:13">
      <c r="B1006" s="76"/>
      <c r="C1006" s="77"/>
      <c r="D1006" s="77"/>
      <c r="E1006" s="77"/>
      <c r="F1006" s="77"/>
      <c r="G1006" s="77"/>
      <c r="H1006" s="77"/>
      <c r="I1006" s="77"/>
      <c r="J1006" s="78"/>
      <c r="K1006" s="79"/>
      <c r="L1006" s="79"/>
      <c r="M1006" s="79"/>
    </row>
    <row r="1007" spans="2:13">
      <c r="B1007" s="76"/>
      <c r="C1007" s="77"/>
      <c r="D1007" s="77"/>
      <c r="E1007" s="77"/>
      <c r="F1007" s="77"/>
      <c r="G1007" s="77"/>
      <c r="H1007" s="77"/>
      <c r="I1007" s="77"/>
      <c r="J1007" s="78"/>
      <c r="K1007" s="79"/>
      <c r="L1007" s="79"/>
      <c r="M1007" s="79"/>
    </row>
    <row r="1008" spans="2:13">
      <c r="B1008" s="76"/>
      <c r="C1008" s="77"/>
      <c r="D1008" s="77"/>
      <c r="E1008" s="77"/>
      <c r="F1008" s="77"/>
      <c r="G1008" s="77"/>
      <c r="H1008" s="77"/>
      <c r="I1008" s="77"/>
      <c r="J1008" s="78"/>
      <c r="K1008" s="79"/>
      <c r="L1008" s="79"/>
      <c r="M1008" s="79"/>
    </row>
    <row r="1009" spans="2:13">
      <c r="B1009" s="76"/>
      <c r="C1009" s="77"/>
      <c r="D1009" s="77"/>
      <c r="E1009" s="77"/>
      <c r="F1009" s="77"/>
      <c r="G1009" s="77"/>
      <c r="H1009" s="77"/>
      <c r="I1009" s="77"/>
      <c r="J1009" s="78"/>
      <c r="K1009" s="79"/>
      <c r="L1009" s="79"/>
      <c r="M1009" s="79"/>
    </row>
    <row r="1010" spans="2:13">
      <c r="B1010" s="76"/>
      <c r="C1010" s="77"/>
      <c r="D1010" s="77"/>
      <c r="E1010" s="77"/>
      <c r="F1010" s="77"/>
      <c r="G1010" s="77"/>
      <c r="H1010" s="77"/>
      <c r="I1010" s="77"/>
      <c r="J1010" s="78"/>
      <c r="K1010" s="79"/>
      <c r="L1010" s="79"/>
      <c r="M1010" s="79"/>
    </row>
    <row r="1011" spans="2:13">
      <c r="B1011" s="76"/>
      <c r="C1011" s="77"/>
      <c r="D1011" s="77"/>
      <c r="E1011" s="77"/>
      <c r="F1011" s="77"/>
      <c r="G1011" s="77"/>
      <c r="H1011" s="77"/>
      <c r="I1011" s="77"/>
      <c r="J1011" s="78"/>
      <c r="K1011" s="79"/>
      <c r="L1011" s="79"/>
      <c r="M1011" s="79"/>
    </row>
    <row r="1012" spans="2:13">
      <c r="B1012" s="76"/>
      <c r="C1012" s="77"/>
      <c r="D1012" s="77"/>
      <c r="E1012" s="77"/>
      <c r="F1012" s="77"/>
      <c r="G1012" s="77"/>
      <c r="H1012" s="77"/>
      <c r="I1012" s="77"/>
      <c r="J1012" s="78"/>
      <c r="K1012" s="79"/>
      <c r="L1012" s="79"/>
      <c r="M1012" s="79"/>
    </row>
    <row r="1013" spans="2:13">
      <c r="B1013" s="76"/>
      <c r="C1013" s="77"/>
      <c r="D1013" s="77"/>
      <c r="E1013" s="77"/>
      <c r="F1013" s="77"/>
      <c r="G1013" s="77"/>
      <c r="H1013" s="77"/>
      <c r="I1013" s="77"/>
      <c r="J1013" s="78"/>
      <c r="K1013" s="79"/>
      <c r="L1013" s="79"/>
      <c r="M1013" s="79"/>
    </row>
    <row r="1014" spans="2:13">
      <c r="B1014" s="76"/>
      <c r="C1014" s="77"/>
      <c r="D1014" s="77"/>
      <c r="E1014" s="77"/>
      <c r="F1014" s="77"/>
      <c r="G1014" s="77"/>
      <c r="H1014" s="77"/>
      <c r="I1014" s="77"/>
      <c r="J1014" s="78"/>
      <c r="K1014" s="79"/>
      <c r="L1014" s="79"/>
      <c r="M1014" s="79"/>
    </row>
    <row r="1015" spans="2:13">
      <c r="B1015" s="76"/>
      <c r="C1015" s="77"/>
      <c r="D1015" s="77"/>
      <c r="E1015" s="77"/>
      <c r="F1015" s="77"/>
      <c r="G1015" s="77"/>
      <c r="H1015" s="77"/>
      <c r="I1015" s="77"/>
      <c r="J1015" s="78"/>
      <c r="K1015" s="79"/>
      <c r="L1015" s="79"/>
      <c r="M1015" s="79"/>
    </row>
    <row r="1016" spans="2:13">
      <c r="B1016" s="76"/>
      <c r="C1016" s="77"/>
      <c r="D1016" s="77"/>
      <c r="E1016" s="77"/>
      <c r="F1016" s="77"/>
      <c r="G1016" s="77"/>
      <c r="H1016" s="77"/>
      <c r="I1016" s="77"/>
      <c r="J1016" s="78"/>
      <c r="K1016" s="79"/>
      <c r="L1016" s="79"/>
      <c r="M1016" s="79"/>
    </row>
    <row r="1017" spans="2:13">
      <c r="B1017" s="76"/>
      <c r="C1017" s="77"/>
      <c r="D1017" s="77"/>
      <c r="E1017" s="77"/>
      <c r="F1017" s="77"/>
      <c r="G1017" s="77"/>
      <c r="H1017" s="77"/>
      <c r="I1017" s="77"/>
      <c r="J1017" s="78"/>
      <c r="K1017" s="79"/>
      <c r="L1017" s="79"/>
      <c r="M1017" s="79"/>
    </row>
    <row r="1018" spans="2:13">
      <c r="B1018" s="76"/>
      <c r="C1018" s="77"/>
      <c r="D1018" s="77"/>
      <c r="E1018" s="77"/>
      <c r="F1018" s="77"/>
      <c r="G1018" s="77"/>
      <c r="H1018" s="77"/>
      <c r="I1018" s="77"/>
      <c r="J1018" s="78"/>
      <c r="K1018" s="79"/>
      <c r="L1018" s="79"/>
      <c r="M1018" s="79"/>
    </row>
    <row r="1019" spans="2:13">
      <c r="B1019" s="76"/>
      <c r="C1019" s="77"/>
      <c r="D1019" s="77"/>
      <c r="E1019" s="77"/>
      <c r="F1019" s="77"/>
      <c r="G1019" s="77"/>
      <c r="H1019" s="77"/>
      <c r="I1019" s="77"/>
      <c r="J1019" s="78"/>
      <c r="K1019" s="79"/>
      <c r="L1019" s="79"/>
      <c r="M1019" s="79"/>
    </row>
    <row r="1020" spans="2:13">
      <c r="B1020" s="76"/>
      <c r="C1020" s="77"/>
      <c r="D1020" s="77"/>
      <c r="E1020" s="77"/>
      <c r="F1020" s="77"/>
      <c r="G1020" s="77"/>
      <c r="H1020" s="77"/>
      <c r="I1020" s="77"/>
      <c r="J1020" s="78"/>
      <c r="K1020" s="79"/>
      <c r="L1020" s="79"/>
      <c r="M1020" s="79"/>
    </row>
    <row r="1021" spans="2:13">
      <c r="B1021" s="76"/>
      <c r="C1021" s="77"/>
      <c r="D1021" s="77"/>
      <c r="E1021" s="77"/>
      <c r="F1021" s="77"/>
      <c r="G1021" s="77"/>
      <c r="H1021" s="77"/>
      <c r="I1021" s="77"/>
      <c r="J1021" s="78"/>
      <c r="K1021" s="79"/>
      <c r="L1021" s="79"/>
      <c r="M1021" s="79"/>
    </row>
    <row r="1022" spans="2:13">
      <c r="B1022" s="76"/>
      <c r="C1022" s="77"/>
      <c r="D1022" s="77"/>
      <c r="E1022" s="77"/>
      <c r="F1022" s="77"/>
      <c r="G1022" s="77"/>
      <c r="H1022" s="77"/>
      <c r="I1022" s="77"/>
      <c r="J1022" s="78"/>
      <c r="K1022" s="79"/>
      <c r="L1022" s="79"/>
      <c r="M1022" s="79"/>
    </row>
    <row r="1023" spans="2:13">
      <c r="B1023" s="76"/>
      <c r="C1023" s="77"/>
      <c r="D1023" s="77"/>
      <c r="E1023" s="77"/>
      <c r="F1023" s="77"/>
      <c r="G1023" s="77"/>
      <c r="H1023" s="77"/>
      <c r="I1023" s="77"/>
      <c r="J1023" s="78"/>
      <c r="K1023" s="79"/>
      <c r="L1023" s="79"/>
      <c r="M1023" s="79"/>
    </row>
    <row r="1024" spans="2:13">
      <c r="B1024" s="76"/>
      <c r="C1024" s="77"/>
      <c r="D1024" s="77"/>
      <c r="E1024" s="77"/>
      <c r="F1024" s="77"/>
      <c r="G1024" s="77"/>
      <c r="H1024" s="77"/>
      <c r="I1024" s="77"/>
      <c r="J1024" s="78"/>
      <c r="K1024" s="79"/>
      <c r="L1024" s="79"/>
      <c r="M1024" s="79"/>
    </row>
    <row r="1025" spans="2:13">
      <c r="B1025" s="76"/>
      <c r="C1025" s="77"/>
      <c r="D1025" s="77"/>
      <c r="E1025" s="77"/>
      <c r="F1025" s="77"/>
      <c r="G1025" s="77"/>
      <c r="H1025" s="77"/>
      <c r="I1025" s="77"/>
      <c r="J1025" s="78"/>
      <c r="K1025" s="79"/>
      <c r="L1025" s="79"/>
      <c r="M1025" s="79"/>
    </row>
    <row r="1026" spans="2:13">
      <c r="B1026" s="76"/>
      <c r="C1026" s="77"/>
      <c r="D1026" s="77"/>
      <c r="E1026" s="77"/>
      <c r="F1026" s="77"/>
      <c r="G1026" s="77"/>
      <c r="H1026" s="77"/>
      <c r="I1026" s="77"/>
      <c r="J1026" s="78"/>
      <c r="K1026" s="79"/>
      <c r="L1026" s="79"/>
      <c r="M1026" s="79"/>
    </row>
    <row r="1027" spans="2:13">
      <c r="B1027" s="76"/>
      <c r="C1027" s="77"/>
      <c r="D1027" s="77"/>
      <c r="E1027" s="77"/>
      <c r="F1027" s="77"/>
      <c r="G1027" s="77"/>
      <c r="H1027" s="77"/>
      <c r="I1027" s="77"/>
      <c r="J1027" s="78"/>
      <c r="K1027" s="79"/>
      <c r="L1027" s="79"/>
      <c r="M1027" s="79"/>
    </row>
    <row r="1028" spans="2:13">
      <c r="B1028" s="76"/>
      <c r="C1028" s="77"/>
      <c r="D1028" s="77"/>
      <c r="E1028" s="77"/>
      <c r="F1028" s="77"/>
      <c r="G1028" s="77"/>
      <c r="H1028" s="77"/>
      <c r="I1028" s="77"/>
      <c r="J1028" s="78"/>
      <c r="K1028" s="79"/>
      <c r="L1028" s="79"/>
      <c r="M1028" s="79"/>
    </row>
    <row r="1029" spans="2:13">
      <c r="B1029" s="76"/>
      <c r="C1029" s="77"/>
      <c r="D1029" s="77"/>
      <c r="E1029" s="77"/>
      <c r="F1029" s="77"/>
      <c r="G1029" s="77"/>
      <c r="H1029" s="77"/>
      <c r="I1029" s="77"/>
      <c r="J1029" s="78"/>
      <c r="K1029" s="79"/>
      <c r="L1029" s="79"/>
      <c r="M1029" s="79"/>
    </row>
    <row r="1030" spans="2:13">
      <c r="B1030" s="76"/>
      <c r="C1030" s="77"/>
      <c r="D1030" s="77"/>
      <c r="E1030" s="77"/>
      <c r="F1030" s="77"/>
      <c r="G1030" s="77"/>
      <c r="H1030" s="77"/>
      <c r="I1030" s="77"/>
      <c r="J1030" s="78"/>
      <c r="K1030" s="79"/>
      <c r="L1030" s="79"/>
      <c r="M1030" s="79"/>
    </row>
    <row r="1031" spans="2:13">
      <c r="B1031" s="76"/>
      <c r="C1031" s="77"/>
      <c r="D1031" s="77"/>
      <c r="E1031" s="77"/>
      <c r="F1031" s="77"/>
      <c r="G1031" s="77"/>
      <c r="H1031" s="77"/>
      <c r="I1031" s="77"/>
      <c r="J1031" s="78"/>
      <c r="K1031" s="79"/>
      <c r="L1031" s="79"/>
      <c r="M1031" s="79"/>
    </row>
    <row r="1032" spans="2:13">
      <c r="B1032" s="76"/>
      <c r="C1032" s="77"/>
      <c r="D1032" s="77"/>
      <c r="E1032" s="77"/>
      <c r="F1032" s="77"/>
      <c r="G1032" s="77"/>
      <c r="H1032" s="77"/>
      <c r="I1032" s="77"/>
      <c r="J1032" s="78"/>
      <c r="K1032" s="79"/>
      <c r="L1032" s="79"/>
      <c r="M1032" s="79"/>
    </row>
    <row r="1033" spans="2:13">
      <c r="B1033" s="80"/>
      <c r="C1033" s="81"/>
      <c r="D1033" s="81"/>
      <c r="E1033" s="81"/>
      <c r="F1033" s="81"/>
      <c r="G1033" s="81"/>
      <c r="H1033" s="81"/>
      <c r="I1033" s="81"/>
      <c r="J1033" s="83"/>
      <c r="K1033" s="79"/>
      <c r="L1033" s="79"/>
      <c r="M1033" s="79"/>
    </row>
    <row r="1034" spans="2:13">
      <c r="B1034" s="80"/>
      <c r="C1034" s="81"/>
      <c r="D1034" s="81"/>
      <c r="E1034" s="81"/>
      <c r="F1034" s="81"/>
      <c r="G1034" s="81"/>
      <c r="H1034" s="81"/>
      <c r="I1034" s="81"/>
      <c r="J1034" s="83"/>
    </row>
    <row r="1035" spans="2:13">
      <c r="B1035" s="80"/>
      <c r="C1035" s="81"/>
      <c r="D1035" s="81"/>
      <c r="E1035" s="81"/>
      <c r="F1035" s="81"/>
      <c r="G1035" s="81"/>
      <c r="H1035" s="81"/>
      <c r="I1035" s="81"/>
      <c r="J1035" s="83"/>
    </row>
    <row r="1036" spans="2:13">
      <c r="B1036" s="82"/>
    </row>
    <row r="1037" spans="2:13">
      <c r="B1037" s="82"/>
    </row>
    <row r="1038" spans="2:13">
      <c r="B1038" s="82"/>
    </row>
    <row r="1039" spans="2:13">
      <c r="B1039" s="82"/>
    </row>
    <row r="1040" spans="2:13">
      <c r="B1040" s="82"/>
    </row>
    <row r="1041" spans="2:2">
      <c r="B1041" s="82"/>
    </row>
    <row r="1042" spans="2:2">
      <c r="B1042" s="82"/>
    </row>
    <row r="1043" spans="2:2">
      <c r="B1043" s="82"/>
    </row>
    <row r="1044" spans="2:2">
      <c r="B1044" s="82"/>
    </row>
    <row r="1045" spans="2:2">
      <c r="B1045" s="82"/>
    </row>
    <row r="1046" spans="2:2">
      <c r="B1046" s="82"/>
    </row>
    <row r="1047" spans="2:2">
      <c r="B1047" s="82"/>
    </row>
    <row r="1048" spans="2:2">
      <c r="B1048" s="82"/>
    </row>
    <row r="1049" spans="2:2">
      <c r="B1049" s="82"/>
    </row>
    <row r="1050" spans="2:2">
      <c r="B1050" s="82"/>
    </row>
    <row r="1051" spans="2:2">
      <c r="B1051" s="82"/>
    </row>
    <row r="1052" spans="2:2">
      <c r="B1052" s="82"/>
    </row>
    <row r="1053" spans="2:2">
      <c r="B1053" s="82"/>
    </row>
    <row r="1054" spans="2:2">
      <c r="B1054" s="82"/>
    </row>
    <row r="1055" spans="2:2">
      <c r="B1055" s="82"/>
    </row>
    <row r="1056" spans="2:2">
      <c r="B1056" s="82"/>
    </row>
    <row r="1057" spans="2:2">
      <c r="B1057" s="82"/>
    </row>
    <row r="1058" spans="2:2">
      <c r="B1058" s="82"/>
    </row>
    <row r="1059" spans="2:2">
      <c r="B1059" s="82"/>
    </row>
    <row r="1060" spans="2:2">
      <c r="B1060" s="82"/>
    </row>
    <row r="1061" spans="2:2">
      <c r="B1061" s="82"/>
    </row>
    <row r="1062" spans="2:2">
      <c r="B1062" s="82"/>
    </row>
    <row r="1063" spans="2:2">
      <c r="B1063" s="82"/>
    </row>
    <row r="1064" spans="2:2">
      <c r="B1064" s="82"/>
    </row>
    <row r="1065" spans="2:2">
      <c r="B1065" s="82"/>
    </row>
    <row r="1066" spans="2:2">
      <c r="B1066" s="82"/>
    </row>
    <row r="1067" spans="2:2">
      <c r="B1067" s="82"/>
    </row>
    <row r="1068" spans="2:2">
      <c r="B1068" s="82"/>
    </row>
    <row r="1069" spans="2:2">
      <c r="B1069" s="82"/>
    </row>
    <row r="1070" spans="2:2">
      <c r="B1070" s="82"/>
    </row>
    <row r="1071" spans="2:2">
      <c r="B1071" s="82"/>
    </row>
    <row r="1072" spans="2:2">
      <c r="B1072" s="82"/>
    </row>
    <row r="1073" spans="2:2">
      <c r="B1073" s="82"/>
    </row>
    <row r="1074" spans="2:2">
      <c r="B1074" s="82"/>
    </row>
    <row r="1075" spans="2:2">
      <c r="B1075" s="82"/>
    </row>
    <row r="1076" spans="2:2">
      <c r="B1076" s="82"/>
    </row>
    <row r="1077" spans="2:2">
      <c r="B1077" s="82"/>
    </row>
    <row r="1078" spans="2:2">
      <c r="B1078" s="82"/>
    </row>
    <row r="1079" spans="2:2">
      <c r="B1079" s="82"/>
    </row>
    <row r="1080" spans="2:2">
      <c r="B1080" s="82"/>
    </row>
    <row r="1081" spans="2:2">
      <c r="B1081" s="82"/>
    </row>
    <row r="1082" spans="2:2">
      <c r="B1082" s="82"/>
    </row>
    <row r="1083" spans="2:2">
      <c r="B1083" s="82"/>
    </row>
    <row r="1084" spans="2:2">
      <c r="B1084" s="82"/>
    </row>
    <row r="1085" spans="2:2">
      <c r="B1085" s="82"/>
    </row>
    <row r="1086" spans="2:2">
      <c r="B1086" s="82"/>
    </row>
    <row r="1087" spans="2:2">
      <c r="B1087" s="82"/>
    </row>
    <row r="1088" spans="2:2">
      <c r="B1088" s="82"/>
    </row>
    <row r="1089" spans="2:2">
      <c r="B1089" s="82"/>
    </row>
    <row r="1090" spans="2:2">
      <c r="B1090" s="82"/>
    </row>
    <row r="1091" spans="2:2">
      <c r="B1091" s="82"/>
    </row>
    <row r="1092" spans="2:2">
      <c r="B1092" s="82"/>
    </row>
    <row r="1093" spans="2:2">
      <c r="B1093" s="82"/>
    </row>
    <row r="1094" spans="2:2">
      <c r="B1094" s="82"/>
    </row>
    <row r="1095" spans="2:2">
      <c r="B1095" s="82"/>
    </row>
    <row r="1096" spans="2:2">
      <c r="B1096" s="82"/>
    </row>
    <row r="1097" spans="2:2">
      <c r="B1097" s="82"/>
    </row>
    <row r="1098" spans="2:2">
      <c r="B1098" s="82"/>
    </row>
    <row r="1099" spans="2:2">
      <c r="B1099" s="82"/>
    </row>
    <row r="1100" spans="2:2">
      <c r="B1100" s="82"/>
    </row>
    <row r="1101" spans="2:2">
      <c r="B1101" s="82"/>
    </row>
    <row r="1102" spans="2:2">
      <c r="B1102" s="82"/>
    </row>
    <row r="1103" spans="2:2">
      <c r="B1103" s="82"/>
    </row>
    <row r="1104" spans="2:2">
      <c r="B1104" s="82"/>
    </row>
    <row r="1105" spans="2:2">
      <c r="B1105" s="82"/>
    </row>
    <row r="1106" spans="2:2">
      <c r="B1106" s="82"/>
    </row>
    <row r="1107" spans="2:2">
      <c r="B1107" s="82"/>
    </row>
    <row r="1108" spans="2:2">
      <c r="B1108" s="82"/>
    </row>
    <row r="1109" spans="2:2">
      <c r="B1109" s="82"/>
    </row>
    <row r="1110" spans="2:2">
      <c r="B1110" s="82"/>
    </row>
    <row r="1111" spans="2:2">
      <c r="B1111" s="82"/>
    </row>
    <row r="1112" spans="2:2">
      <c r="B1112" s="82"/>
    </row>
    <row r="1113" spans="2:2">
      <c r="B1113" s="82"/>
    </row>
    <row r="1114" spans="2:2">
      <c r="B1114" s="82"/>
    </row>
    <row r="1115" spans="2:2">
      <c r="B1115" s="82"/>
    </row>
    <row r="1116" spans="2:2">
      <c r="B1116" s="82"/>
    </row>
    <row r="1117" spans="2:2">
      <c r="B1117" s="82"/>
    </row>
    <row r="1118" spans="2:2">
      <c r="B1118" s="82"/>
    </row>
    <row r="1119" spans="2:2">
      <c r="B1119" s="82"/>
    </row>
    <row r="1120" spans="2:2">
      <c r="B1120" s="82"/>
    </row>
    <row r="1121" spans="2:2">
      <c r="B1121" s="82"/>
    </row>
    <row r="1122" spans="2:2">
      <c r="B1122" s="82"/>
    </row>
    <row r="1123" spans="2:2">
      <c r="B1123" s="82"/>
    </row>
    <row r="1124" spans="2:2">
      <c r="B1124" s="82"/>
    </row>
    <row r="1125" spans="2:2">
      <c r="B1125" s="82"/>
    </row>
    <row r="1126" spans="2:2">
      <c r="B1126" s="82"/>
    </row>
    <row r="1127" spans="2:2">
      <c r="B1127" s="82"/>
    </row>
    <row r="1128" spans="2:2">
      <c r="B1128" s="82"/>
    </row>
    <row r="1129" spans="2:2">
      <c r="B1129" s="82"/>
    </row>
    <row r="1130" spans="2:2">
      <c r="B1130" s="82"/>
    </row>
    <row r="1131" spans="2:2">
      <c r="B1131" s="82"/>
    </row>
    <row r="1132" spans="2:2">
      <c r="B1132" s="82"/>
    </row>
    <row r="1133" spans="2:2">
      <c r="B1133" s="82"/>
    </row>
    <row r="1134" spans="2:2">
      <c r="B1134" s="82"/>
    </row>
    <row r="1135" spans="2:2">
      <c r="B1135" s="82"/>
    </row>
    <row r="1136" spans="2:2">
      <c r="B1136" s="82"/>
    </row>
    <row r="1137" spans="2:2">
      <c r="B1137" s="82"/>
    </row>
    <row r="1138" spans="2:2">
      <c r="B1138" s="82"/>
    </row>
    <row r="1139" spans="2:2">
      <c r="B1139" s="82"/>
    </row>
    <row r="1140" spans="2:2">
      <c r="B1140" s="82"/>
    </row>
    <row r="1141" spans="2:2">
      <c r="B1141" s="82"/>
    </row>
    <row r="1142" spans="2:2">
      <c r="B1142" s="82"/>
    </row>
    <row r="1143" spans="2:2">
      <c r="B1143" s="82"/>
    </row>
    <row r="1144" spans="2:2">
      <c r="B1144" s="82"/>
    </row>
    <row r="1145" spans="2:2">
      <c r="B1145" s="82"/>
    </row>
    <row r="1146" spans="2:2">
      <c r="B1146" s="82"/>
    </row>
    <row r="1147" spans="2:2">
      <c r="B1147" s="82"/>
    </row>
  </sheetData>
  <mergeCells count="548">
    <mergeCell ref="B2:I2"/>
    <mergeCell ref="B4:C4"/>
    <mergeCell ref="E4:G4"/>
    <mergeCell ref="B5:C5"/>
    <mergeCell ref="E5:G5"/>
    <mergeCell ref="B6:C6"/>
    <mergeCell ref="E6:G6"/>
    <mergeCell ref="B7:G7"/>
    <mergeCell ref="B8:C8"/>
    <mergeCell ref="E8:G8"/>
    <mergeCell ref="B9:C9"/>
    <mergeCell ref="E9:G9"/>
    <mergeCell ref="B10:C10"/>
    <mergeCell ref="E10:G10"/>
    <mergeCell ref="B12:G12"/>
    <mergeCell ref="B13:C13"/>
    <mergeCell ref="E13:G13"/>
    <mergeCell ref="B14:C14"/>
    <mergeCell ref="E14:G14"/>
    <mergeCell ref="B15:C15"/>
    <mergeCell ref="E15:G15"/>
    <mergeCell ref="B17:C17"/>
    <mergeCell ref="E17:F17"/>
    <mergeCell ref="B19:C19"/>
    <mergeCell ref="E19:F19"/>
    <mergeCell ref="B20:C20"/>
    <mergeCell ref="E20:F20"/>
    <mergeCell ref="B21:C21"/>
    <mergeCell ref="E21:F21"/>
    <mergeCell ref="B22:C22"/>
    <mergeCell ref="E22:F22"/>
    <mergeCell ref="B23:C23"/>
    <mergeCell ref="E23:F23"/>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2:D72"/>
    <mergeCell ref="C73:D73"/>
    <mergeCell ref="C74:D74"/>
    <mergeCell ref="C75:D75"/>
    <mergeCell ref="C76:D76"/>
    <mergeCell ref="C77:D77"/>
    <mergeCell ref="C78:D78"/>
    <mergeCell ref="C79:D79"/>
    <mergeCell ref="C80:D80"/>
    <mergeCell ref="C81:D81"/>
    <mergeCell ref="C82:D82"/>
    <mergeCell ref="C83:D83"/>
    <mergeCell ref="C84:D84"/>
    <mergeCell ref="C85:D85"/>
    <mergeCell ref="C86:D86"/>
    <mergeCell ref="C87:D87"/>
    <mergeCell ref="C88:D88"/>
    <mergeCell ref="C89:D89"/>
    <mergeCell ref="C90:D90"/>
    <mergeCell ref="C91:D91"/>
    <mergeCell ref="C92:D92"/>
    <mergeCell ref="C93:D93"/>
    <mergeCell ref="C94:D94"/>
    <mergeCell ref="C95:D95"/>
    <mergeCell ref="C96:D96"/>
    <mergeCell ref="C97:D97"/>
    <mergeCell ref="C98:D98"/>
    <mergeCell ref="C99:D99"/>
    <mergeCell ref="C100:D100"/>
    <mergeCell ref="C101:D101"/>
    <mergeCell ref="C102:D102"/>
    <mergeCell ref="C103:D103"/>
    <mergeCell ref="C104:D104"/>
    <mergeCell ref="C105:D105"/>
    <mergeCell ref="C106:D106"/>
    <mergeCell ref="C107:D107"/>
    <mergeCell ref="C108:D108"/>
    <mergeCell ref="C109:D109"/>
    <mergeCell ref="C110:D110"/>
    <mergeCell ref="C111:D111"/>
    <mergeCell ref="C112:D112"/>
    <mergeCell ref="C113:D113"/>
    <mergeCell ref="C114:D114"/>
    <mergeCell ref="C115:D115"/>
    <mergeCell ref="C116:D116"/>
    <mergeCell ref="C117:D117"/>
    <mergeCell ref="C118:D118"/>
    <mergeCell ref="C119:D119"/>
    <mergeCell ref="C120:D120"/>
    <mergeCell ref="C121:D121"/>
    <mergeCell ref="C122:D122"/>
    <mergeCell ref="C123:D123"/>
    <mergeCell ref="C124:D124"/>
    <mergeCell ref="C125:D125"/>
    <mergeCell ref="C126:D126"/>
    <mergeCell ref="C127:D127"/>
    <mergeCell ref="C128:D128"/>
    <mergeCell ref="C129:D129"/>
    <mergeCell ref="C130:D130"/>
    <mergeCell ref="C131:D131"/>
    <mergeCell ref="C132:D132"/>
    <mergeCell ref="C133:D133"/>
    <mergeCell ref="C134:D134"/>
    <mergeCell ref="C135:D135"/>
    <mergeCell ref="C136:D136"/>
    <mergeCell ref="C137:D137"/>
    <mergeCell ref="C138:D138"/>
    <mergeCell ref="C139:D139"/>
    <mergeCell ref="C140:D140"/>
    <mergeCell ref="C141:D141"/>
    <mergeCell ref="C142:D142"/>
    <mergeCell ref="C143:D143"/>
    <mergeCell ref="C144:D144"/>
    <mergeCell ref="C145:D145"/>
    <mergeCell ref="C146:D146"/>
    <mergeCell ref="C147:D147"/>
    <mergeCell ref="C148:D148"/>
    <mergeCell ref="C149:D149"/>
    <mergeCell ref="C150:D150"/>
    <mergeCell ref="C151:D151"/>
    <mergeCell ref="C152:D152"/>
    <mergeCell ref="C153:D153"/>
    <mergeCell ref="C154:D154"/>
    <mergeCell ref="C155:D155"/>
    <mergeCell ref="C156:D156"/>
    <mergeCell ref="C157:D157"/>
    <mergeCell ref="C158:D158"/>
    <mergeCell ref="C159:D159"/>
    <mergeCell ref="C160:D160"/>
    <mergeCell ref="C161:D161"/>
    <mergeCell ref="C162:D162"/>
    <mergeCell ref="C163:D163"/>
    <mergeCell ref="C164:D164"/>
    <mergeCell ref="C165:D165"/>
    <mergeCell ref="C166:D166"/>
    <mergeCell ref="C167:D167"/>
    <mergeCell ref="C168:D168"/>
    <mergeCell ref="C169:D169"/>
    <mergeCell ref="C170:D170"/>
    <mergeCell ref="C171:D171"/>
    <mergeCell ref="C172:D172"/>
    <mergeCell ref="C173:D173"/>
    <mergeCell ref="C174:D174"/>
    <mergeCell ref="C175:D175"/>
    <mergeCell ref="C176:D176"/>
    <mergeCell ref="C177:D177"/>
    <mergeCell ref="C178:D178"/>
    <mergeCell ref="C179:D179"/>
    <mergeCell ref="C180:D180"/>
    <mergeCell ref="C181:D181"/>
    <mergeCell ref="C182:D182"/>
    <mergeCell ref="C183:D183"/>
    <mergeCell ref="C184:D184"/>
    <mergeCell ref="C185:D185"/>
    <mergeCell ref="C186:D186"/>
    <mergeCell ref="C187:D187"/>
    <mergeCell ref="C188:D188"/>
    <mergeCell ref="C189:D189"/>
    <mergeCell ref="C190:D190"/>
    <mergeCell ref="C191:D191"/>
    <mergeCell ref="C192:D192"/>
    <mergeCell ref="C193:D193"/>
    <mergeCell ref="C194:D194"/>
    <mergeCell ref="C195:D195"/>
    <mergeCell ref="C196:D196"/>
    <mergeCell ref="C197:D197"/>
    <mergeCell ref="C198:D198"/>
    <mergeCell ref="C199:D199"/>
    <mergeCell ref="C200:D200"/>
    <mergeCell ref="C201:D201"/>
    <mergeCell ref="C202:D202"/>
    <mergeCell ref="C203:D203"/>
    <mergeCell ref="C204:D204"/>
    <mergeCell ref="C205:D205"/>
    <mergeCell ref="C206:D206"/>
    <mergeCell ref="C207:D207"/>
    <mergeCell ref="C208:D208"/>
    <mergeCell ref="C209:D209"/>
    <mergeCell ref="C210:D210"/>
    <mergeCell ref="C211:D211"/>
    <mergeCell ref="C212:D212"/>
    <mergeCell ref="C213:D213"/>
    <mergeCell ref="C214:D214"/>
    <mergeCell ref="C215:D215"/>
    <mergeCell ref="C216:D216"/>
    <mergeCell ref="C217:D217"/>
    <mergeCell ref="C218:D218"/>
    <mergeCell ref="C219:D219"/>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C235:D235"/>
    <mergeCell ref="C236:D236"/>
    <mergeCell ref="C237:D237"/>
    <mergeCell ref="C238:D238"/>
    <mergeCell ref="C239:D239"/>
    <mergeCell ref="C240:D240"/>
    <mergeCell ref="C241:D241"/>
    <mergeCell ref="C242:D242"/>
    <mergeCell ref="C243:D243"/>
    <mergeCell ref="C244:D244"/>
    <mergeCell ref="C245:D245"/>
    <mergeCell ref="C246:D246"/>
    <mergeCell ref="C247:D247"/>
    <mergeCell ref="C248:D248"/>
    <mergeCell ref="C249:D249"/>
    <mergeCell ref="C250:D250"/>
    <mergeCell ref="C251:D251"/>
    <mergeCell ref="C252:D252"/>
    <mergeCell ref="C253:D253"/>
    <mergeCell ref="C254:D254"/>
    <mergeCell ref="C255:D255"/>
    <mergeCell ref="C256:D256"/>
    <mergeCell ref="C257:D257"/>
    <mergeCell ref="C258:D258"/>
    <mergeCell ref="C259:D259"/>
    <mergeCell ref="C260:D260"/>
    <mergeCell ref="C261:D261"/>
    <mergeCell ref="C262:D262"/>
    <mergeCell ref="C263:D263"/>
    <mergeCell ref="C264:D264"/>
    <mergeCell ref="C265:D265"/>
    <mergeCell ref="C266:D266"/>
    <mergeCell ref="C267:D267"/>
    <mergeCell ref="C268:D268"/>
    <mergeCell ref="C269:D269"/>
    <mergeCell ref="C270:D270"/>
    <mergeCell ref="C271:D271"/>
    <mergeCell ref="C272:D272"/>
    <mergeCell ref="C273:D273"/>
    <mergeCell ref="C274:D274"/>
    <mergeCell ref="C275:D275"/>
    <mergeCell ref="C276:D276"/>
    <mergeCell ref="C277:D277"/>
    <mergeCell ref="C278:D278"/>
    <mergeCell ref="C279:D279"/>
    <mergeCell ref="C280:D280"/>
    <mergeCell ref="C281:D281"/>
    <mergeCell ref="C282:D282"/>
    <mergeCell ref="C283:D283"/>
    <mergeCell ref="C284:D284"/>
    <mergeCell ref="C285:D285"/>
    <mergeCell ref="C286:D286"/>
    <mergeCell ref="C287:D287"/>
    <mergeCell ref="C288:D288"/>
    <mergeCell ref="C289:D289"/>
    <mergeCell ref="C290:D290"/>
    <mergeCell ref="C291:D291"/>
    <mergeCell ref="C292:D292"/>
    <mergeCell ref="C293:D293"/>
    <mergeCell ref="C294:D294"/>
    <mergeCell ref="C295:D295"/>
    <mergeCell ref="C296:D296"/>
    <mergeCell ref="C297:D297"/>
    <mergeCell ref="C298:D298"/>
    <mergeCell ref="C299:D299"/>
    <mergeCell ref="C300:D300"/>
    <mergeCell ref="C301:D301"/>
    <mergeCell ref="C302:D302"/>
    <mergeCell ref="C303:D303"/>
    <mergeCell ref="C304:D304"/>
    <mergeCell ref="C305:D305"/>
    <mergeCell ref="C306:D306"/>
    <mergeCell ref="C307:D307"/>
    <mergeCell ref="C308:D308"/>
    <mergeCell ref="C309:D309"/>
    <mergeCell ref="C310:D310"/>
    <mergeCell ref="C311:D311"/>
    <mergeCell ref="C312:D312"/>
    <mergeCell ref="C313:D313"/>
    <mergeCell ref="C314:D314"/>
    <mergeCell ref="C315:D315"/>
    <mergeCell ref="C316:D316"/>
    <mergeCell ref="C317:D317"/>
    <mergeCell ref="C318:D318"/>
    <mergeCell ref="C319:D319"/>
    <mergeCell ref="C320:D320"/>
    <mergeCell ref="C321:D321"/>
    <mergeCell ref="C322:D322"/>
    <mergeCell ref="C323:D323"/>
    <mergeCell ref="C324:D324"/>
    <mergeCell ref="C325:D325"/>
    <mergeCell ref="C326:D326"/>
    <mergeCell ref="C327:D327"/>
    <mergeCell ref="C328:D328"/>
    <mergeCell ref="C329:D329"/>
    <mergeCell ref="C330:D330"/>
    <mergeCell ref="C331:D331"/>
    <mergeCell ref="C332:D332"/>
    <mergeCell ref="C333:D333"/>
    <mergeCell ref="C334:D334"/>
    <mergeCell ref="C335:D335"/>
    <mergeCell ref="C336:D336"/>
    <mergeCell ref="C337:D337"/>
    <mergeCell ref="C338:D338"/>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58:D358"/>
    <mergeCell ref="C359:D359"/>
    <mergeCell ref="C360:D360"/>
    <mergeCell ref="C361:D361"/>
    <mergeCell ref="C362:D362"/>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384:D384"/>
    <mergeCell ref="C385:D385"/>
    <mergeCell ref="C386:D386"/>
    <mergeCell ref="C387:D387"/>
    <mergeCell ref="C388:D388"/>
    <mergeCell ref="C389:D389"/>
    <mergeCell ref="C390:D390"/>
    <mergeCell ref="C391:D391"/>
    <mergeCell ref="C392:D392"/>
    <mergeCell ref="C393:D393"/>
    <mergeCell ref="C394:D394"/>
    <mergeCell ref="C395:D395"/>
    <mergeCell ref="C396:D396"/>
    <mergeCell ref="C397:D397"/>
    <mergeCell ref="C398:D398"/>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22:D422"/>
    <mergeCell ref="C423:D423"/>
    <mergeCell ref="C424:D424"/>
    <mergeCell ref="C425:D425"/>
    <mergeCell ref="C426:D426"/>
    <mergeCell ref="C427:D427"/>
    <mergeCell ref="C428:D428"/>
    <mergeCell ref="C429:D429"/>
    <mergeCell ref="C430:D430"/>
    <mergeCell ref="C431:D431"/>
    <mergeCell ref="C432:D432"/>
    <mergeCell ref="C433:D433"/>
    <mergeCell ref="C434:D434"/>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51:D451"/>
    <mergeCell ref="C452:D452"/>
    <mergeCell ref="C453:D453"/>
    <mergeCell ref="C454:D454"/>
    <mergeCell ref="C455:D455"/>
    <mergeCell ref="C456:D456"/>
    <mergeCell ref="C457:D457"/>
    <mergeCell ref="C458:D458"/>
    <mergeCell ref="C459:D459"/>
    <mergeCell ref="C460:D460"/>
    <mergeCell ref="C461:D461"/>
    <mergeCell ref="C462:D462"/>
    <mergeCell ref="C463:D463"/>
    <mergeCell ref="C464:D464"/>
    <mergeCell ref="C465:D465"/>
    <mergeCell ref="C466:D466"/>
    <mergeCell ref="C467:D467"/>
    <mergeCell ref="C468:D468"/>
    <mergeCell ref="C469:D469"/>
    <mergeCell ref="C470:D470"/>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489:D489"/>
    <mergeCell ref="C490:D490"/>
    <mergeCell ref="C491:D491"/>
    <mergeCell ref="C492:D492"/>
    <mergeCell ref="C493:D493"/>
    <mergeCell ref="C494:D494"/>
    <mergeCell ref="C495:D495"/>
    <mergeCell ref="C496:D496"/>
    <mergeCell ref="C497:D497"/>
    <mergeCell ref="C498:D498"/>
    <mergeCell ref="C499:D499"/>
    <mergeCell ref="C500:D500"/>
    <mergeCell ref="C501:D501"/>
    <mergeCell ref="C502:D502"/>
    <mergeCell ref="C503:D503"/>
    <mergeCell ref="C504:D504"/>
    <mergeCell ref="C505:D505"/>
    <mergeCell ref="C506:D506"/>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K30:K31"/>
    <mergeCell ref="L30:L31"/>
    <mergeCell ref="M30:M31"/>
    <mergeCell ref="N30:N31"/>
    <mergeCell ref="O30:O31"/>
    <mergeCell ref="C30:D31"/>
    <mergeCell ref="C532:D532"/>
    <mergeCell ref="C533:D533"/>
    <mergeCell ref="B30:B31"/>
    <mergeCell ref="E30:E31"/>
    <mergeCell ref="F30:F31"/>
    <mergeCell ref="G30:G31"/>
    <mergeCell ref="H30:H31"/>
    <mergeCell ref="I30:I31"/>
    <mergeCell ref="J30:J31"/>
    <mergeCell ref="C523:D523"/>
    <mergeCell ref="C524:D524"/>
    <mergeCell ref="C525:D525"/>
    <mergeCell ref="C526:D526"/>
    <mergeCell ref="C527:D527"/>
    <mergeCell ref="C528:D528"/>
    <mergeCell ref="C529:D529"/>
    <mergeCell ref="C530:D530"/>
    <mergeCell ref="C531:D531"/>
  </mergeCells>
  <conditionalFormatting sqref="O32">
    <cfRule type="cellIs" dxfId="11" priority="3" operator="equal">
      <formula>""</formula>
    </cfRule>
    <cfRule type="cellIs" dxfId="10" priority="4" operator="equal">
      <formula>"ACC"</formula>
    </cfRule>
  </conditionalFormatting>
  <conditionalFormatting sqref="M32:M533">
    <cfRule type="expression" dxfId="9" priority="24" stopIfTrue="1">
      <formula>IF(OR($M32="",$H32=""),"",IF(AND($M32="Fix",$H32="ACC"),1,IF(AND($M32="Not Fix",OR($H32="CLAD",$H32="REJ",$H32="DUP")),1,0)))=0</formula>
    </cfRule>
    <cfRule type="expression" dxfId="8" priority="19" stopIfTrue="1">
      <formula>IF(OR($M32="",$H32=""),"",IF(AND($M32="Fix",$H32="ACC"),1,IF(AND($M32="Not Fix",OR($H32="CLAD",$H32="REJ",$H32="DUP")),1,0)))=0</formula>
    </cfRule>
    <cfRule type="cellIs" dxfId="7" priority="16" operator="notEqual">
      <formula>""</formula>
    </cfRule>
  </conditionalFormatting>
  <conditionalFormatting sqref="N32:N533">
    <cfRule type="cellIs" dxfId="6" priority="6" stopIfTrue="1" operator="notEqual">
      <formula>""</formula>
    </cfRule>
    <cfRule type="expression" dxfId="5" priority="5" stopIfTrue="1">
      <formula>IF(OR($N32="",$H32=""),"",IF(AND($N32="Fix",$H32="ACC"),1,IF(AND($M32="Not Fix",OR($H32="CLAD",$H32="REJ",$H32="DUP")),1,0)))=0</formula>
    </cfRule>
  </conditionalFormatting>
  <conditionalFormatting sqref="O32:O533">
    <cfRule type="cellIs" dxfId="4" priority="7" stopIfTrue="1" operator="equal">
      <formula>"REJ"</formula>
    </cfRule>
  </conditionalFormatting>
  <conditionalFormatting sqref="O33:O533">
    <cfRule type="cellIs" dxfId="3" priority="1" operator="equal">
      <formula>""</formula>
    </cfRule>
    <cfRule type="cellIs" dxfId="2" priority="2" operator="equal">
      <formula>"ACC"</formula>
    </cfRule>
  </conditionalFormatting>
  <conditionalFormatting sqref="E8:G10 E13:G15 H17 H20 H22">
    <cfRule type="cellIs" dxfId="1" priority="532" stopIfTrue="1" operator="equal">
      <formula>""</formula>
    </cfRule>
  </conditionalFormatting>
  <conditionalFormatting sqref="B32:M533">
    <cfRule type="cellIs" dxfId="0" priority="533" stopIfTrue="1" operator="notEqual">
      <formula>""</formula>
    </cfRule>
  </conditionalFormatting>
  <dataValidations count="13">
    <dataValidation type="date" operator="greaterThan" allowBlank="1" showInputMessage="1" showErrorMessage="1" sqref="E8:G8 E13:G13" xr:uid="{00000000-0002-0000-0300-000000000000}">
      <formula1>32874</formula1>
    </dataValidation>
    <dataValidation type="list" allowBlank="1" showInputMessage="1" showErrorMessage="1" sqref="M32:M533" xr:uid="{00000000-0002-0000-0300-000001000000}">
      <formula1>"Current Rel, Previous Rel"</formula1>
    </dataValidation>
    <dataValidation type="list" allowBlank="1" showInputMessage="1" showErrorMessage="1" sqref="E9:G9" xr:uid="{00000000-0002-0000-0300-000002000000}">
      <formula1>"Meeting, No Meeting, Postpone, "</formula1>
    </dataValidation>
    <dataValidation type="whole" allowBlank="1" showInputMessage="1" showErrorMessage="1" sqref="H17" xr:uid="{00000000-0002-0000-0300-000003000000}">
      <formula1>0</formula1>
      <formula2>50</formula2>
    </dataValidation>
    <dataValidation type="list" allowBlank="1" showInputMessage="1" showErrorMessage="1" sqref="E14:G14" xr:uid="{00000000-0002-0000-0300-000004000000}">
      <formula1>"Release, Moderator follow-up, Re-inspecting, Postpone, "</formula1>
    </dataValidation>
    <dataValidation type="list" allowBlank="1" showInputMessage="1" showErrorMessage="1" sqref="E32:E533" xr:uid="{00000000-0002-0000-0300-000005000000}">
      <formula1>$R$1:$R$5</formula1>
    </dataValidation>
    <dataValidation type="list" allowBlank="1" showInputMessage="1" showErrorMessage="1" sqref="F32:F533" xr:uid="{00000000-0002-0000-0300-000006000000}">
      <formula1>Phase_Injected</formula1>
    </dataValidation>
    <dataValidation type="list" allowBlank="1" showInputMessage="1" showErrorMessage="1" sqref="H32:H533" xr:uid="{00000000-0002-0000-0300-000007000000}">
      <formula1>$Q$1:$Q$4</formula1>
    </dataValidation>
    <dataValidation type="list" allowBlank="1" showInputMessage="1" showErrorMessage="1" sqref="F534:F1033" xr:uid="{00000000-0002-0000-0300-000008000000}">
      <formula1>Inspection_log</formula1>
    </dataValidation>
    <dataValidation type="list" allowBlank="1" showInputMessage="1" showErrorMessage="1" sqref="G32:G533" xr:uid="{00000000-0002-0000-0300-000009000000}">
      <formula1>$P$1:$P$4</formula1>
    </dataValidation>
    <dataValidation type="list" allowBlank="1" showInputMessage="1" sqref="K32:K533" xr:uid="{00000000-0002-0000-0300-00000A000000}">
      <formula1>Primary_Cause</formula1>
    </dataValidation>
    <dataValidation type="list" allowBlank="1" showInputMessage="1" showErrorMessage="1" sqref="N32:N533" xr:uid="{00000000-0002-0000-0300-00000B000000}">
      <formula1>"Fix, Not Fix"</formula1>
    </dataValidation>
    <dataValidation type="list" allowBlank="1" showInputMessage="1" showErrorMessage="1" sqref="O32:O533" xr:uid="{00000000-0002-0000-0300-00000C000000}">
      <formula1>"ACC, REJ"</formula1>
    </dataValidation>
  </dataValidations>
  <pageMargins left="0.75" right="0.75" top="1" bottom="1" header="0.5" footer="0.5"/>
  <pageSetup orientation="portrait"/>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34"/>
    <col min="2" max="2" width="31.5703125" style="34" customWidth="1"/>
    <col min="3" max="3" width="90.7109375" style="34" customWidth="1"/>
    <col min="4" max="16384" width="9.28515625" style="34"/>
  </cols>
  <sheetData>
    <row r="1" spans="1:3" ht="19.5" customHeight="1">
      <c r="A1" s="253" t="s">
        <v>250</v>
      </c>
      <c r="B1" s="35"/>
      <c r="C1" s="36" t="s">
        <v>251</v>
      </c>
    </row>
    <row r="2" spans="1:3" ht="21" customHeight="1">
      <c r="A2" s="254"/>
      <c r="B2" s="37"/>
      <c r="C2" s="36" t="s">
        <v>252</v>
      </c>
    </row>
    <row r="3" spans="1:3" ht="13.9">
      <c r="A3" s="38"/>
      <c r="B3" s="39"/>
      <c r="C3" s="40"/>
    </row>
    <row r="4" spans="1:3" ht="13.9">
      <c r="A4" s="41" t="s">
        <v>253</v>
      </c>
      <c r="B4" s="42" t="s">
        <v>254</v>
      </c>
      <c r="C4" s="43"/>
    </row>
    <row r="5" spans="1:3" ht="13.9">
      <c r="A5" s="38"/>
      <c r="B5" s="44" t="s">
        <v>255</v>
      </c>
      <c r="C5" s="45" t="s">
        <v>256</v>
      </c>
    </row>
    <row r="6" spans="1:3">
      <c r="A6" s="251"/>
      <c r="B6" s="46" t="s">
        <v>25</v>
      </c>
      <c r="C6" s="47" t="s">
        <v>257</v>
      </c>
    </row>
    <row r="7" spans="1:3" ht="34.15">
      <c r="A7" s="251"/>
      <c r="B7" s="48" t="s">
        <v>258</v>
      </c>
      <c r="C7" s="49" t="s">
        <v>259</v>
      </c>
    </row>
    <row r="8" spans="1:3" ht="34.15">
      <c r="A8" s="251"/>
      <c r="B8" s="48" t="s">
        <v>260</v>
      </c>
      <c r="C8" s="49" t="s">
        <v>261</v>
      </c>
    </row>
    <row r="9" spans="1:3" ht="23.65">
      <c r="A9" s="251"/>
      <c r="B9" s="48" t="s">
        <v>262</v>
      </c>
      <c r="C9" s="49" t="s">
        <v>263</v>
      </c>
    </row>
    <row r="10" spans="1:3" ht="13.9">
      <c r="A10" s="50"/>
      <c r="B10" s="51"/>
      <c r="C10" s="52"/>
    </row>
    <row r="11" spans="1:3" ht="13.9">
      <c r="A11" s="41" t="s">
        <v>253</v>
      </c>
      <c r="B11" s="42" t="s">
        <v>11</v>
      </c>
      <c r="C11" s="43"/>
    </row>
    <row r="12" spans="1:3" ht="13.9" outlineLevel="1">
      <c r="A12" s="38"/>
      <c r="B12" s="44" t="s">
        <v>255</v>
      </c>
      <c r="C12" s="45" t="s">
        <v>256</v>
      </c>
    </row>
    <row r="13" spans="1:3" ht="22.9" outlineLevel="1">
      <c r="A13" s="251"/>
      <c r="B13" s="53" t="s">
        <v>264</v>
      </c>
      <c r="C13" s="54" t="s">
        <v>265</v>
      </c>
    </row>
    <row r="14" spans="1:3" ht="22.9" outlineLevel="1">
      <c r="A14" s="251"/>
      <c r="B14" s="48" t="s">
        <v>266</v>
      </c>
      <c r="C14" s="55" t="s">
        <v>267</v>
      </c>
    </row>
    <row r="15" spans="1:3" outlineLevel="1">
      <c r="A15" s="251"/>
      <c r="B15" s="56" t="s">
        <v>25</v>
      </c>
      <c r="C15" s="57" t="s">
        <v>268</v>
      </c>
    </row>
    <row r="16" spans="1:3" outlineLevel="1">
      <c r="A16" s="251"/>
      <c r="B16" s="56" t="s">
        <v>258</v>
      </c>
      <c r="C16" s="57" t="s">
        <v>269</v>
      </c>
    </row>
    <row r="17" spans="1:3" ht="25.15" outlineLevel="1">
      <c r="A17" s="251"/>
      <c r="B17" s="56" t="s">
        <v>260</v>
      </c>
      <c r="C17" s="57" t="s">
        <v>269</v>
      </c>
    </row>
    <row r="18" spans="1:3" outlineLevel="1">
      <c r="A18" s="251"/>
      <c r="B18" s="56" t="s">
        <v>262</v>
      </c>
      <c r="C18" s="57" t="s">
        <v>269</v>
      </c>
    </row>
    <row r="19" spans="1:3" ht="13.9">
      <c r="A19" s="252"/>
      <c r="B19" s="252"/>
      <c r="C19" s="252"/>
    </row>
    <row r="20" spans="1:3" ht="13.9">
      <c r="A20" s="41" t="s">
        <v>253</v>
      </c>
      <c r="B20" s="42" t="s">
        <v>12</v>
      </c>
      <c r="C20" s="43"/>
    </row>
    <row r="21" spans="1:3" ht="13.9" outlineLevel="1">
      <c r="A21" s="58"/>
      <c r="B21" s="44" t="s">
        <v>255</v>
      </c>
      <c r="C21" s="45" t="s">
        <v>256</v>
      </c>
    </row>
    <row r="22" spans="1:3" ht="22.9" outlineLevel="1">
      <c r="A22" s="38"/>
      <c r="B22" s="46" t="s">
        <v>270</v>
      </c>
      <c r="C22" s="59" t="s">
        <v>271</v>
      </c>
    </row>
    <row r="23" spans="1:3" ht="34.15" outlineLevel="1">
      <c r="A23" s="38"/>
      <c r="B23" s="48" t="s">
        <v>166</v>
      </c>
      <c r="C23" s="55" t="s">
        <v>272</v>
      </c>
    </row>
    <row r="24" spans="1:3" ht="34.15" outlineLevel="1">
      <c r="A24" s="38"/>
      <c r="B24" s="48" t="s">
        <v>273</v>
      </c>
      <c r="C24" s="55" t="s">
        <v>274</v>
      </c>
    </row>
    <row r="25" spans="1:3" ht="34.15" outlineLevel="1">
      <c r="A25" s="38"/>
      <c r="B25" s="48" t="s">
        <v>275</v>
      </c>
      <c r="C25" s="55" t="s">
        <v>276</v>
      </c>
    </row>
    <row r="26" spans="1:3" ht="34.15" outlineLevel="1">
      <c r="A26" s="38"/>
      <c r="B26" s="48" t="s">
        <v>277</v>
      </c>
      <c r="C26" s="55" t="s">
        <v>278</v>
      </c>
    </row>
    <row r="27" spans="1:3" outlineLevel="1">
      <c r="A27" s="38"/>
      <c r="B27" s="48" t="s">
        <v>279</v>
      </c>
      <c r="C27" s="55" t="s">
        <v>280</v>
      </c>
    </row>
    <row r="28" spans="1:3" ht="34.15" outlineLevel="1">
      <c r="A28" s="38"/>
      <c r="B28" s="48" t="s">
        <v>281</v>
      </c>
      <c r="C28" s="55" t="s">
        <v>282</v>
      </c>
    </row>
    <row r="29" spans="1:3" ht="25.15" outlineLevel="1">
      <c r="A29" s="38"/>
      <c r="B29" s="48" t="s">
        <v>283</v>
      </c>
      <c r="C29" s="55" t="s">
        <v>284</v>
      </c>
    </row>
    <row r="30" spans="1:3" outlineLevel="1">
      <c r="A30" s="38"/>
      <c r="B30" s="48" t="s">
        <v>285</v>
      </c>
      <c r="C30" s="55" t="s">
        <v>286</v>
      </c>
    </row>
    <row r="31" spans="1:3" outlineLevel="1">
      <c r="A31" s="38"/>
      <c r="B31" s="56" t="s">
        <v>264</v>
      </c>
      <c r="C31" s="57" t="s">
        <v>287</v>
      </c>
    </row>
    <row r="32" spans="1:3" outlineLevel="1">
      <c r="A32" s="38"/>
      <c r="B32" s="56" t="s">
        <v>266</v>
      </c>
      <c r="C32" s="57" t="s">
        <v>269</v>
      </c>
    </row>
    <row r="33" spans="1:4" outlineLevel="1">
      <c r="A33" s="38"/>
      <c r="B33" s="56" t="s">
        <v>25</v>
      </c>
      <c r="C33" s="57" t="s">
        <v>269</v>
      </c>
    </row>
    <row r="34" spans="1:4" outlineLevel="1">
      <c r="A34" s="38"/>
      <c r="B34" s="56" t="s">
        <v>258</v>
      </c>
      <c r="C34" s="57" t="s">
        <v>269</v>
      </c>
      <c r="D34" s="39"/>
    </row>
    <row r="35" spans="1:4" ht="25.15" outlineLevel="1">
      <c r="A35" s="38"/>
      <c r="B35" s="56" t="s">
        <v>260</v>
      </c>
      <c r="C35" s="57" t="s">
        <v>269</v>
      </c>
      <c r="D35" s="39"/>
    </row>
    <row r="36" spans="1:4" outlineLevel="1">
      <c r="A36" s="38"/>
      <c r="B36" s="56" t="s">
        <v>262</v>
      </c>
      <c r="C36" s="57" t="s">
        <v>269</v>
      </c>
      <c r="D36" s="39"/>
    </row>
    <row r="37" spans="1:4" ht="13.9">
      <c r="A37" s="252"/>
      <c r="B37" s="252"/>
      <c r="C37" s="252"/>
      <c r="D37" s="39"/>
    </row>
    <row r="38" spans="1:4" ht="13.9">
      <c r="A38" s="41" t="s">
        <v>253</v>
      </c>
      <c r="B38" s="42" t="s">
        <v>288</v>
      </c>
      <c r="C38" s="43"/>
      <c r="D38" s="39"/>
    </row>
    <row r="39" spans="1:4" ht="13.9" outlineLevel="1">
      <c r="A39" s="38"/>
      <c r="B39" s="44" t="s">
        <v>255</v>
      </c>
      <c r="C39" s="45" t="s">
        <v>256</v>
      </c>
      <c r="D39" s="39"/>
    </row>
    <row r="40" spans="1:4" ht="159.6" outlineLevel="1">
      <c r="A40" s="251"/>
      <c r="B40" s="46" t="s">
        <v>289</v>
      </c>
      <c r="C40" s="59" t="s">
        <v>290</v>
      </c>
      <c r="D40" s="39"/>
    </row>
    <row r="41" spans="1:4" ht="25.15" outlineLevel="1">
      <c r="A41" s="251"/>
      <c r="B41" s="48" t="s">
        <v>291</v>
      </c>
      <c r="C41" s="55" t="s">
        <v>292</v>
      </c>
      <c r="D41" s="39" t="s">
        <v>293</v>
      </c>
    </row>
    <row r="42" spans="1:4" outlineLevel="1">
      <c r="A42" s="251"/>
      <c r="B42" s="56" t="s">
        <v>264</v>
      </c>
      <c r="C42" s="57" t="s">
        <v>287</v>
      </c>
    </row>
    <row r="43" spans="1:4" outlineLevel="1">
      <c r="A43" s="251"/>
      <c r="B43" s="56" t="s">
        <v>266</v>
      </c>
      <c r="C43" s="57" t="s">
        <v>269</v>
      </c>
    </row>
    <row r="44" spans="1:4" outlineLevel="1">
      <c r="A44" s="251"/>
      <c r="B44" s="56" t="s">
        <v>25</v>
      </c>
      <c r="C44" s="57" t="s">
        <v>269</v>
      </c>
    </row>
    <row r="45" spans="1:4" outlineLevel="1">
      <c r="A45" s="251"/>
      <c r="B45" s="56" t="s">
        <v>258</v>
      </c>
      <c r="C45" s="57" t="s">
        <v>269</v>
      </c>
    </row>
    <row r="46" spans="1:4" ht="25.15" outlineLevel="1">
      <c r="A46" s="251"/>
      <c r="B46" s="56" t="s">
        <v>260</v>
      </c>
      <c r="C46" s="57" t="s">
        <v>269</v>
      </c>
    </row>
    <row r="47" spans="1:4" outlineLevel="1">
      <c r="A47" s="251"/>
      <c r="B47" s="56" t="s">
        <v>262</v>
      </c>
      <c r="C47" s="57" t="s">
        <v>269</v>
      </c>
    </row>
    <row r="48" spans="1:4">
      <c r="A48" s="38"/>
      <c r="B48" s="38"/>
      <c r="C48" s="38"/>
    </row>
  </sheetData>
  <mergeCells count="6">
    <mergeCell ref="A40:A47"/>
    <mergeCell ref="A19:C19"/>
    <mergeCell ref="A37:C37"/>
    <mergeCell ref="A1:A2"/>
    <mergeCell ref="A6:A9"/>
    <mergeCell ref="A13:A1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12" customWidth="1"/>
    <col min="2" max="2" width="48.42578125" style="12" customWidth="1"/>
    <col min="3" max="3" width="20.7109375" style="12" customWidth="1"/>
    <col min="4" max="4" width="21.5703125" style="12" customWidth="1"/>
    <col min="5" max="5" width="9.28515625" style="12"/>
    <col min="6" max="6" width="20.7109375" style="12" customWidth="1"/>
    <col min="7" max="7" width="19.5703125" style="12" customWidth="1"/>
    <col min="8" max="8" width="18.28515625" style="12" customWidth="1"/>
    <col min="9" max="16384" width="9.28515625" style="12"/>
  </cols>
  <sheetData>
    <row r="1" spans="2:8" ht="9.75" customHeight="1">
      <c r="B1" s="13"/>
      <c r="C1" s="13"/>
      <c r="D1" s="13"/>
    </row>
    <row r="2" spans="2:8" ht="31.5" customHeight="1">
      <c r="B2" s="255" t="s">
        <v>294</v>
      </c>
      <c r="C2" s="256"/>
      <c r="D2" s="257"/>
    </row>
    <row r="3" spans="2:8" ht="4.5" customHeight="1">
      <c r="B3" s="14"/>
      <c r="C3" s="14"/>
      <c r="D3" s="15"/>
    </row>
    <row r="4" spans="2:8" ht="26.25" customHeight="1">
      <c r="B4" s="16" t="s">
        <v>173</v>
      </c>
      <c r="C4" s="17" t="s">
        <v>295</v>
      </c>
      <c r="D4" s="18" t="s">
        <v>296</v>
      </c>
      <c r="F4" s="258" t="s">
        <v>297</v>
      </c>
      <c r="G4" s="259"/>
      <c r="H4" s="260"/>
    </row>
    <row r="5" spans="2:8" ht="17.25" customHeight="1">
      <c r="B5" s="19" t="s">
        <v>1</v>
      </c>
      <c r="C5" s="20">
        <v>0.4</v>
      </c>
      <c r="D5" s="21">
        <v>0.06</v>
      </c>
      <c r="F5" s="22"/>
      <c r="G5" s="23"/>
      <c r="H5" s="24"/>
    </row>
    <row r="6" spans="2:8" ht="17.25" customHeight="1">
      <c r="B6" s="25" t="s">
        <v>6</v>
      </c>
      <c r="C6" s="26">
        <v>0.64100000000000001</v>
      </c>
      <c r="D6" s="27">
        <v>0.29699999999999999</v>
      </c>
      <c r="F6" s="28"/>
      <c r="G6" s="29"/>
      <c r="H6" s="30"/>
    </row>
    <row r="7" spans="2:8" ht="17.25" customHeight="1">
      <c r="B7" s="25" t="s">
        <v>8</v>
      </c>
      <c r="C7" s="26">
        <v>0.35299999999999998</v>
      </c>
      <c r="D7" s="27">
        <v>0.20499999999999999</v>
      </c>
      <c r="F7" s="28"/>
      <c r="G7" s="29"/>
      <c r="H7" s="30"/>
    </row>
    <row r="8" spans="2:8" ht="17.25" customHeight="1">
      <c r="B8" s="25" t="s">
        <v>9</v>
      </c>
      <c r="C8" s="26">
        <v>0.62</v>
      </c>
      <c r="D8" s="27">
        <v>0.28299999999999997</v>
      </c>
      <c r="F8" s="31"/>
      <c r="G8" s="32"/>
      <c r="H8" s="33"/>
    </row>
    <row r="9" spans="2:8" ht="17.25" customHeight="1">
      <c r="B9" s="25" t="s">
        <v>11</v>
      </c>
      <c r="C9" s="26">
        <v>0.62</v>
      </c>
      <c r="D9" s="27">
        <v>0.28299999999999997</v>
      </c>
    </row>
    <row r="10" spans="2:8" ht="17.25" customHeight="1">
      <c r="B10" s="25" t="s">
        <v>12</v>
      </c>
      <c r="C10" s="26">
        <v>5.5</v>
      </c>
      <c r="D10" s="27">
        <v>3.3330000000000002</v>
      </c>
    </row>
    <row r="11" spans="2:8" ht="17.25" customHeight="1">
      <c r="B11" s="25" t="s">
        <v>13</v>
      </c>
      <c r="C11" s="26">
        <v>0.32</v>
      </c>
      <c r="D11" s="27">
        <v>0.33</v>
      </c>
    </row>
    <row r="12" spans="2:8" ht="17.25" customHeight="1">
      <c r="B12" s="25" t="s">
        <v>50</v>
      </c>
      <c r="C12" s="26">
        <v>0.32</v>
      </c>
      <c r="D12" s="27">
        <v>0.33</v>
      </c>
    </row>
    <row r="13" spans="2:8" ht="17.25" customHeight="1">
      <c r="B13" s="25" t="s">
        <v>15</v>
      </c>
      <c r="C13" s="26">
        <v>0.15</v>
      </c>
      <c r="D13" s="27">
        <v>0.20399999999999999</v>
      </c>
    </row>
    <row r="14" spans="2:8" ht="17.25" customHeight="1">
      <c r="B14" s="25" t="s">
        <v>16</v>
      </c>
      <c r="C14" s="26">
        <v>0.33</v>
      </c>
      <c r="D14" s="27">
        <v>0.17799999999999999</v>
      </c>
    </row>
    <row r="15" spans="2:8" ht="17.25" customHeight="1">
      <c r="B15" s="25" t="s">
        <v>17</v>
      </c>
      <c r="C15" s="26">
        <v>0.4</v>
      </c>
      <c r="D15" s="27">
        <v>0.158</v>
      </c>
    </row>
    <row r="16" spans="2:8" ht="17.25" customHeight="1">
      <c r="B16" s="25" t="s">
        <v>19</v>
      </c>
      <c r="C16" s="26">
        <v>0.11600000000000001</v>
      </c>
      <c r="D16" s="27">
        <v>0.158</v>
      </c>
    </row>
    <row r="17" spans="2:4" ht="17.25" customHeight="1">
      <c r="B17" s="25" t="s">
        <v>20</v>
      </c>
      <c r="C17" s="26">
        <v>0.11600000000000001</v>
      </c>
      <c r="D17" s="27">
        <v>0.158</v>
      </c>
    </row>
    <row r="18" spans="2:4" ht="17.25" customHeight="1">
      <c r="B18" s="25" t="s">
        <v>2</v>
      </c>
      <c r="C18" s="26"/>
      <c r="D18" s="2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1"/>
    <col min="2" max="2" width="14.7109375" style="1" customWidth="1"/>
    <col min="3" max="3" width="15.5703125" style="1" customWidth="1"/>
    <col min="4" max="4" width="12.7109375" style="1" customWidth="1"/>
    <col min="5" max="5" width="21.7109375" style="1" customWidth="1"/>
    <col min="6" max="6" width="63.7109375" style="1" customWidth="1"/>
    <col min="7" max="16384" width="9.28515625" style="1"/>
  </cols>
  <sheetData>
    <row r="1" spans="2:7" ht="13.9"/>
    <row r="2" spans="2:7" ht="18.2">
      <c r="B2" s="261" t="s">
        <v>298</v>
      </c>
      <c r="C2" s="262"/>
      <c r="D2" s="262"/>
      <c r="E2" s="262"/>
      <c r="F2" s="263"/>
    </row>
    <row r="4" spans="2:7" ht="15.6">
      <c r="B4" s="2" t="s">
        <v>299</v>
      </c>
      <c r="C4" s="2" t="s">
        <v>300</v>
      </c>
      <c r="D4" s="2" t="s">
        <v>175</v>
      </c>
      <c r="E4" s="2" t="s">
        <v>301</v>
      </c>
      <c r="F4" s="2" t="s">
        <v>302</v>
      </c>
    </row>
    <row r="5" spans="2:7" ht="26.45">
      <c r="B5" s="3">
        <v>6</v>
      </c>
      <c r="C5" s="4"/>
      <c r="D5" s="5" t="s">
        <v>303</v>
      </c>
      <c r="E5" s="6" t="s">
        <v>304</v>
      </c>
      <c r="F5" s="5" t="s">
        <v>305</v>
      </c>
      <c r="G5" s="7"/>
    </row>
    <row r="6" spans="2:7" ht="132">
      <c r="B6" s="3">
        <v>6.1</v>
      </c>
      <c r="C6" s="4" t="s">
        <v>306</v>
      </c>
      <c r="D6" s="5" t="s">
        <v>307</v>
      </c>
      <c r="E6" s="6" t="s">
        <v>304</v>
      </c>
      <c r="F6" s="5" t="s">
        <v>308</v>
      </c>
      <c r="G6" s="7"/>
    </row>
    <row r="7" spans="2:7" ht="303.60000000000002">
      <c r="B7" s="3">
        <v>7</v>
      </c>
      <c r="C7" s="4" t="s">
        <v>309</v>
      </c>
      <c r="D7" s="5" t="s">
        <v>307</v>
      </c>
      <c r="E7" s="6" t="s">
        <v>304</v>
      </c>
      <c r="F7" s="5" t="s">
        <v>310</v>
      </c>
      <c r="G7" s="7"/>
    </row>
    <row r="8" spans="2:7" ht="211.15">
      <c r="B8" s="3">
        <v>7.1</v>
      </c>
      <c r="C8" s="4" t="s">
        <v>311</v>
      </c>
      <c r="D8" s="5" t="s">
        <v>312</v>
      </c>
      <c r="E8" s="6" t="s">
        <v>304</v>
      </c>
      <c r="F8" s="5" t="s">
        <v>313</v>
      </c>
      <c r="G8" s="7"/>
    </row>
    <row r="9" spans="2:7" ht="12.75" customHeight="1">
      <c r="B9" s="3">
        <v>7.2</v>
      </c>
      <c r="C9" s="4">
        <v>39035</v>
      </c>
      <c r="D9" s="5" t="s">
        <v>312</v>
      </c>
      <c r="E9" s="6" t="s">
        <v>304</v>
      </c>
      <c r="F9" s="5" t="s">
        <v>314</v>
      </c>
      <c r="G9" s="7"/>
    </row>
    <row r="10" spans="2:7">
      <c r="B10" s="3">
        <v>7.3</v>
      </c>
      <c r="C10" s="4">
        <v>39219</v>
      </c>
      <c r="D10" s="5" t="s">
        <v>312</v>
      </c>
      <c r="E10" s="6" t="s">
        <v>304</v>
      </c>
      <c r="F10" s="5" t="s">
        <v>315</v>
      </c>
      <c r="G10" s="7"/>
    </row>
    <row r="11" spans="2:7" ht="26.45">
      <c r="B11" s="3">
        <v>7.4</v>
      </c>
      <c r="C11" s="4">
        <v>39237</v>
      </c>
      <c r="D11" s="5" t="s">
        <v>312</v>
      </c>
      <c r="E11" s="6" t="s">
        <v>304</v>
      </c>
      <c r="F11" s="5" t="s">
        <v>316</v>
      </c>
      <c r="G11" s="7"/>
    </row>
    <row r="12" spans="2:7" ht="92.45">
      <c r="B12" s="3">
        <v>8</v>
      </c>
      <c r="C12" s="4">
        <v>39308</v>
      </c>
      <c r="D12" s="5" t="s">
        <v>312</v>
      </c>
      <c r="E12" s="6" t="s">
        <v>304</v>
      </c>
      <c r="F12" s="5" t="s">
        <v>317</v>
      </c>
      <c r="G12" s="7"/>
    </row>
    <row r="13" spans="2:7" ht="26.45">
      <c r="B13" s="3">
        <v>8.1</v>
      </c>
      <c r="C13" s="4">
        <v>40003</v>
      </c>
      <c r="D13" s="5" t="s">
        <v>312</v>
      </c>
      <c r="E13" s="6" t="s">
        <v>318</v>
      </c>
      <c r="F13" s="5" t="s">
        <v>319</v>
      </c>
      <c r="G13" s="7"/>
    </row>
    <row r="14" spans="2:7" ht="198">
      <c r="B14" s="3">
        <v>8.1999999999999993</v>
      </c>
      <c r="C14" s="4">
        <v>40183</v>
      </c>
      <c r="D14" s="5" t="s">
        <v>320</v>
      </c>
      <c r="E14" s="6" t="s">
        <v>318</v>
      </c>
      <c r="F14" s="5" t="s">
        <v>321</v>
      </c>
      <c r="G14" s="7"/>
    </row>
    <row r="15" spans="2:7" ht="72.75" customHeight="1">
      <c r="B15" s="3">
        <v>9</v>
      </c>
      <c r="C15" s="4">
        <v>40683</v>
      </c>
      <c r="D15" s="5" t="s">
        <v>312</v>
      </c>
      <c r="E15" s="6" t="s">
        <v>318</v>
      </c>
      <c r="F15" s="5" t="s">
        <v>322</v>
      </c>
      <c r="G15" s="7"/>
    </row>
    <row r="16" spans="2:7" ht="39.6">
      <c r="B16" s="3" t="s">
        <v>323</v>
      </c>
      <c r="C16" s="4">
        <v>41725</v>
      </c>
      <c r="D16" s="5" t="s">
        <v>324</v>
      </c>
      <c r="E16" s="6" t="s">
        <v>318</v>
      </c>
      <c r="F16" s="5" t="s">
        <v>325</v>
      </c>
      <c r="G16" s="7"/>
    </row>
    <row r="17" spans="2:7" ht="52.9">
      <c r="B17" s="3">
        <v>10</v>
      </c>
      <c r="C17" s="4">
        <v>42039</v>
      </c>
      <c r="D17" s="5" t="s">
        <v>324</v>
      </c>
      <c r="E17" s="6" t="s">
        <v>318</v>
      </c>
      <c r="F17" s="8" t="s">
        <v>326</v>
      </c>
      <c r="G17" s="7"/>
    </row>
    <row r="18" spans="2:7" ht="39.6">
      <c r="B18" s="3" t="s">
        <v>327</v>
      </c>
      <c r="C18" s="4">
        <v>42310</v>
      </c>
      <c r="D18" s="5" t="s">
        <v>328</v>
      </c>
      <c r="E18" s="6" t="s">
        <v>318</v>
      </c>
      <c r="F18" s="5" t="s">
        <v>329</v>
      </c>
      <c r="G18" s="7"/>
    </row>
    <row r="19" spans="2:7">
      <c r="B19" s="3"/>
      <c r="C19" s="4"/>
      <c r="D19" s="5"/>
      <c r="E19" s="6"/>
      <c r="F19" s="8"/>
      <c r="G19" s="7"/>
    </row>
    <row r="20" spans="2:7">
      <c r="B20" s="3"/>
      <c r="C20" s="4"/>
      <c r="D20" s="5"/>
      <c r="E20" s="6"/>
      <c r="F20" s="8"/>
      <c r="G20" s="7"/>
    </row>
    <row r="21" spans="2:7">
      <c r="B21" s="3"/>
      <c r="C21" s="4"/>
      <c r="D21" s="5"/>
      <c r="E21" s="6"/>
      <c r="F21" s="8"/>
      <c r="G21" s="7"/>
    </row>
    <row r="22" spans="2:7">
      <c r="B22" s="3"/>
      <c r="C22" s="4"/>
      <c r="D22" s="5"/>
      <c r="E22" s="6"/>
      <c r="F22" s="8"/>
      <c r="G22" s="7"/>
    </row>
    <row r="23" spans="2:7">
      <c r="B23" s="3"/>
      <c r="C23" s="4"/>
      <c r="D23" s="5"/>
      <c r="E23" s="6"/>
      <c r="F23" s="8"/>
      <c r="G23" s="7"/>
    </row>
    <row r="24" spans="2:7">
      <c r="B24" s="3"/>
      <c r="C24" s="4"/>
      <c r="D24" s="5"/>
      <c r="E24" s="6"/>
      <c r="F24" s="8"/>
      <c r="G24" s="7"/>
    </row>
    <row r="25" spans="2:7">
      <c r="B25" s="3"/>
      <c r="C25" s="4"/>
      <c r="D25" s="5"/>
      <c r="E25" s="6"/>
      <c r="F25" s="8"/>
      <c r="G25" s="7"/>
    </row>
    <row r="26" spans="2:7">
      <c r="B26" s="3"/>
      <c r="C26" s="4"/>
      <c r="D26" s="5"/>
      <c r="E26" s="6"/>
      <c r="F26" s="8"/>
      <c r="G26" s="7"/>
    </row>
    <row r="27" spans="2:7">
      <c r="B27" s="3"/>
      <c r="C27" s="4"/>
      <c r="D27" s="5"/>
      <c r="E27" s="6"/>
      <c r="F27" s="8"/>
      <c r="G27" s="7"/>
    </row>
    <row r="28" spans="2:7">
      <c r="B28" s="3"/>
      <c r="C28" s="4"/>
      <c r="D28" s="5"/>
      <c r="E28" s="6"/>
      <c r="F28" s="8"/>
      <c r="G28" s="7"/>
    </row>
    <row r="29" spans="2:7">
      <c r="B29" s="9"/>
      <c r="C29" s="9"/>
      <c r="D29" s="9"/>
      <c r="E29" s="9"/>
      <c r="F29" s="9"/>
      <c r="G29" s="7"/>
    </row>
    <row r="30" spans="2:7">
      <c r="B30" s="9"/>
      <c r="C30" s="9"/>
      <c r="D30" s="9"/>
      <c r="E30" s="9"/>
      <c r="F30" s="9"/>
      <c r="G30" s="7"/>
    </row>
    <row r="31" spans="2:7">
      <c r="B31" s="9"/>
      <c r="C31" s="9"/>
      <c r="D31" s="9"/>
      <c r="E31" s="9"/>
      <c r="F31" s="9"/>
      <c r="G31" s="7"/>
    </row>
    <row r="32" spans="2:7">
      <c r="B32" s="9"/>
      <c r="C32" s="9"/>
      <c r="D32" s="9"/>
      <c r="E32" s="9"/>
      <c r="F32" s="10"/>
      <c r="G32" s="7"/>
    </row>
    <row r="33" spans="2:7">
      <c r="B33" s="9"/>
      <c r="C33" s="9"/>
      <c r="D33" s="9"/>
      <c r="E33" s="9"/>
      <c r="F33" s="9"/>
      <c r="G33" s="7"/>
    </row>
    <row r="34" spans="2:7">
      <c r="B34" s="10"/>
      <c r="C34" s="9"/>
      <c r="D34" s="9"/>
      <c r="E34" s="9"/>
      <c r="F34" s="9"/>
      <c r="G34" s="7"/>
    </row>
    <row r="35" spans="2:7">
      <c r="B35" s="9"/>
      <c r="C35" s="9"/>
      <c r="D35" s="9"/>
      <c r="E35" s="9"/>
      <c r="F35" s="9"/>
      <c r="G35" s="7"/>
    </row>
    <row r="36" spans="2:7">
      <c r="B36" s="9"/>
      <c r="C36" s="9"/>
      <c r="D36" s="9"/>
      <c r="E36" s="9"/>
      <c r="F36" s="9"/>
      <c r="G36" s="7"/>
    </row>
    <row r="37" spans="2:7">
      <c r="B37" s="9"/>
      <c r="C37" s="9"/>
      <c r="D37" s="9"/>
      <c r="E37" s="9"/>
      <c r="F37" s="9"/>
      <c r="G37" s="7"/>
    </row>
    <row r="38" spans="2:7">
      <c r="B38" s="9"/>
      <c r="C38" s="9"/>
      <c r="D38" s="9"/>
      <c r="E38" s="9"/>
      <c r="F38" s="9"/>
      <c r="G38" s="7"/>
    </row>
    <row r="39" spans="2:7">
      <c r="B39" s="10"/>
      <c r="C39" s="11"/>
      <c r="D39" s="9"/>
      <c r="E39" s="9"/>
      <c r="F39" s="9"/>
      <c r="G39" s="7"/>
    </row>
    <row r="40" spans="2:7">
      <c r="B40" s="10"/>
      <c r="D40" s="9"/>
      <c r="E40" s="9"/>
      <c r="F40" s="9"/>
      <c r="G40" s="7"/>
    </row>
    <row r="41" spans="2:7">
      <c r="B41" s="9"/>
      <c r="D41" s="9"/>
      <c r="E41" s="9"/>
      <c r="F41" s="10"/>
      <c r="G41" s="7"/>
    </row>
  </sheetData>
  <mergeCells count="1">
    <mergeCell ref="B2:F2"/>
  </mergeCells>
  <pageMargins left="0.75" right="0.75" top="1" bottom="1" header="0.5" footer="0.5"/>
  <pageSetup paperSize="9" orientation="portrait"/>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MediaLengthInSeconds xmlns="2b84eb40-9918-4ecf-b9ca-64c519ae940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1E609119D9AB8469F2ED02F232E0765" ma:contentTypeVersion="5" ma:contentTypeDescription="Create a new document." ma:contentTypeScope="" ma:versionID="441b6cac64204fab34b69e5137d85086">
  <xsd:schema xmlns:xsd="http://www.w3.org/2001/XMLSchema" xmlns:xs="http://www.w3.org/2001/XMLSchema" xmlns:p="http://schemas.microsoft.com/office/2006/metadata/properties" xmlns:ns2="2b84eb40-9918-4ecf-b9ca-64c519ae940e" targetNamespace="http://schemas.microsoft.com/office/2006/metadata/properties" ma:root="true" ma:fieldsID="23237436c23aba9068d6761f63830928" ns2:_="">
    <xsd:import namespace="2b84eb40-9918-4ecf-b9ca-64c519ae940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84eb40-9918-4ecf-b9ca-64c519ae940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file>

<file path=customXml/itemProps2.xml><?xml version="1.0" encoding="utf-8"?>
<ds:datastoreItem xmlns:ds="http://schemas.openxmlformats.org/officeDocument/2006/customXml" ds:itemID="{138153F7-6F9F-449E-BF58-F895EB712A77}"/>
</file>

<file path=customXml/itemProps3.xml><?xml version="1.0" encoding="utf-8"?>
<ds:datastoreItem xmlns:ds="http://schemas.openxmlformats.org/officeDocument/2006/customXml" ds:itemID="{38290E5E-3EDF-459D-A7AF-2D8D7FEF4DE1}"/>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Sindhu Atmakuri[Capg-93]</cp:lastModifiedBy>
  <cp:revision/>
  <dcterms:created xsi:type="dcterms:W3CDTF">2006-11-14T05:53:00Z</dcterms:created>
  <dcterms:modified xsi:type="dcterms:W3CDTF">2022-12-12T18:25:37Z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0x010100C1E609119D9AB8469F2ED02F232E0765</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y fmtid="{D5CDD505-2E9C-101B-9397-08002B2CF9AE}" pid="14" name="ICV">
    <vt:lpwstr>FCF216533559428F9204534A0EEBFD2F</vt:lpwstr>
  </property>
  <property fmtid="{D5CDD505-2E9C-101B-9397-08002B2CF9AE}" pid="15" name="KSOProductBuildVer">
    <vt:lpwstr>1033-11.2.0.11440</vt:lpwstr>
  </property>
</Properties>
</file>